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ATA\DAILY PICKING RECORDS\Ground floor\Day shift\"/>
    </mc:Choice>
  </mc:AlternateContent>
  <xr:revisionPtr revIDLastSave="0" documentId="13_ncr:1_{5DF5ACF4-4E35-4803-836E-EAF0E1E27208}" xr6:coauthVersionLast="36" xr6:coauthVersionMax="36" xr10:uidLastSave="{00000000-0000-0000-0000-000000000000}"/>
  <bookViews>
    <workbookView xWindow="0" yWindow="0" windowWidth="19200" windowHeight="6930" xr2:uid="{00000000-000D-0000-FFFF-FFFF00000000}"/>
  </bookViews>
  <sheets>
    <sheet name="Data Record" sheetId="2" r:id="rId1"/>
    <sheet name="Productivity Report" sheetId="12" r:id="rId2"/>
    <sheet name="Pivot" sheetId="13" r:id="rId3"/>
    <sheet name="LOADKEY" sheetId="14" r:id="rId4"/>
    <sheet name="Print area" sheetId="5" state="hidden" r:id="rId5"/>
  </sheets>
  <definedNames>
    <definedName name="_xlnm._FilterDatabase" localSheetId="0" hidden="1">'Data Record'!$A$2:$Q$4984</definedName>
    <definedName name="_xlnm._FilterDatabase" localSheetId="1" hidden="1">'Productivity Report'!$A$4:$D$4</definedName>
  </definedNames>
  <calcPr calcId="191029"/>
  <pivotCaches>
    <pivotCache cacheId="1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P242" i="2" l="1"/>
  <c r="P243" i="2"/>
  <c r="J194" i="2"/>
  <c r="J193" i="2"/>
  <c r="J67" i="2"/>
  <c r="J49" i="2" l="1"/>
  <c r="J50" i="2"/>
  <c r="I8" i="2"/>
  <c r="I18" i="2" l="1"/>
  <c r="K18" i="2" s="1"/>
  <c r="L18" i="2" s="1"/>
  <c r="J18" i="2"/>
  <c r="I17" i="2"/>
  <c r="K17" i="2" s="1"/>
  <c r="L17" i="2" s="1"/>
  <c r="J17" i="2"/>
  <c r="I13" i="2"/>
  <c r="K13" i="2" s="1"/>
  <c r="L13" i="2" s="1"/>
  <c r="J13" i="2"/>
  <c r="I16" i="2"/>
  <c r="K16" i="2" s="1"/>
  <c r="L16" i="2" s="1"/>
  <c r="J16" i="2"/>
  <c r="I19" i="2"/>
  <c r="K19" i="2" s="1"/>
  <c r="L19" i="2" s="1"/>
  <c r="J19" i="2"/>
  <c r="I20" i="2"/>
  <c r="K20" i="2" s="1"/>
  <c r="L20" i="2" s="1"/>
  <c r="J20" i="2"/>
  <c r="I3" i="2"/>
  <c r="K3" i="2" s="1"/>
  <c r="L3" i="2" s="1"/>
  <c r="J3" i="2"/>
  <c r="J198" i="2" l="1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780" i="2"/>
  <c r="J1781" i="2"/>
  <c r="J1782" i="2"/>
  <c r="J1783" i="2"/>
  <c r="J1784" i="2"/>
  <c r="J1785" i="2"/>
  <c r="J1786" i="2"/>
  <c r="J1787" i="2"/>
  <c r="J1788" i="2"/>
  <c r="J1789" i="2"/>
  <c r="J1790" i="2"/>
  <c r="J1791" i="2"/>
  <c r="J1792" i="2"/>
  <c r="J1793" i="2"/>
  <c r="J1794" i="2"/>
  <c r="J1795" i="2"/>
  <c r="J1796" i="2"/>
  <c r="J1797" i="2"/>
  <c r="J1798" i="2"/>
  <c r="J1799" i="2"/>
  <c r="J1800" i="2"/>
  <c r="J1801" i="2"/>
  <c r="J1802" i="2"/>
  <c r="J1803" i="2"/>
  <c r="J1804" i="2"/>
  <c r="J1805" i="2"/>
  <c r="J1806" i="2"/>
  <c r="J1807" i="2"/>
  <c r="J1808" i="2"/>
  <c r="J1809" i="2"/>
  <c r="J1810" i="2"/>
  <c r="J1811" i="2"/>
  <c r="J1812" i="2"/>
  <c r="J1813" i="2"/>
  <c r="J1814" i="2"/>
  <c r="J1815" i="2"/>
  <c r="J1816" i="2"/>
  <c r="J1817" i="2"/>
  <c r="J1818" i="2"/>
  <c r="J1819" i="2"/>
  <c r="J1820" i="2"/>
  <c r="J1821" i="2"/>
  <c r="J1822" i="2"/>
  <c r="J1823" i="2"/>
  <c r="J1824" i="2"/>
  <c r="J1825" i="2"/>
  <c r="J1826" i="2"/>
  <c r="J1827" i="2"/>
  <c r="J1828" i="2"/>
  <c r="J1829" i="2"/>
  <c r="J1830" i="2"/>
  <c r="J1831" i="2"/>
  <c r="J1832" i="2"/>
  <c r="J1833" i="2"/>
  <c r="J1834" i="2"/>
  <c r="J1835" i="2"/>
  <c r="J1836" i="2"/>
  <c r="J1837" i="2"/>
  <c r="J1838" i="2"/>
  <c r="J1839" i="2"/>
  <c r="J1840" i="2"/>
  <c r="J1841" i="2"/>
  <c r="J1842" i="2"/>
  <c r="J1843" i="2"/>
  <c r="J1844" i="2"/>
  <c r="J1845" i="2"/>
  <c r="J1846" i="2"/>
  <c r="J1847" i="2"/>
  <c r="J1848" i="2"/>
  <c r="J1849" i="2"/>
  <c r="J1850" i="2"/>
  <c r="J1851" i="2"/>
  <c r="J1852" i="2"/>
  <c r="J1853" i="2"/>
  <c r="J1854" i="2"/>
  <c r="J1855" i="2"/>
  <c r="J1856" i="2"/>
  <c r="J1857" i="2"/>
  <c r="J1858" i="2"/>
  <c r="J1859" i="2"/>
  <c r="J1860" i="2"/>
  <c r="J1861" i="2"/>
  <c r="J1862" i="2"/>
  <c r="J1863" i="2"/>
  <c r="J1864" i="2"/>
  <c r="J1865" i="2"/>
  <c r="J1866" i="2"/>
  <c r="J1867" i="2"/>
  <c r="J1868" i="2"/>
  <c r="J1869" i="2"/>
  <c r="J1870" i="2"/>
  <c r="J1871" i="2"/>
  <c r="J1872" i="2"/>
  <c r="J1873" i="2"/>
  <c r="J1874" i="2"/>
  <c r="J1875" i="2"/>
  <c r="J1876" i="2"/>
  <c r="J1877" i="2"/>
  <c r="J1878" i="2"/>
  <c r="J1879" i="2"/>
  <c r="J1880" i="2"/>
  <c r="J1881" i="2"/>
  <c r="J1882" i="2"/>
  <c r="J1883" i="2"/>
  <c r="J1884" i="2"/>
  <c r="J1885" i="2"/>
  <c r="J1886" i="2"/>
  <c r="J1887" i="2"/>
  <c r="J1888" i="2"/>
  <c r="J1889" i="2"/>
  <c r="J1890" i="2"/>
  <c r="J1891" i="2"/>
  <c r="J1892" i="2"/>
  <c r="J1893" i="2"/>
  <c r="J1894" i="2"/>
  <c r="J1895" i="2"/>
  <c r="J1896" i="2"/>
  <c r="J1897" i="2"/>
  <c r="J1898" i="2"/>
  <c r="J1899" i="2"/>
  <c r="J1900" i="2"/>
  <c r="J1901" i="2"/>
  <c r="J1902" i="2"/>
  <c r="J1903" i="2"/>
  <c r="J1904" i="2"/>
  <c r="J1905" i="2"/>
  <c r="J1906" i="2"/>
  <c r="J1907" i="2"/>
  <c r="J1908" i="2"/>
  <c r="J1909" i="2"/>
  <c r="J1910" i="2"/>
  <c r="J1911" i="2"/>
  <c r="J1912" i="2"/>
  <c r="J1913" i="2"/>
  <c r="J1914" i="2"/>
  <c r="J1915" i="2"/>
  <c r="J1916" i="2"/>
  <c r="J1917" i="2"/>
  <c r="J1918" i="2"/>
  <c r="J1919" i="2"/>
  <c r="J1920" i="2"/>
  <c r="J1921" i="2"/>
  <c r="J1922" i="2"/>
  <c r="J1923" i="2"/>
  <c r="J1924" i="2"/>
  <c r="J1925" i="2"/>
  <c r="J1926" i="2"/>
  <c r="J1927" i="2"/>
  <c r="J1928" i="2"/>
  <c r="J1929" i="2"/>
  <c r="J1930" i="2"/>
  <c r="J1931" i="2"/>
  <c r="J1932" i="2"/>
  <c r="J1933" i="2"/>
  <c r="J1934" i="2"/>
  <c r="J1935" i="2"/>
  <c r="J1936" i="2"/>
  <c r="J1937" i="2"/>
  <c r="J1938" i="2"/>
  <c r="J1939" i="2"/>
  <c r="J1940" i="2"/>
  <c r="J1941" i="2"/>
  <c r="J1942" i="2"/>
  <c r="J1943" i="2"/>
  <c r="J1944" i="2"/>
  <c r="J1945" i="2"/>
  <c r="J1946" i="2"/>
  <c r="J1947" i="2"/>
  <c r="J1948" i="2"/>
  <c r="J1949" i="2"/>
  <c r="J1950" i="2"/>
  <c r="J1951" i="2"/>
  <c r="J1952" i="2"/>
  <c r="J1953" i="2"/>
  <c r="J1954" i="2"/>
  <c r="J1955" i="2"/>
  <c r="J1956" i="2"/>
  <c r="J1957" i="2"/>
  <c r="J1958" i="2"/>
  <c r="J1959" i="2"/>
  <c r="J1960" i="2"/>
  <c r="J1961" i="2"/>
  <c r="J1962" i="2"/>
  <c r="J1963" i="2"/>
  <c r="J1964" i="2"/>
  <c r="J1965" i="2"/>
  <c r="J1966" i="2"/>
  <c r="J1967" i="2"/>
  <c r="J1968" i="2"/>
  <c r="J1969" i="2"/>
  <c r="J1970" i="2"/>
  <c r="J1971" i="2"/>
  <c r="J1972" i="2"/>
  <c r="J1973" i="2"/>
  <c r="J1974" i="2"/>
  <c r="J1975" i="2"/>
  <c r="J1976" i="2"/>
  <c r="J1977" i="2"/>
  <c r="J1978" i="2"/>
  <c r="J1979" i="2"/>
  <c r="J1980" i="2"/>
  <c r="J1981" i="2"/>
  <c r="J1982" i="2"/>
  <c r="J1983" i="2"/>
  <c r="J1984" i="2"/>
  <c r="J1985" i="2"/>
  <c r="J1986" i="2"/>
  <c r="J1987" i="2"/>
  <c r="J1988" i="2"/>
  <c r="J1989" i="2"/>
  <c r="J1990" i="2"/>
  <c r="J1991" i="2"/>
  <c r="J1992" i="2"/>
  <c r="J1993" i="2"/>
  <c r="J1994" i="2"/>
  <c r="J1995" i="2"/>
  <c r="J1996" i="2"/>
  <c r="J1997" i="2"/>
  <c r="J1998" i="2"/>
  <c r="J1999" i="2"/>
  <c r="J2000" i="2"/>
  <c r="J2001" i="2"/>
  <c r="J2002" i="2"/>
  <c r="J2003" i="2"/>
  <c r="J2004" i="2"/>
  <c r="J2005" i="2"/>
  <c r="J2006" i="2"/>
  <c r="J2007" i="2"/>
  <c r="J2008" i="2"/>
  <c r="J2009" i="2"/>
  <c r="J2010" i="2"/>
  <c r="J2011" i="2"/>
  <c r="J2012" i="2"/>
  <c r="J2013" i="2"/>
  <c r="J2014" i="2"/>
  <c r="J2015" i="2"/>
  <c r="J2016" i="2"/>
  <c r="J2017" i="2"/>
  <c r="J2018" i="2"/>
  <c r="J2019" i="2"/>
  <c r="J2020" i="2"/>
  <c r="J2021" i="2"/>
  <c r="J2022" i="2"/>
  <c r="J2023" i="2"/>
  <c r="J2024" i="2"/>
  <c r="J2025" i="2"/>
  <c r="J2026" i="2"/>
  <c r="J2027" i="2"/>
  <c r="J2028" i="2"/>
  <c r="J2029" i="2"/>
  <c r="J2030" i="2"/>
  <c r="J2031" i="2"/>
  <c r="J2032" i="2"/>
  <c r="J2033" i="2"/>
  <c r="J2034" i="2"/>
  <c r="J2035" i="2"/>
  <c r="J2036" i="2"/>
  <c r="J2037" i="2"/>
  <c r="J2038" i="2"/>
  <c r="J2039" i="2"/>
  <c r="J2040" i="2"/>
  <c r="J2041" i="2"/>
  <c r="J2042" i="2"/>
  <c r="J2043" i="2"/>
  <c r="J2044" i="2"/>
  <c r="J2045" i="2"/>
  <c r="J2046" i="2"/>
  <c r="J2047" i="2"/>
  <c r="J2048" i="2"/>
  <c r="J2049" i="2"/>
  <c r="J2050" i="2"/>
  <c r="J2051" i="2"/>
  <c r="J2052" i="2"/>
  <c r="J2053" i="2"/>
  <c r="J2054" i="2"/>
  <c r="J2055" i="2"/>
  <c r="J2056" i="2"/>
  <c r="J2057" i="2"/>
  <c r="J2058" i="2"/>
  <c r="J2059" i="2"/>
  <c r="J2060" i="2"/>
  <c r="J2061" i="2"/>
  <c r="J2062" i="2"/>
  <c r="J2063" i="2"/>
  <c r="J2064" i="2"/>
  <c r="J2065" i="2"/>
  <c r="J2066" i="2"/>
  <c r="J2067" i="2"/>
  <c r="J2068" i="2"/>
  <c r="J2069" i="2"/>
  <c r="J2070" i="2"/>
  <c r="J2071" i="2"/>
  <c r="J2072" i="2"/>
  <c r="J2073" i="2"/>
  <c r="J2074" i="2"/>
  <c r="J2075" i="2"/>
  <c r="J2076" i="2"/>
  <c r="J2077" i="2"/>
  <c r="J2078" i="2"/>
  <c r="J2079" i="2"/>
  <c r="J2080" i="2"/>
  <c r="J2081" i="2"/>
  <c r="J2082" i="2"/>
  <c r="J2083" i="2"/>
  <c r="J2084" i="2"/>
  <c r="J2085" i="2"/>
  <c r="J2086" i="2"/>
  <c r="J2087" i="2"/>
  <c r="J2088" i="2"/>
  <c r="J2089" i="2"/>
  <c r="J2090" i="2"/>
  <c r="J2091" i="2"/>
  <c r="J2092" i="2"/>
  <c r="J2093" i="2"/>
  <c r="J2094" i="2"/>
  <c r="J2095" i="2"/>
  <c r="J2096" i="2"/>
  <c r="J2097" i="2"/>
  <c r="J2098" i="2"/>
  <c r="J2099" i="2"/>
  <c r="J2100" i="2"/>
  <c r="J2101" i="2"/>
  <c r="J2102" i="2"/>
  <c r="J2103" i="2"/>
  <c r="J2104" i="2"/>
  <c r="J2105" i="2"/>
  <c r="J2106" i="2"/>
  <c r="J2107" i="2"/>
  <c r="J2108" i="2"/>
  <c r="J2109" i="2"/>
  <c r="J2110" i="2"/>
  <c r="J2111" i="2"/>
  <c r="J2112" i="2"/>
  <c r="J2113" i="2"/>
  <c r="J2114" i="2"/>
  <c r="J2115" i="2"/>
  <c r="J2116" i="2"/>
  <c r="J2117" i="2"/>
  <c r="J2118" i="2"/>
  <c r="J2119" i="2"/>
  <c r="J2120" i="2"/>
  <c r="J2121" i="2"/>
  <c r="J2122" i="2"/>
  <c r="J2123" i="2"/>
  <c r="J2124" i="2"/>
  <c r="J2125" i="2"/>
  <c r="J2126" i="2"/>
  <c r="J2127" i="2"/>
  <c r="J2128" i="2"/>
  <c r="J2129" i="2"/>
  <c r="J2130" i="2"/>
  <c r="J2131" i="2"/>
  <c r="J2132" i="2"/>
  <c r="J2133" i="2"/>
  <c r="J2134" i="2"/>
  <c r="J2135" i="2"/>
  <c r="J2136" i="2"/>
  <c r="J2137" i="2"/>
  <c r="J2138" i="2"/>
  <c r="J2139" i="2"/>
  <c r="J2140" i="2"/>
  <c r="J2141" i="2"/>
  <c r="J2142" i="2"/>
  <c r="J2143" i="2"/>
  <c r="J2144" i="2"/>
  <c r="J2145" i="2"/>
  <c r="J2146" i="2"/>
  <c r="J2147" i="2"/>
  <c r="J2148" i="2"/>
  <c r="J2149" i="2"/>
  <c r="J2150" i="2"/>
  <c r="J2151" i="2"/>
  <c r="J2152" i="2"/>
  <c r="J2153" i="2"/>
  <c r="J2154" i="2"/>
  <c r="J2155" i="2"/>
  <c r="J2156" i="2"/>
  <c r="J2157" i="2"/>
  <c r="J2158" i="2"/>
  <c r="J2159" i="2"/>
  <c r="J2160" i="2"/>
  <c r="J2161" i="2"/>
  <c r="J2162" i="2"/>
  <c r="J2163" i="2"/>
  <c r="J2164" i="2"/>
  <c r="J2165" i="2"/>
  <c r="J2166" i="2"/>
  <c r="J2167" i="2"/>
  <c r="J2168" i="2"/>
  <c r="J2169" i="2"/>
  <c r="J2170" i="2"/>
  <c r="J2171" i="2"/>
  <c r="J2172" i="2"/>
  <c r="J2173" i="2"/>
  <c r="J2174" i="2"/>
  <c r="J2175" i="2"/>
  <c r="J2176" i="2"/>
  <c r="J2177" i="2"/>
  <c r="J2178" i="2"/>
  <c r="J2179" i="2"/>
  <c r="J2180" i="2"/>
  <c r="J2181" i="2"/>
  <c r="J2182" i="2"/>
  <c r="J2183" i="2"/>
  <c r="J2184" i="2"/>
  <c r="J2185" i="2"/>
  <c r="J2186" i="2"/>
  <c r="J2187" i="2"/>
  <c r="J2188" i="2"/>
  <c r="J2189" i="2"/>
  <c r="J2190" i="2"/>
  <c r="J2191" i="2"/>
  <c r="J2192" i="2"/>
  <c r="J2193" i="2"/>
  <c r="J2194" i="2"/>
  <c r="J2195" i="2"/>
  <c r="J2196" i="2"/>
  <c r="J2197" i="2"/>
  <c r="J2198" i="2"/>
  <c r="J2199" i="2"/>
  <c r="J2200" i="2"/>
  <c r="J2201" i="2"/>
  <c r="J2202" i="2"/>
  <c r="J2203" i="2"/>
  <c r="J2204" i="2"/>
  <c r="J2205" i="2"/>
  <c r="J2206" i="2"/>
  <c r="J2207" i="2"/>
  <c r="J2208" i="2"/>
  <c r="J2209" i="2"/>
  <c r="J2210" i="2"/>
  <c r="J2211" i="2"/>
  <c r="J2212" i="2"/>
  <c r="J2213" i="2"/>
  <c r="J2214" i="2"/>
  <c r="J2215" i="2"/>
  <c r="J2216" i="2"/>
  <c r="J2217" i="2"/>
  <c r="J2218" i="2"/>
  <c r="J2219" i="2"/>
  <c r="J2220" i="2"/>
  <c r="J2221" i="2"/>
  <c r="J2222" i="2"/>
  <c r="J2223" i="2"/>
  <c r="J2224" i="2"/>
  <c r="J2225" i="2"/>
  <c r="J2226" i="2"/>
  <c r="J2227" i="2"/>
  <c r="J2228" i="2"/>
  <c r="J2229" i="2"/>
  <c r="J2230" i="2"/>
  <c r="J2231" i="2"/>
  <c r="J2232" i="2"/>
  <c r="J2233" i="2"/>
  <c r="J2234" i="2"/>
  <c r="J2235" i="2"/>
  <c r="J2236" i="2"/>
  <c r="J2237" i="2"/>
  <c r="J2238" i="2"/>
  <c r="J2239" i="2"/>
  <c r="J2240" i="2"/>
  <c r="J2241" i="2"/>
  <c r="J2242" i="2"/>
  <c r="J2243" i="2"/>
  <c r="J2244" i="2"/>
  <c r="J2245" i="2"/>
  <c r="J2246" i="2"/>
  <c r="J2247" i="2"/>
  <c r="J2248" i="2"/>
  <c r="J2249" i="2"/>
  <c r="J2250" i="2"/>
  <c r="J2251" i="2"/>
  <c r="J2252" i="2"/>
  <c r="J2253" i="2"/>
  <c r="J2254" i="2"/>
  <c r="J2255" i="2"/>
  <c r="J2256" i="2"/>
  <c r="J2257" i="2"/>
  <c r="J2258" i="2"/>
  <c r="J2259" i="2"/>
  <c r="J2260" i="2"/>
  <c r="J2261" i="2"/>
  <c r="J2262" i="2"/>
  <c r="J2263" i="2"/>
  <c r="J2264" i="2"/>
  <c r="J2265" i="2"/>
  <c r="J2266" i="2"/>
  <c r="J2267" i="2"/>
  <c r="J2268" i="2"/>
  <c r="J2269" i="2"/>
  <c r="J2270" i="2"/>
  <c r="J2271" i="2"/>
  <c r="J2272" i="2"/>
  <c r="J2273" i="2"/>
  <c r="J2274" i="2"/>
  <c r="J2275" i="2"/>
  <c r="J2276" i="2"/>
  <c r="J2277" i="2"/>
  <c r="J2278" i="2"/>
  <c r="J2279" i="2"/>
  <c r="J2280" i="2"/>
  <c r="J2281" i="2"/>
  <c r="J2282" i="2"/>
  <c r="J2283" i="2"/>
  <c r="J2284" i="2"/>
  <c r="J2285" i="2"/>
  <c r="J2286" i="2"/>
  <c r="J2287" i="2"/>
  <c r="J2288" i="2"/>
  <c r="J2289" i="2"/>
  <c r="J2290" i="2"/>
  <c r="J2291" i="2"/>
  <c r="J2292" i="2"/>
  <c r="J2293" i="2"/>
  <c r="J2294" i="2"/>
  <c r="J2295" i="2"/>
  <c r="J2296" i="2"/>
  <c r="J2297" i="2"/>
  <c r="J2298" i="2"/>
  <c r="J2299" i="2"/>
  <c r="J2300" i="2"/>
  <c r="J2301" i="2"/>
  <c r="J2302" i="2"/>
  <c r="J2303" i="2"/>
  <c r="J2304" i="2"/>
  <c r="J2305" i="2"/>
  <c r="J2306" i="2"/>
  <c r="J2307" i="2"/>
  <c r="J2308" i="2"/>
  <c r="J2309" i="2"/>
  <c r="J2310" i="2"/>
  <c r="J2311" i="2"/>
  <c r="J2312" i="2"/>
  <c r="J2313" i="2"/>
  <c r="J2314" i="2"/>
  <c r="J2315" i="2"/>
  <c r="J2316" i="2"/>
  <c r="J2317" i="2"/>
  <c r="J2318" i="2"/>
  <c r="J2319" i="2"/>
  <c r="J2320" i="2"/>
  <c r="J2321" i="2"/>
  <c r="J2322" i="2"/>
  <c r="J2323" i="2"/>
  <c r="J2324" i="2"/>
  <c r="J2325" i="2"/>
  <c r="J2326" i="2"/>
  <c r="J2327" i="2"/>
  <c r="J2328" i="2"/>
  <c r="J2329" i="2"/>
  <c r="J2330" i="2"/>
  <c r="J2331" i="2"/>
  <c r="J2332" i="2"/>
  <c r="J2333" i="2"/>
  <c r="J2334" i="2"/>
  <c r="J2335" i="2"/>
  <c r="J2336" i="2"/>
  <c r="J2337" i="2"/>
  <c r="J2338" i="2"/>
  <c r="J2339" i="2"/>
  <c r="J2340" i="2"/>
  <c r="J2341" i="2"/>
  <c r="J2342" i="2"/>
  <c r="J2343" i="2"/>
  <c r="J2344" i="2"/>
  <c r="J2345" i="2"/>
  <c r="J2346" i="2"/>
  <c r="J2347" i="2"/>
  <c r="J2348" i="2"/>
  <c r="J2349" i="2"/>
  <c r="J2350" i="2"/>
  <c r="J2351" i="2"/>
  <c r="J2352" i="2"/>
  <c r="J2353" i="2"/>
  <c r="J2354" i="2"/>
  <c r="J2355" i="2"/>
  <c r="J2356" i="2"/>
  <c r="J2357" i="2"/>
  <c r="J2358" i="2"/>
  <c r="J2359" i="2"/>
  <c r="J2360" i="2"/>
  <c r="J2361" i="2"/>
  <c r="J2362" i="2"/>
  <c r="J2363" i="2"/>
  <c r="J2364" i="2"/>
  <c r="J2365" i="2"/>
  <c r="J2366" i="2"/>
  <c r="J2367" i="2"/>
  <c r="J2368" i="2"/>
  <c r="J2369" i="2"/>
  <c r="J2370" i="2"/>
  <c r="J2371" i="2"/>
  <c r="J2372" i="2"/>
  <c r="J2373" i="2"/>
  <c r="J2374" i="2"/>
  <c r="J2375" i="2"/>
  <c r="J2376" i="2"/>
  <c r="J2377" i="2"/>
  <c r="J2378" i="2"/>
  <c r="J2379" i="2"/>
  <c r="J2380" i="2"/>
  <c r="J2381" i="2"/>
  <c r="J2382" i="2"/>
  <c r="J2383" i="2"/>
  <c r="J2384" i="2"/>
  <c r="J2385" i="2"/>
  <c r="J2386" i="2"/>
  <c r="J2387" i="2"/>
  <c r="J2388" i="2"/>
  <c r="J2389" i="2"/>
  <c r="J2390" i="2"/>
  <c r="J2391" i="2"/>
  <c r="J2392" i="2"/>
  <c r="J2393" i="2"/>
  <c r="J2394" i="2"/>
  <c r="J2395" i="2"/>
  <c r="J2396" i="2"/>
  <c r="J2397" i="2"/>
  <c r="J2398" i="2"/>
  <c r="J2399" i="2"/>
  <c r="J2400" i="2"/>
  <c r="J2401" i="2"/>
  <c r="J2402" i="2"/>
  <c r="J2403" i="2"/>
  <c r="J2404" i="2"/>
  <c r="J2405" i="2"/>
  <c r="J2406" i="2"/>
  <c r="J2407" i="2"/>
  <c r="J2408" i="2"/>
  <c r="J2409" i="2"/>
  <c r="J2410" i="2"/>
  <c r="J2411" i="2"/>
  <c r="J2412" i="2"/>
  <c r="J2413" i="2"/>
  <c r="J2414" i="2"/>
  <c r="J2415" i="2"/>
  <c r="J2416" i="2"/>
  <c r="J2417" i="2"/>
  <c r="J2418" i="2"/>
  <c r="J2419" i="2"/>
  <c r="J2420" i="2"/>
  <c r="J2421" i="2"/>
  <c r="J2422" i="2"/>
  <c r="J2423" i="2"/>
  <c r="J2424" i="2"/>
  <c r="J2425" i="2"/>
  <c r="J2426" i="2"/>
  <c r="J2427" i="2"/>
  <c r="J2428" i="2"/>
  <c r="J2429" i="2"/>
  <c r="J2430" i="2"/>
  <c r="J2431" i="2"/>
  <c r="J2432" i="2"/>
  <c r="J2433" i="2"/>
  <c r="J2434" i="2"/>
  <c r="J2435" i="2"/>
  <c r="J2436" i="2"/>
  <c r="J2437" i="2"/>
  <c r="J2438" i="2"/>
  <c r="J2439" i="2"/>
  <c r="J2440" i="2"/>
  <c r="J2441" i="2"/>
  <c r="J2442" i="2"/>
  <c r="J2443" i="2"/>
  <c r="J2444" i="2"/>
  <c r="J2445" i="2"/>
  <c r="J2446" i="2"/>
  <c r="J2447" i="2"/>
  <c r="J2448" i="2"/>
  <c r="J2449" i="2"/>
  <c r="J2450" i="2"/>
  <c r="J2451" i="2"/>
  <c r="J2452" i="2"/>
  <c r="J2453" i="2"/>
  <c r="J2454" i="2"/>
  <c r="J2455" i="2"/>
  <c r="J2456" i="2"/>
  <c r="J2457" i="2"/>
  <c r="J2458" i="2"/>
  <c r="J2459" i="2"/>
  <c r="J2460" i="2"/>
  <c r="J2461" i="2"/>
  <c r="J2462" i="2"/>
  <c r="J2463" i="2"/>
  <c r="J2464" i="2"/>
  <c r="J2465" i="2"/>
  <c r="J2466" i="2"/>
  <c r="J2467" i="2"/>
  <c r="J2468" i="2"/>
  <c r="J2469" i="2"/>
  <c r="J2470" i="2"/>
  <c r="J2471" i="2"/>
  <c r="J2472" i="2"/>
  <c r="J2473" i="2"/>
  <c r="J2474" i="2"/>
  <c r="J2475" i="2"/>
  <c r="J2476" i="2"/>
  <c r="J2477" i="2"/>
  <c r="J2478" i="2"/>
  <c r="J2479" i="2"/>
  <c r="J2480" i="2"/>
  <c r="J2481" i="2"/>
  <c r="J2482" i="2"/>
  <c r="J2483" i="2"/>
  <c r="J2484" i="2"/>
  <c r="J2485" i="2"/>
  <c r="J2486" i="2"/>
  <c r="J2487" i="2"/>
  <c r="J2488" i="2"/>
  <c r="J2489" i="2"/>
  <c r="J2490" i="2"/>
  <c r="J2491" i="2"/>
  <c r="J2492" i="2"/>
  <c r="J2493" i="2"/>
  <c r="J2494" i="2"/>
  <c r="J2495" i="2"/>
  <c r="J2496" i="2"/>
  <c r="J2497" i="2"/>
  <c r="J2498" i="2"/>
  <c r="J2499" i="2"/>
  <c r="J2500" i="2"/>
  <c r="J2501" i="2"/>
  <c r="J2502" i="2"/>
  <c r="J2503" i="2"/>
  <c r="J2504" i="2"/>
  <c r="J2505" i="2"/>
  <c r="J2506" i="2"/>
  <c r="J2507" i="2"/>
  <c r="J2508" i="2"/>
  <c r="J2509" i="2"/>
  <c r="J2510" i="2"/>
  <c r="J2511" i="2"/>
  <c r="J2512" i="2"/>
  <c r="J2513" i="2"/>
  <c r="J2514" i="2"/>
  <c r="J2515" i="2"/>
  <c r="J2516" i="2"/>
  <c r="J2517" i="2"/>
  <c r="J2518" i="2"/>
  <c r="J2519" i="2"/>
  <c r="J2520" i="2"/>
  <c r="J2521" i="2"/>
  <c r="J2522" i="2"/>
  <c r="J2523" i="2"/>
  <c r="J2524" i="2"/>
  <c r="J2525" i="2"/>
  <c r="J2526" i="2"/>
  <c r="J2527" i="2"/>
  <c r="J2528" i="2"/>
  <c r="J2529" i="2"/>
  <c r="J2530" i="2"/>
  <c r="J2531" i="2"/>
  <c r="J2532" i="2"/>
  <c r="J2533" i="2"/>
  <c r="J2534" i="2"/>
  <c r="J2535" i="2"/>
  <c r="J2536" i="2"/>
  <c r="J2537" i="2"/>
  <c r="J2538" i="2"/>
  <c r="J2539" i="2"/>
  <c r="J2540" i="2"/>
  <c r="J2541" i="2"/>
  <c r="J2542" i="2"/>
  <c r="J2543" i="2"/>
  <c r="J2544" i="2"/>
  <c r="J2545" i="2"/>
  <c r="J2546" i="2"/>
  <c r="J2547" i="2"/>
  <c r="J2548" i="2"/>
  <c r="J2549" i="2"/>
  <c r="J2550" i="2"/>
  <c r="J2551" i="2"/>
  <c r="J2552" i="2"/>
  <c r="J2553" i="2"/>
  <c r="J2554" i="2"/>
  <c r="J2555" i="2"/>
  <c r="J2556" i="2"/>
  <c r="J2557" i="2"/>
  <c r="J2558" i="2"/>
  <c r="J2559" i="2"/>
  <c r="J2560" i="2"/>
  <c r="J2561" i="2"/>
  <c r="J2562" i="2"/>
  <c r="J2563" i="2"/>
  <c r="J2564" i="2"/>
  <c r="J2565" i="2"/>
  <c r="J2566" i="2"/>
  <c r="J2567" i="2"/>
  <c r="J2568" i="2"/>
  <c r="J2569" i="2"/>
  <c r="J2570" i="2"/>
  <c r="J2571" i="2"/>
  <c r="J2572" i="2"/>
  <c r="J2573" i="2"/>
  <c r="J2574" i="2"/>
  <c r="J2575" i="2"/>
  <c r="J2576" i="2"/>
  <c r="J2577" i="2"/>
  <c r="J2578" i="2"/>
  <c r="J2579" i="2"/>
  <c r="J2580" i="2"/>
  <c r="J2581" i="2"/>
  <c r="J2582" i="2"/>
  <c r="J2583" i="2"/>
  <c r="J2584" i="2"/>
  <c r="J2585" i="2"/>
  <c r="J2586" i="2"/>
  <c r="J2587" i="2"/>
  <c r="J2588" i="2"/>
  <c r="J2589" i="2"/>
  <c r="J2590" i="2"/>
  <c r="J2591" i="2"/>
  <c r="J2592" i="2"/>
  <c r="J2593" i="2"/>
  <c r="J2594" i="2"/>
  <c r="J2595" i="2"/>
  <c r="J2596" i="2"/>
  <c r="J2597" i="2"/>
  <c r="J2598" i="2"/>
  <c r="J2599" i="2"/>
  <c r="J2600" i="2"/>
  <c r="J2601" i="2"/>
  <c r="J2602" i="2"/>
  <c r="J2603" i="2"/>
  <c r="J2604" i="2"/>
  <c r="J2605" i="2"/>
  <c r="J2606" i="2"/>
  <c r="J2607" i="2"/>
  <c r="J2608" i="2"/>
  <c r="J2609" i="2"/>
  <c r="J2610" i="2"/>
  <c r="J2611" i="2"/>
  <c r="J2612" i="2"/>
  <c r="J2613" i="2"/>
  <c r="J2614" i="2"/>
  <c r="J2615" i="2"/>
  <c r="J2616" i="2"/>
  <c r="J2617" i="2"/>
  <c r="J2618" i="2"/>
  <c r="J2619" i="2"/>
  <c r="J2620" i="2"/>
  <c r="J2621" i="2"/>
  <c r="J2622" i="2"/>
  <c r="J2623" i="2"/>
  <c r="J2624" i="2"/>
  <c r="J2625" i="2"/>
  <c r="J2626" i="2"/>
  <c r="J2627" i="2"/>
  <c r="J2628" i="2"/>
  <c r="J2629" i="2"/>
  <c r="J2630" i="2"/>
  <c r="J2631" i="2"/>
  <c r="J2632" i="2"/>
  <c r="J2633" i="2"/>
  <c r="J2634" i="2"/>
  <c r="J2635" i="2"/>
  <c r="J2636" i="2"/>
  <c r="J2637" i="2"/>
  <c r="J2638" i="2"/>
  <c r="J2639" i="2"/>
  <c r="J2640" i="2"/>
  <c r="J2641" i="2"/>
  <c r="J2642" i="2"/>
  <c r="J2643" i="2"/>
  <c r="J2644" i="2"/>
  <c r="J2645" i="2"/>
  <c r="J2646" i="2"/>
  <c r="J2647" i="2"/>
  <c r="J2648" i="2"/>
  <c r="J2649" i="2"/>
  <c r="J2650" i="2"/>
  <c r="J2651" i="2"/>
  <c r="J2652" i="2"/>
  <c r="J2653" i="2"/>
  <c r="J2654" i="2"/>
  <c r="J2655" i="2"/>
  <c r="J2656" i="2"/>
  <c r="J2657" i="2"/>
  <c r="J2658" i="2"/>
  <c r="J2659" i="2"/>
  <c r="J2660" i="2"/>
  <c r="J2661" i="2"/>
  <c r="J2662" i="2"/>
  <c r="J2663" i="2"/>
  <c r="J2664" i="2"/>
  <c r="J2665" i="2"/>
  <c r="J2666" i="2"/>
  <c r="J2667" i="2"/>
  <c r="J2668" i="2"/>
  <c r="J2669" i="2"/>
  <c r="J2670" i="2"/>
  <c r="J2671" i="2"/>
  <c r="J2672" i="2"/>
  <c r="J2673" i="2"/>
  <c r="J2674" i="2"/>
  <c r="J2675" i="2"/>
  <c r="J2676" i="2"/>
  <c r="J2677" i="2"/>
  <c r="J2678" i="2"/>
  <c r="J2679" i="2"/>
  <c r="J2680" i="2"/>
  <c r="J2681" i="2"/>
  <c r="J2682" i="2"/>
  <c r="J2683" i="2"/>
  <c r="J2684" i="2"/>
  <c r="J2685" i="2"/>
  <c r="J2686" i="2"/>
  <c r="J2687" i="2"/>
  <c r="J2688" i="2"/>
  <c r="J2689" i="2"/>
  <c r="J2690" i="2"/>
  <c r="J2691" i="2"/>
  <c r="J2692" i="2"/>
  <c r="J2693" i="2"/>
  <c r="J2694" i="2"/>
  <c r="J2695" i="2"/>
  <c r="J2696" i="2"/>
  <c r="J2697" i="2"/>
  <c r="J2698" i="2"/>
  <c r="J2699" i="2"/>
  <c r="J2700" i="2"/>
  <c r="J2701" i="2"/>
  <c r="J2702" i="2"/>
  <c r="J2703" i="2"/>
  <c r="J2704" i="2"/>
  <c r="J2705" i="2"/>
  <c r="J2706" i="2"/>
  <c r="J2707" i="2"/>
  <c r="J2708" i="2"/>
  <c r="J2709" i="2"/>
  <c r="J2710" i="2"/>
  <c r="J2711" i="2"/>
  <c r="J2712" i="2"/>
  <c r="J2713" i="2"/>
  <c r="J2714" i="2"/>
  <c r="J2715" i="2"/>
  <c r="J2716" i="2"/>
  <c r="J2717" i="2"/>
  <c r="J2718" i="2"/>
  <c r="J2719" i="2"/>
  <c r="J2720" i="2"/>
  <c r="J2721" i="2"/>
  <c r="J2722" i="2"/>
  <c r="J2723" i="2"/>
  <c r="J2724" i="2"/>
  <c r="J2725" i="2"/>
  <c r="J2726" i="2"/>
  <c r="J2727" i="2"/>
  <c r="J2728" i="2"/>
  <c r="J2729" i="2"/>
  <c r="J2730" i="2"/>
  <c r="J2731" i="2"/>
  <c r="J2732" i="2"/>
  <c r="J2733" i="2"/>
  <c r="J2734" i="2"/>
  <c r="J2735" i="2"/>
  <c r="J2736" i="2"/>
  <c r="J2737" i="2"/>
  <c r="J2738" i="2"/>
  <c r="J2739" i="2"/>
  <c r="J2740" i="2"/>
  <c r="J2741" i="2"/>
  <c r="J2742" i="2"/>
  <c r="J2743" i="2"/>
  <c r="J2744" i="2"/>
  <c r="J2745" i="2"/>
  <c r="J2746" i="2"/>
  <c r="J2747" i="2"/>
  <c r="J2748" i="2"/>
  <c r="J2749" i="2"/>
  <c r="J2750" i="2"/>
  <c r="J2751" i="2"/>
  <c r="J2752" i="2"/>
  <c r="J2753" i="2"/>
  <c r="J2754" i="2"/>
  <c r="J2755" i="2"/>
  <c r="J2756" i="2"/>
  <c r="J2757" i="2"/>
  <c r="J2758" i="2"/>
  <c r="J2759" i="2"/>
  <c r="J2760" i="2"/>
  <c r="J2761" i="2"/>
  <c r="J2762" i="2"/>
  <c r="J2763" i="2"/>
  <c r="J2764" i="2"/>
  <c r="J2765" i="2"/>
  <c r="J2766" i="2"/>
  <c r="J2767" i="2"/>
  <c r="J2768" i="2"/>
  <c r="J2769" i="2"/>
  <c r="J2770" i="2"/>
  <c r="J2771" i="2"/>
  <c r="J2772" i="2"/>
  <c r="J2773" i="2"/>
  <c r="J2774" i="2"/>
  <c r="J2775" i="2"/>
  <c r="J2776" i="2"/>
  <c r="J2777" i="2"/>
  <c r="J2778" i="2"/>
  <c r="J2779" i="2"/>
  <c r="J2780" i="2"/>
  <c r="J2781" i="2"/>
  <c r="J2782" i="2"/>
  <c r="J2783" i="2"/>
  <c r="J2784" i="2"/>
  <c r="J2785" i="2"/>
  <c r="J2786" i="2"/>
  <c r="J2787" i="2"/>
  <c r="J2788" i="2"/>
  <c r="J2789" i="2"/>
  <c r="J2790" i="2"/>
  <c r="J2791" i="2"/>
  <c r="J2792" i="2"/>
  <c r="J2793" i="2"/>
  <c r="J2794" i="2"/>
  <c r="J2795" i="2"/>
  <c r="J2796" i="2"/>
  <c r="J2797" i="2"/>
  <c r="J2798" i="2"/>
  <c r="J2799" i="2"/>
  <c r="J2800" i="2"/>
  <c r="J2801" i="2"/>
  <c r="J2802" i="2"/>
  <c r="J2803" i="2"/>
  <c r="J2804" i="2"/>
  <c r="J2805" i="2"/>
  <c r="J2806" i="2"/>
  <c r="J2807" i="2"/>
  <c r="J2808" i="2"/>
  <c r="J2809" i="2"/>
  <c r="J2810" i="2"/>
  <c r="J2811" i="2"/>
  <c r="J2812" i="2"/>
  <c r="J2813" i="2"/>
  <c r="J2814" i="2"/>
  <c r="J2815" i="2"/>
  <c r="J2816" i="2"/>
  <c r="J2817" i="2"/>
  <c r="J2818" i="2"/>
  <c r="J2819" i="2"/>
  <c r="J2820" i="2"/>
  <c r="J2821" i="2"/>
  <c r="J2822" i="2"/>
  <c r="J2823" i="2"/>
  <c r="J2824" i="2"/>
  <c r="J2825" i="2"/>
  <c r="J2826" i="2"/>
  <c r="J2827" i="2"/>
  <c r="J2828" i="2"/>
  <c r="J2829" i="2"/>
  <c r="J2830" i="2"/>
  <c r="J2831" i="2"/>
  <c r="J2832" i="2"/>
  <c r="J2833" i="2"/>
  <c r="J2834" i="2"/>
  <c r="J2835" i="2"/>
  <c r="J2836" i="2"/>
  <c r="J2837" i="2"/>
  <c r="J2838" i="2"/>
  <c r="J2839" i="2"/>
  <c r="J2840" i="2"/>
  <c r="J2841" i="2"/>
  <c r="J2842" i="2"/>
  <c r="J2843" i="2"/>
  <c r="J2844" i="2"/>
  <c r="J2845" i="2"/>
  <c r="J2846" i="2"/>
  <c r="J2847" i="2"/>
  <c r="J2848" i="2"/>
  <c r="J2849" i="2"/>
  <c r="J2850" i="2"/>
  <c r="J2851" i="2"/>
  <c r="J2852" i="2"/>
  <c r="J2853" i="2"/>
  <c r="J2854" i="2"/>
  <c r="J2855" i="2"/>
  <c r="J2856" i="2"/>
  <c r="J2857" i="2"/>
  <c r="J2858" i="2"/>
  <c r="J2859" i="2"/>
  <c r="J2860" i="2"/>
  <c r="J2861" i="2"/>
  <c r="J2862" i="2"/>
  <c r="J2863" i="2"/>
  <c r="J2864" i="2"/>
  <c r="J2865" i="2"/>
  <c r="J2866" i="2"/>
  <c r="J2867" i="2"/>
  <c r="J2868" i="2"/>
  <c r="J2869" i="2"/>
  <c r="J2870" i="2"/>
  <c r="J2871" i="2"/>
  <c r="J2872" i="2"/>
  <c r="J2873" i="2"/>
  <c r="J2874" i="2"/>
  <c r="J2875" i="2"/>
  <c r="J2876" i="2"/>
  <c r="J2877" i="2"/>
  <c r="J2878" i="2"/>
  <c r="J2879" i="2"/>
  <c r="J2880" i="2"/>
  <c r="J2881" i="2"/>
  <c r="J2882" i="2"/>
  <c r="J2883" i="2"/>
  <c r="J2884" i="2"/>
  <c r="J2885" i="2"/>
  <c r="J2886" i="2"/>
  <c r="J2887" i="2"/>
  <c r="J2888" i="2"/>
  <c r="J2889" i="2"/>
  <c r="J2890" i="2"/>
  <c r="J2891" i="2"/>
  <c r="J2892" i="2"/>
  <c r="J2893" i="2"/>
  <c r="J2894" i="2"/>
  <c r="J2895" i="2"/>
  <c r="J2896" i="2"/>
  <c r="J2897" i="2"/>
  <c r="J2898" i="2"/>
  <c r="J2899" i="2"/>
  <c r="J2900" i="2"/>
  <c r="J2901" i="2"/>
  <c r="J2902" i="2"/>
  <c r="J2903" i="2"/>
  <c r="J2904" i="2"/>
  <c r="J2905" i="2"/>
  <c r="J2906" i="2"/>
  <c r="J2907" i="2"/>
  <c r="J2908" i="2"/>
  <c r="J2909" i="2"/>
  <c r="J2910" i="2"/>
  <c r="J2911" i="2"/>
  <c r="J2912" i="2"/>
  <c r="J2913" i="2"/>
  <c r="J2914" i="2"/>
  <c r="J2915" i="2"/>
  <c r="J2916" i="2"/>
  <c r="J2917" i="2"/>
  <c r="J2918" i="2"/>
  <c r="J2919" i="2"/>
  <c r="J2920" i="2"/>
  <c r="J2921" i="2"/>
  <c r="J2922" i="2"/>
  <c r="J2923" i="2"/>
  <c r="J2924" i="2"/>
  <c r="J2925" i="2"/>
  <c r="J2926" i="2"/>
  <c r="J2927" i="2"/>
  <c r="J2928" i="2"/>
  <c r="J2929" i="2"/>
  <c r="J2930" i="2"/>
  <c r="J2931" i="2"/>
  <c r="J2932" i="2"/>
  <c r="J2933" i="2"/>
  <c r="J2934" i="2"/>
  <c r="J2935" i="2"/>
  <c r="J2936" i="2"/>
  <c r="J2937" i="2"/>
  <c r="J2938" i="2"/>
  <c r="J2939" i="2"/>
  <c r="J2940" i="2"/>
  <c r="J2941" i="2"/>
  <c r="J2942" i="2"/>
  <c r="J2943" i="2"/>
  <c r="J2944" i="2"/>
  <c r="J2945" i="2"/>
  <c r="J2946" i="2"/>
  <c r="J2947" i="2"/>
  <c r="J2948" i="2"/>
  <c r="J2949" i="2"/>
  <c r="J2950" i="2"/>
  <c r="J2951" i="2"/>
  <c r="J2952" i="2"/>
  <c r="J2953" i="2"/>
  <c r="J2954" i="2"/>
  <c r="J2955" i="2"/>
  <c r="J2956" i="2"/>
  <c r="J2957" i="2"/>
  <c r="J2958" i="2"/>
  <c r="J2959" i="2"/>
  <c r="J2960" i="2"/>
  <c r="J2961" i="2"/>
  <c r="J2962" i="2"/>
  <c r="J2963" i="2"/>
  <c r="J2964" i="2"/>
  <c r="J2965" i="2"/>
  <c r="J2966" i="2"/>
  <c r="J2967" i="2"/>
  <c r="J2968" i="2"/>
  <c r="J2969" i="2"/>
  <c r="J2970" i="2"/>
  <c r="J2971" i="2"/>
  <c r="J2972" i="2"/>
  <c r="J2973" i="2"/>
  <c r="J2974" i="2"/>
  <c r="J2975" i="2"/>
  <c r="J2976" i="2"/>
  <c r="J2977" i="2"/>
  <c r="J2978" i="2"/>
  <c r="J2979" i="2"/>
  <c r="J2980" i="2"/>
  <c r="J2981" i="2"/>
  <c r="J2982" i="2"/>
  <c r="J2983" i="2"/>
  <c r="J2984" i="2"/>
  <c r="J2985" i="2"/>
  <c r="J2986" i="2"/>
  <c r="J2987" i="2"/>
  <c r="J2988" i="2"/>
  <c r="J2989" i="2"/>
  <c r="J2990" i="2"/>
  <c r="J2991" i="2"/>
  <c r="J2992" i="2"/>
  <c r="J2993" i="2"/>
  <c r="J2994" i="2"/>
  <c r="J2995" i="2"/>
  <c r="J2996" i="2"/>
  <c r="J2997" i="2"/>
  <c r="J2998" i="2"/>
  <c r="J2999" i="2"/>
  <c r="J3000" i="2"/>
  <c r="J3001" i="2"/>
  <c r="J3002" i="2"/>
  <c r="J3003" i="2"/>
  <c r="J3004" i="2"/>
  <c r="J3005" i="2"/>
  <c r="J3006" i="2"/>
  <c r="J3007" i="2"/>
  <c r="J3008" i="2"/>
  <c r="J3009" i="2"/>
  <c r="J3010" i="2"/>
  <c r="J3011" i="2"/>
  <c r="J3012" i="2"/>
  <c r="J3013" i="2"/>
  <c r="J3014" i="2"/>
  <c r="J3015" i="2"/>
  <c r="J3016" i="2"/>
  <c r="J3017" i="2"/>
  <c r="J3018" i="2"/>
  <c r="J3019" i="2"/>
  <c r="J3020" i="2"/>
  <c r="J3021" i="2"/>
  <c r="J3022" i="2"/>
  <c r="J3023" i="2"/>
  <c r="J3024" i="2"/>
  <c r="J3025" i="2"/>
  <c r="J3026" i="2"/>
  <c r="J3027" i="2"/>
  <c r="J3028" i="2"/>
  <c r="J3029" i="2"/>
  <c r="J3030" i="2"/>
  <c r="J3031" i="2"/>
  <c r="J3032" i="2"/>
  <c r="J3033" i="2"/>
  <c r="J3034" i="2"/>
  <c r="J3035" i="2"/>
  <c r="J3036" i="2"/>
  <c r="J3037" i="2"/>
  <c r="J3038" i="2"/>
  <c r="J3039" i="2"/>
  <c r="J3040" i="2"/>
  <c r="J3041" i="2"/>
  <c r="J3042" i="2"/>
  <c r="J3043" i="2"/>
  <c r="J3044" i="2"/>
  <c r="J3045" i="2"/>
  <c r="J3046" i="2"/>
  <c r="J3047" i="2"/>
  <c r="J3048" i="2"/>
  <c r="J3049" i="2"/>
  <c r="J3050" i="2"/>
  <c r="J3051" i="2"/>
  <c r="J3052" i="2"/>
  <c r="J3053" i="2"/>
  <c r="J3054" i="2"/>
  <c r="J3055" i="2"/>
  <c r="J3056" i="2"/>
  <c r="J3057" i="2"/>
  <c r="J3058" i="2"/>
  <c r="J3059" i="2"/>
  <c r="J3060" i="2"/>
  <c r="J3061" i="2"/>
  <c r="J3062" i="2"/>
  <c r="J3063" i="2"/>
  <c r="J3064" i="2"/>
  <c r="J3065" i="2"/>
  <c r="J3066" i="2"/>
  <c r="J3067" i="2"/>
  <c r="J3068" i="2"/>
  <c r="J3069" i="2"/>
  <c r="J3070" i="2"/>
  <c r="J3071" i="2"/>
  <c r="J3072" i="2"/>
  <c r="J3073" i="2"/>
  <c r="J3074" i="2"/>
  <c r="J3075" i="2"/>
  <c r="J3076" i="2"/>
  <c r="J3077" i="2"/>
  <c r="J3078" i="2"/>
  <c r="J3079" i="2"/>
  <c r="J3080" i="2"/>
  <c r="J3081" i="2"/>
  <c r="J3082" i="2"/>
  <c r="J3083" i="2"/>
  <c r="J3084" i="2"/>
  <c r="J3085" i="2"/>
  <c r="J3086" i="2"/>
  <c r="J3087" i="2"/>
  <c r="J3088" i="2"/>
  <c r="J3089" i="2"/>
  <c r="J3090" i="2"/>
  <c r="J3091" i="2"/>
  <c r="J3092" i="2"/>
  <c r="J3093" i="2"/>
  <c r="J3094" i="2"/>
  <c r="J3095" i="2"/>
  <c r="J3096" i="2"/>
  <c r="J3097" i="2"/>
  <c r="J3098" i="2"/>
  <c r="J3099" i="2"/>
  <c r="J3100" i="2"/>
  <c r="J3101" i="2"/>
  <c r="J3102" i="2"/>
  <c r="J3103" i="2"/>
  <c r="J3104" i="2"/>
  <c r="J3105" i="2"/>
  <c r="J3106" i="2"/>
  <c r="J3107" i="2"/>
  <c r="J3108" i="2"/>
  <c r="J3109" i="2"/>
  <c r="J3110" i="2"/>
  <c r="J3111" i="2"/>
  <c r="J3112" i="2"/>
  <c r="J3113" i="2"/>
  <c r="J3114" i="2"/>
  <c r="J3115" i="2"/>
  <c r="J3116" i="2"/>
  <c r="J3117" i="2"/>
  <c r="J3118" i="2"/>
  <c r="J3119" i="2"/>
  <c r="J3120" i="2"/>
  <c r="J3121" i="2"/>
  <c r="J3122" i="2"/>
  <c r="J3123" i="2"/>
  <c r="J3124" i="2"/>
  <c r="J3125" i="2"/>
  <c r="J3126" i="2"/>
  <c r="J3127" i="2"/>
  <c r="J3128" i="2"/>
  <c r="J3129" i="2"/>
  <c r="J3130" i="2"/>
  <c r="J3131" i="2"/>
  <c r="J3132" i="2"/>
  <c r="J3133" i="2"/>
  <c r="J3134" i="2"/>
  <c r="J3135" i="2"/>
  <c r="J3136" i="2"/>
  <c r="J3137" i="2"/>
  <c r="J3138" i="2"/>
  <c r="J3139" i="2"/>
  <c r="J3140" i="2"/>
  <c r="J3141" i="2"/>
  <c r="J3142" i="2"/>
  <c r="J3143" i="2"/>
  <c r="J3144" i="2"/>
  <c r="J3145" i="2"/>
  <c r="J3146" i="2"/>
  <c r="J3147" i="2"/>
  <c r="J3148" i="2"/>
  <c r="J3149" i="2"/>
  <c r="J3150" i="2"/>
  <c r="J3151" i="2"/>
  <c r="J3152" i="2"/>
  <c r="J3153" i="2"/>
  <c r="J3154" i="2"/>
  <c r="J3155" i="2"/>
  <c r="J3156" i="2"/>
  <c r="J3157" i="2"/>
  <c r="J3158" i="2"/>
  <c r="J3159" i="2"/>
  <c r="J3160" i="2"/>
  <c r="J3161" i="2"/>
  <c r="J3162" i="2"/>
  <c r="J3163" i="2"/>
  <c r="J3164" i="2"/>
  <c r="J3165" i="2"/>
  <c r="J3166" i="2"/>
  <c r="J3167" i="2"/>
  <c r="J3168" i="2"/>
  <c r="J3169" i="2"/>
  <c r="J3170" i="2"/>
  <c r="J3171" i="2"/>
  <c r="J3172" i="2"/>
  <c r="J3173" i="2"/>
  <c r="J3174" i="2"/>
  <c r="J3175" i="2"/>
  <c r="J3176" i="2"/>
  <c r="J3177" i="2"/>
  <c r="J3178" i="2"/>
  <c r="J3179" i="2"/>
  <c r="J3180" i="2"/>
  <c r="J3181" i="2"/>
  <c r="J3182" i="2"/>
  <c r="J3183" i="2"/>
  <c r="J3184" i="2"/>
  <c r="J3185" i="2"/>
  <c r="J3186" i="2"/>
  <c r="J3187" i="2"/>
  <c r="J3188" i="2"/>
  <c r="J3189" i="2"/>
  <c r="J3190" i="2"/>
  <c r="J3191" i="2"/>
  <c r="J3192" i="2"/>
  <c r="J3193" i="2"/>
  <c r="J3194" i="2"/>
  <c r="J3195" i="2"/>
  <c r="J3196" i="2"/>
  <c r="J3197" i="2"/>
  <c r="J3198" i="2"/>
  <c r="J3199" i="2"/>
  <c r="J3200" i="2"/>
  <c r="J3201" i="2"/>
  <c r="J3202" i="2"/>
  <c r="J3203" i="2"/>
  <c r="J3204" i="2"/>
  <c r="J3205" i="2"/>
  <c r="J3206" i="2"/>
  <c r="J3207" i="2"/>
  <c r="J3208" i="2"/>
  <c r="J3209" i="2"/>
  <c r="J3210" i="2"/>
  <c r="J3211" i="2"/>
  <c r="J3212" i="2"/>
  <c r="J3213" i="2"/>
  <c r="J3214" i="2"/>
  <c r="J3215" i="2"/>
  <c r="J3216" i="2"/>
  <c r="J3217" i="2"/>
  <c r="J3218" i="2"/>
  <c r="J3219" i="2"/>
  <c r="J3220" i="2"/>
  <c r="J3221" i="2"/>
  <c r="J3222" i="2"/>
  <c r="J3223" i="2"/>
  <c r="J3224" i="2"/>
  <c r="J3225" i="2"/>
  <c r="J3226" i="2"/>
  <c r="J3227" i="2"/>
  <c r="J3228" i="2"/>
  <c r="J3229" i="2"/>
  <c r="J3230" i="2"/>
  <c r="J3231" i="2"/>
  <c r="J3232" i="2"/>
  <c r="J3233" i="2"/>
  <c r="J3234" i="2"/>
  <c r="J3235" i="2"/>
  <c r="J3236" i="2"/>
  <c r="J3237" i="2"/>
  <c r="J3238" i="2"/>
  <c r="J3239" i="2"/>
  <c r="J3240" i="2"/>
  <c r="J3241" i="2"/>
  <c r="J3242" i="2"/>
  <c r="J3243" i="2"/>
  <c r="J3244" i="2"/>
  <c r="J3245" i="2"/>
  <c r="J3246" i="2"/>
  <c r="J3247" i="2"/>
  <c r="J3248" i="2"/>
  <c r="J3249" i="2"/>
  <c r="J3250" i="2"/>
  <c r="J3251" i="2"/>
  <c r="J3252" i="2"/>
  <c r="J3253" i="2"/>
  <c r="J3254" i="2"/>
  <c r="J3255" i="2"/>
  <c r="J3256" i="2"/>
  <c r="J3257" i="2"/>
  <c r="J3258" i="2"/>
  <c r="J3259" i="2"/>
  <c r="J3260" i="2"/>
  <c r="J3261" i="2"/>
  <c r="J3262" i="2"/>
  <c r="J3263" i="2"/>
  <c r="J3264" i="2"/>
  <c r="J3265" i="2"/>
  <c r="J3266" i="2"/>
  <c r="J3267" i="2"/>
  <c r="J3268" i="2"/>
  <c r="J3269" i="2"/>
  <c r="J3270" i="2"/>
  <c r="J3271" i="2"/>
  <c r="J3272" i="2"/>
  <c r="J3273" i="2"/>
  <c r="J3274" i="2"/>
  <c r="J3275" i="2"/>
  <c r="J3276" i="2"/>
  <c r="J3277" i="2"/>
  <c r="J3278" i="2"/>
  <c r="J3279" i="2"/>
  <c r="J3280" i="2"/>
  <c r="J3281" i="2"/>
  <c r="J3282" i="2"/>
  <c r="J3283" i="2"/>
  <c r="J3284" i="2"/>
  <c r="J3285" i="2"/>
  <c r="J3286" i="2"/>
  <c r="J3287" i="2"/>
  <c r="J3288" i="2"/>
  <c r="J3289" i="2"/>
  <c r="J3290" i="2"/>
  <c r="J3291" i="2"/>
  <c r="J3292" i="2"/>
  <c r="J3293" i="2"/>
  <c r="J3294" i="2"/>
  <c r="J3295" i="2"/>
  <c r="J3296" i="2"/>
  <c r="J3297" i="2"/>
  <c r="J3298" i="2"/>
  <c r="J3299" i="2"/>
  <c r="J3300" i="2"/>
  <c r="J3301" i="2"/>
  <c r="J3302" i="2"/>
  <c r="J3303" i="2"/>
  <c r="J3304" i="2"/>
  <c r="J3305" i="2"/>
  <c r="J3306" i="2"/>
  <c r="J3307" i="2"/>
  <c r="J3308" i="2"/>
  <c r="J3309" i="2"/>
  <c r="J3310" i="2"/>
  <c r="J3311" i="2"/>
  <c r="J3312" i="2"/>
  <c r="J3313" i="2"/>
  <c r="J3314" i="2"/>
  <c r="J3315" i="2"/>
  <c r="J3316" i="2"/>
  <c r="J3317" i="2"/>
  <c r="J3318" i="2"/>
  <c r="J3319" i="2"/>
  <c r="J3320" i="2"/>
  <c r="J3321" i="2"/>
  <c r="J3322" i="2"/>
  <c r="J3323" i="2"/>
  <c r="J3324" i="2"/>
  <c r="J3325" i="2"/>
  <c r="J3326" i="2"/>
  <c r="J3327" i="2"/>
  <c r="J3328" i="2"/>
  <c r="J3329" i="2"/>
  <c r="J3330" i="2"/>
  <c r="J3331" i="2"/>
  <c r="J3332" i="2"/>
  <c r="J3333" i="2"/>
  <c r="J3334" i="2"/>
  <c r="J3335" i="2"/>
  <c r="J3336" i="2"/>
  <c r="J3337" i="2"/>
  <c r="J3338" i="2"/>
  <c r="J3339" i="2"/>
  <c r="J3340" i="2"/>
  <c r="J3341" i="2"/>
  <c r="J3342" i="2"/>
  <c r="J3343" i="2"/>
  <c r="J3344" i="2"/>
  <c r="J3345" i="2"/>
  <c r="J3346" i="2"/>
  <c r="J3347" i="2"/>
  <c r="J3348" i="2"/>
  <c r="J3349" i="2"/>
  <c r="J3350" i="2"/>
  <c r="J3351" i="2"/>
  <c r="J3352" i="2"/>
  <c r="J3353" i="2"/>
  <c r="J3354" i="2"/>
  <c r="J3355" i="2"/>
  <c r="J3356" i="2"/>
  <c r="J3357" i="2"/>
  <c r="J3358" i="2"/>
  <c r="J3359" i="2"/>
  <c r="J3360" i="2"/>
  <c r="J3361" i="2"/>
  <c r="J3362" i="2"/>
  <c r="J3363" i="2"/>
  <c r="J3364" i="2"/>
  <c r="J3365" i="2"/>
  <c r="J3366" i="2"/>
  <c r="J3367" i="2"/>
  <c r="J3368" i="2"/>
  <c r="J3369" i="2"/>
  <c r="J3370" i="2"/>
  <c r="J3371" i="2"/>
  <c r="J3372" i="2"/>
  <c r="J3373" i="2"/>
  <c r="J3374" i="2"/>
  <c r="J3375" i="2"/>
  <c r="J3376" i="2"/>
  <c r="J3377" i="2"/>
  <c r="J3378" i="2"/>
  <c r="J3379" i="2"/>
  <c r="J3380" i="2"/>
  <c r="J3381" i="2"/>
  <c r="J3382" i="2"/>
  <c r="J3383" i="2"/>
  <c r="J3384" i="2"/>
  <c r="J3385" i="2"/>
  <c r="J3386" i="2"/>
  <c r="J3387" i="2"/>
  <c r="J3388" i="2"/>
  <c r="J3389" i="2"/>
  <c r="J3390" i="2"/>
  <c r="J3391" i="2"/>
  <c r="J3392" i="2"/>
  <c r="J3393" i="2"/>
  <c r="J3394" i="2"/>
  <c r="J3395" i="2"/>
  <c r="J3396" i="2"/>
  <c r="J3397" i="2"/>
  <c r="J3398" i="2"/>
  <c r="J3399" i="2"/>
  <c r="J3400" i="2"/>
  <c r="J3401" i="2"/>
  <c r="J3402" i="2"/>
  <c r="J3403" i="2"/>
  <c r="J3404" i="2"/>
  <c r="J3405" i="2"/>
  <c r="J3406" i="2"/>
  <c r="J3407" i="2"/>
  <c r="J3408" i="2"/>
  <c r="J3409" i="2"/>
  <c r="J3410" i="2"/>
  <c r="J3411" i="2"/>
  <c r="J3412" i="2"/>
  <c r="J3413" i="2"/>
  <c r="J3414" i="2"/>
  <c r="J3415" i="2"/>
  <c r="J3416" i="2"/>
  <c r="J3417" i="2"/>
  <c r="J3418" i="2"/>
  <c r="J3419" i="2"/>
  <c r="J3420" i="2"/>
  <c r="J3421" i="2"/>
  <c r="J3422" i="2"/>
  <c r="J3423" i="2"/>
  <c r="J3424" i="2"/>
  <c r="J3425" i="2"/>
  <c r="J3426" i="2"/>
  <c r="J3427" i="2"/>
  <c r="J3428" i="2"/>
  <c r="J3429" i="2"/>
  <c r="J3430" i="2"/>
  <c r="J3431" i="2"/>
  <c r="J3432" i="2"/>
  <c r="J3433" i="2"/>
  <c r="J3434" i="2"/>
  <c r="J3435" i="2"/>
  <c r="J3436" i="2"/>
  <c r="J3437" i="2"/>
  <c r="J3438" i="2"/>
  <c r="J3439" i="2"/>
  <c r="J3440" i="2"/>
  <c r="J3441" i="2"/>
  <c r="J3442" i="2"/>
  <c r="J3443" i="2"/>
  <c r="J3444" i="2"/>
  <c r="J3445" i="2"/>
  <c r="J3446" i="2"/>
  <c r="J3447" i="2"/>
  <c r="J3448" i="2"/>
  <c r="J3449" i="2"/>
  <c r="J3450" i="2"/>
  <c r="J3451" i="2"/>
  <c r="J3452" i="2"/>
  <c r="J3453" i="2"/>
  <c r="J3454" i="2"/>
  <c r="J3455" i="2"/>
  <c r="J3456" i="2"/>
  <c r="J3457" i="2"/>
  <c r="J3458" i="2"/>
  <c r="J3459" i="2"/>
  <c r="J3460" i="2"/>
  <c r="J3461" i="2"/>
  <c r="J3462" i="2"/>
  <c r="J3463" i="2"/>
  <c r="J3464" i="2"/>
  <c r="J3465" i="2"/>
  <c r="J3466" i="2"/>
  <c r="J3467" i="2"/>
  <c r="J3468" i="2"/>
  <c r="J3469" i="2"/>
  <c r="J3470" i="2"/>
  <c r="J3471" i="2"/>
  <c r="J3472" i="2"/>
  <c r="J3473" i="2"/>
  <c r="J3474" i="2"/>
  <c r="J3475" i="2"/>
  <c r="J3476" i="2"/>
  <c r="J3477" i="2"/>
  <c r="J3478" i="2"/>
  <c r="J3479" i="2"/>
  <c r="J3480" i="2"/>
  <c r="J3481" i="2"/>
  <c r="J3482" i="2"/>
  <c r="J3483" i="2"/>
  <c r="J3484" i="2"/>
  <c r="J3485" i="2"/>
  <c r="J3486" i="2"/>
  <c r="J3487" i="2"/>
  <c r="J3488" i="2"/>
  <c r="J3489" i="2"/>
  <c r="J3490" i="2"/>
  <c r="J3491" i="2"/>
  <c r="J3492" i="2"/>
  <c r="J3493" i="2"/>
  <c r="J3494" i="2"/>
  <c r="J3495" i="2"/>
  <c r="J3496" i="2"/>
  <c r="J3497" i="2"/>
  <c r="J3498" i="2"/>
  <c r="J3499" i="2"/>
  <c r="J3500" i="2"/>
  <c r="J3501" i="2"/>
  <c r="J3502" i="2"/>
  <c r="J3503" i="2"/>
  <c r="J3504" i="2"/>
  <c r="J3505" i="2"/>
  <c r="J3506" i="2"/>
  <c r="J3507" i="2"/>
  <c r="J3508" i="2"/>
  <c r="J3509" i="2"/>
  <c r="J3510" i="2"/>
  <c r="J3511" i="2"/>
  <c r="J3512" i="2"/>
  <c r="J3513" i="2"/>
  <c r="J3514" i="2"/>
  <c r="J3515" i="2"/>
  <c r="J3516" i="2"/>
  <c r="J3517" i="2"/>
  <c r="J3518" i="2"/>
  <c r="J3519" i="2"/>
  <c r="J3520" i="2"/>
  <c r="J3521" i="2"/>
  <c r="J3522" i="2"/>
  <c r="J3523" i="2"/>
  <c r="J3524" i="2"/>
  <c r="J3525" i="2"/>
  <c r="J3526" i="2"/>
  <c r="J3527" i="2"/>
  <c r="J3528" i="2"/>
  <c r="J3529" i="2"/>
  <c r="J3530" i="2"/>
  <c r="J3531" i="2"/>
  <c r="J3532" i="2"/>
  <c r="J3533" i="2"/>
  <c r="J3534" i="2"/>
  <c r="J3535" i="2"/>
  <c r="J3536" i="2"/>
  <c r="J3537" i="2"/>
  <c r="J3538" i="2"/>
  <c r="J3539" i="2"/>
  <c r="J3540" i="2"/>
  <c r="J3541" i="2"/>
  <c r="J3542" i="2"/>
  <c r="J3543" i="2"/>
  <c r="J3544" i="2"/>
  <c r="J3545" i="2"/>
  <c r="J3546" i="2"/>
  <c r="J3547" i="2"/>
  <c r="J3548" i="2"/>
  <c r="J3549" i="2"/>
  <c r="J3550" i="2"/>
  <c r="J3551" i="2"/>
  <c r="J3552" i="2"/>
  <c r="J3553" i="2"/>
  <c r="J3554" i="2"/>
  <c r="J3555" i="2"/>
  <c r="J3556" i="2"/>
  <c r="J3557" i="2"/>
  <c r="J3558" i="2"/>
  <c r="J3559" i="2"/>
  <c r="J3560" i="2"/>
  <c r="J3561" i="2"/>
  <c r="J3562" i="2"/>
  <c r="J3563" i="2"/>
  <c r="J3564" i="2"/>
  <c r="J3565" i="2"/>
  <c r="J3566" i="2"/>
  <c r="J3567" i="2"/>
  <c r="J3568" i="2"/>
  <c r="J3569" i="2"/>
  <c r="J3570" i="2"/>
  <c r="J3571" i="2"/>
  <c r="J3572" i="2"/>
  <c r="J3573" i="2"/>
  <c r="J3574" i="2"/>
  <c r="J3575" i="2"/>
  <c r="J3576" i="2"/>
  <c r="J3577" i="2"/>
  <c r="J3578" i="2"/>
  <c r="J3579" i="2"/>
  <c r="J3580" i="2"/>
  <c r="J3581" i="2"/>
  <c r="J3582" i="2"/>
  <c r="J3583" i="2"/>
  <c r="J3584" i="2"/>
  <c r="J3585" i="2"/>
  <c r="J3586" i="2"/>
  <c r="J3587" i="2"/>
  <c r="J3588" i="2"/>
  <c r="J3589" i="2"/>
  <c r="J3590" i="2"/>
  <c r="J3591" i="2"/>
  <c r="J3592" i="2"/>
  <c r="J3593" i="2"/>
  <c r="J3594" i="2"/>
  <c r="J3595" i="2"/>
  <c r="J3596" i="2"/>
  <c r="J3597" i="2"/>
  <c r="J3598" i="2"/>
  <c r="J3599" i="2"/>
  <c r="J3600" i="2"/>
  <c r="J3601" i="2"/>
  <c r="J3602" i="2"/>
  <c r="J3603" i="2"/>
  <c r="J3604" i="2"/>
  <c r="J3605" i="2"/>
  <c r="J3606" i="2"/>
  <c r="J3607" i="2"/>
  <c r="J3608" i="2"/>
  <c r="J3609" i="2"/>
  <c r="J3610" i="2"/>
  <c r="J3611" i="2"/>
  <c r="J3612" i="2"/>
  <c r="J3613" i="2"/>
  <c r="J3614" i="2"/>
  <c r="J3615" i="2"/>
  <c r="J3616" i="2"/>
  <c r="J3617" i="2"/>
  <c r="J3618" i="2"/>
  <c r="J3619" i="2"/>
  <c r="J3620" i="2"/>
  <c r="J3621" i="2"/>
  <c r="J3622" i="2"/>
  <c r="J3623" i="2"/>
  <c r="J3624" i="2"/>
  <c r="J3625" i="2"/>
  <c r="J3626" i="2"/>
  <c r="J3627" i="2"/>
  <c r="J3628" i="2"/>
  <c r="J3629" i="2"/>
  <c r="J3630" i="2"/>
  <c r="J3631" i="2"/>
  <c r="J3632" i="2"/>
  <c r="J3633" i="2"/>
  <c r="J3634" i="2"/>
  <c r="J3635" i="2"/>
  <c r="J3636" i="2"/>
  <c r="J3637" i="2"/>
  <c r="J3638" i="2"/>
  <c r="J3639" i="2"/>
  <c r="J3640" i="2"/>
  <c r="J3641" i="2"/>
  <c r="J3642" i="2"/>
  <c r="J3643" i="2"/>
  <c r="J3644" i="2"/>
  <c r="J3645" i="2"/>
  <c r="J3646" i="2"/>
  <c r="J3647" i="2"/>
  <c r="J3648" i="2"/>
  <c r="J3649" i="2"/>
  <c r="J3650" i="2"/>
  <c r="J3651" i="2"/>
  <c r="J3652" i="2"/>
  <c r="J3653" i="2"/>
  <c r="J3654" i="2"/>
  <c r="J3655" i="2"/>
  <c r="J3656" i="2"/>
  <c r="J3657" i="2"/>
  <c r="J3658" i="2"/>
  <c r="J3659" i="2"/>
  <c r="J3660" i="2"/>
  <c r="J3661" i="2"/>
  <c r="J3662" i="2"/>
  <c r="J3663" i="2"/>
  <c r="J3664" i="2"/>
  <c r="J3665" i="2"/>
  <c r="J3666" i="2"/>
  <c r="J3667" i="2"/>
  <c r="J3668" i="2"/>
  <c r="J3669" i="2"/>
  <c r="J3670" i="2"/>
  <c r="J3671" i="2"/>
  <c r="J3672" i="2"/>
  <c r="J3673" i="2"/>
  <c r="J3674" i="2"/>
  <c r="J3675" i="2"/>
  <c r="J3676" i="2"/>
  <c r="J3677" i="2"/>
  <c r="J3678" i="2"/>
  <c r="J3679" i="2"/>
  <c r="J3680" i="2"/>
  <c r="J3681" i="2"/>
  <c r="J3682" i="2"/>
  <c r="J3683" i="2"/>
  <c r="J3684" i="2"/>
  <c r="J3685" i="2"/>
  <c r="J3686" i="2"/>
  <c r="J3687" i="2"/>
  <c r="J3688" i="2"/>
  <c r="J3689" i="2"/>
  <c r="J3690" i="2"/>
  <c r="J3691" i="2"/>
  <c r="J3692" i="2"/>
  <c r="J3693" i="2"/>
  <c r="J3694" i="2"/>
  <c r="J3695" i="2"/>
  <c r="J3696" i="2"/>
  <c r="J3697" i="2"/>
  <c r="J3698" i="2"/>
  <c r="J3699" i="2"/>
  <c r="J3700" i="2"/>
  <c r="J3701" i="2"/>
  <c r="J3702" i="2"/>
  <c r="J3703" i="2"/>
  <c r="J3704" i="2"/>
  <c r="J3705" i="2"/>
  <c r="J3706" i="2"/>
  <c r="J3707" i="2"/>
  <c r="J3708" i="2"/>
  <c r="J3709" i="2"/>
  <c r="J3710" i="2"/>
  <c r="J3711" i="2"/>
  <c r="J3712" i="2"/>
  <c r="J3713" i="2"/>
  <c r="J3714" i="2"/>
  <c r="J3715" i="2"/>
  <c r="J3716" i="2"/>
  <c r="J3717" i="2"/>
  <c r="J3718" i="2"/>
  <c r="J3719" i="2"/>
  <c r="J3720" i="2"/>
  <c r="J3721" i="2"/>
  <c r="J3722" i="2"/>
  <c r="J3723" i="2"/>
  <c r="J3724" i="2"/>
  <c r="J3725" i="2"/>
  <c r="J3726" i="2"/>
  <c r="J3727" i="2"/>
  <c r="J3728" i="2"/>
  <c r="J3729" i="2"/>
  <c r="J3730" i="2"/>
  <c r="J3731" i="2"/>
  <c r="J3732" i="2"/>
  <c r="J3733" i="2"/>
  <c r="J3734" i="2"/>
  <c r="J3735" i="2"/>
  <c r="J3736" i="2"/>
  <c r="J3737" i="2"/>
  <c r="J3738" i="2"/>
  <c r="J3739" i="2"/>
  <c r="J3740" i="2"/>
  <c r="J3741" i="2"/>
  <c r="J3742" i="2"/>
  <c r="J3743" i="2"/>
  <c r="J3744" i="2"/>
  <c r="J3745" i="2"/>
  <c r="J3746" i="2"/>
  <c r="J3747" i="2"/>
  <c r="J3748" i="2"/>
  <c r="J3749" i="2"/>
  <c r="J3750" i="2"/>
  <c r="J3751" i="2"/>
  <c r="J3752" i="2"/>
  <c r="J3753" i="2"/>
  <c r="J3754" i="2"/>
  <c r="J3755" i="2"/>
  <c r="J3756" i="2"/>
  <c r="J3757" i="2"/>
  <c r="J3758" i="2"/>
  <c r="J3759" i="2"/>
  <c r="J3760" i="2"/>
  <c r="J3761" i="2"/>
  <c r="J3762" i="2"/>
  <c r="J3763" i="2"/>
  <c r="J3764" i="2"/>
  <c r="J3765" i="2"/>
  <c r="J3766" i="2"/>
  <c r="J3767" i="2"/>
  <c r="J3768" i="2"/>
  <c r="J3769" i="2"/>
  <c r="J3770" i="2"/>
  <c r="J3771" i="2"/>
  <c r="J3772" i="2"/>
  <c r="J3773" i="2"/>
  <c r="J3774" i="2"/>
  <c r="J3775" i="2"/>
  <c r="J3776" i="2"/>
  <c r="J3777" i="2"/>
  <c r="J3778" i="2"/>
  <c r="J3779" i="2"/>
  <c r="J3780" i="2"/>
  <c r="J3781" i="2"/>
  <c r="J3782" i="2"/>
  <c r="J3783" i="2"/>
  <c r="J3784" i="2"/>
  <c r="J3785" i="2"/>
  <c r="J3786" i="2"/>
  <c r="J3787" i="2"/>
  <c r="J3788" i="2"/>
  <c r="J3789" i="2"/>
  <c r="J3790" i="2"/>
  <c r="J3791" i="2"/>
  <c r="J3792" i="2"/>
  <c r="J3793" i="2"/>
  <c r="J3794" i="2"/>
  <c r="J3795" i="2"/>
  <c r="J3796" i="2"/>
  <c r="J3797" i="2"/>
  <c r="J3798" i="2"/>
  <c r="J3799" i="2"/>
  <c r="J3800" i="2"/>
  <c r="J3801" i="2"/>
  <c r="J3802" i="2"/>
  <c r="J3803" i="2"/>
  <c r="J3804" i="2"/>
  <c r="J3805" i="2"/>
  <c r="J3806" i="2"/>
  <c r="J3807" i="2"/>
  <c r="J3808" i="2"/>
  <c r="J3809" i="2"/>
  <c r="J3810" i="2"/>
  <c r="J3811" i="2"/>
  <c r="J3812" i="2"/>
  <c r="J3813" i="2"/>
  <c r="J3814" i="2"/>
  <c r="J3815" i="2"/>
  <c r="J3816" i="2"/>
  <c r="J3817" i="2"/>
  <c r="J3818" i="2"/>
  <c r="J3819" i="2"/>
  <c r="J3820" i="2"/>
  <c r="J3821" i="2"/>
  <c r="J3822" i="2"/>
  <c r="J3823" i="2"/>
  <c r="J3824" i="2"/>
  <c r="J3825" i="2"/>
  <c r="J3826" i="2"/>
  <c r="J3827" i="2"/>
  <c r="J3828" i="2"/>
  <c r="J3829" i="2"/>
  <c r="J3830" i="2"/>
  <c r="J3831" i="2"/>
  <c r="J3832" i="2"/>
  <c r="J3833" i="2"/>
  <c r="J3834" i="2"/>
  <c r="J3835" i="2"/>
  <c r="J3836" i="2"/>
  <c r="J3837" i="2"/>
  <c r="J3838" i="2"/>
  <c r="J3839" i="2"/>
  <c r="J3840" i="2"/>
  <c r="J3841" i="2"/>
  <c r="J3842" i="2"/>
  <c r="J3843" i="2"/>
  <c r="J3844" i="2"/>
  <c r="J3845" i="2"/>
  <c r="J3846" i="2"/>
  <c r="J3847" i="2"/>
  <c r="J3848" i="2"/>
  <c r="J3849" i="2"/>
  <c r="J3850" i="2"/>
  <c r="J3851" i="2"/>
  <c r="J3852" i="2"/>
  <c r="J3853" i="2"/>
  <c r="J3854" i="2"/>
  <c r="J3855" i="2"/>
  <c r="J3856" i="2"/>
  <c r="J3857" i="2"/>
  <c r="J3858" i="2"/>
  <c r="J3859" i="2"/>
  <c r="J3860" i="2"/>
  <c r="J3861" i="2"/>
  <c r="J3862" i="2"/>
  <c r="J3863" i="2"/>
  <c r="J3864" i="2"/>
  <c r="J3865" i="2"/>
  <c r="J3866" i="2"/>
  <c r="J3867" i="2"/>
  <c r="J3868" i="2"/>
  <c r="J3869" i="2"/>
  <c r="J3870" i="2"/>
  <c r="J3871" i="2"/>
  <c r="J3872" i="2"/>
  <c r="J3873" i="2"/>
  <c r="J3874" i="2"/>
  <c r="J3875" i="2"/>
  <c r="J3876" i="2"/>
  <c r="J3877" i="2"/>
  <c r="J3878" i="2"/>
  <c r="J3879" i="2"/>
  <c r="J3880" i="2"/>
  <c r="J3881" i="2"/>
  <c r="J3882" i="2"/>
  <c r="J3883" i="2"/>
  <c r="J3884" i="2"/>
  <c r="J3885" i="2"/>
  <c r="J3886" i="2"/>
  <c r="J3887" i="2"/>
  <c r="J3888" i="2"/>
  <c r="J3889" i="2"/>
  <c r="J3890" i="2"/>
  <c r="J3891" i="2"/>
  <c r="J3892" i="2"/>
  <c r="J3893" i="2"/>
  <c r="J3894" i="2"/>
  <c r="J3895" i="2"/>
  <c r="J3896" i="2"/>
  <c r="J3897" i="2"/>
  <c r="J3898" i="2"/>
  <c r="J3899" i="2"/>
  <c r="J3900" i="2"/>
  <c r="J3901" i="2"/>
  <c r="J3902" i="2"/>
  <c r="J3903" i="2"/>
  <c r="J3904" i="2"/>
  <c r="J3905" i="2"/>
  <c r="J3906" i="2"/>
  <c r="J3907" i="2"/>
  <c r="J3908" i="2"/>
  <c r="J3909" i="2"/>
  <c r="J3910" i="2"/>
  <c r="J3911" i="2"/>
  <c r="J3912" i="2"/>
  <c r="J3913" i="2"/>
  <c r="J3914" i="2"/>
  <c r="J3915" i="2"/>
  <c r="J3916" i="2"/>
  <c r="J3917" i="2"/>
  <c r="J3918" i="2"/>
  <c r="J3919" i="2"/>
  <c r="J3920" i="2"/>
  <c r="J3921" i="2"/>
  <c r="J3922" i="2"/>
  <c r="J3923" i="2"/>
  <c r="J3924" i="2"/>
  <c r="J3925" i="2"/>
  <c r="J3926" i="2"/>
  <c r="J3927" i="2"/>
  <c r="J3928" i="2"/>
  <c r="J3929" i="2"/>
  <c r="J3930" i="2"/>
  <c r="J3931" i="2"/>
  <c r="J3932" i="2"/>
  <c r="J3933" i="2"/>
  <c r="J3934" i="2"/>
  <c r="J3935" i="2"/>
  <c r="J3936" i="2"/>
  <c r="J3937" i="2"/>
  <c r="J3938" i="2"/>
  <c r="J3939" i="2"/>
  <c r="J3940" i="2"/>
  <c r="J3941" i="2"/>
  <c r="J3942" i="2"/>
  <c r="J3943" i="2"/>
  <c r="J3944" i="2"/>
  <c r="J3945" i="2"/>
  <c r="J3946" i="2"/>
  <c r="J3947" i="2"/>
  <c r="J3948" i="2"/>
  <c r="J3949" i="2"/>
  <c r="J3950" i="2"/>
  <c r="J3951" i="2"/>
  <c r="J3952" i="2"/>
  <c r="J3953" i="2"/>
  <c r="J3954" i="2"/>
  <c r="J3955" i="2"/>
  <c r="J3956" i="2"/>
  <c r="J3957" i="2"/>
  <c r="J3958" i="2"/>
  <c r="J3959" i="2"/>
  <c r="J3960" i="2"/>
  <c r="J3961" i="2"/>
  <c r="J3962" i="2"/>
  <c r="J3963" i="2"/>
  <c r="J3964" i="2"/>
  <c r="J3965" i="2"/>
  <c r="J3966" i="2"/>
  <c r="J3967" i="2"/>
  <c r="J3968" i="2"/>
  <c r="J3969" i="2"/>
  <c r="J3970" i="2"/>
  <c r="J3971" i="2"/>
  <c r="J3972" i="2"/>
  <c r="J3973" i="2"/>
  <c r="J3974" i="2"/>
  <c r="J3975" i="2"/>
  <c r="J3976" i="2"/>
  <c r="J3977" i="2"/>
  <c r="J3978" i="2"/>
  <c r="J3979" i="2"/>
  <c r="J3980" i="2"/>
  <c r="J3981" i="2"/>
  <c r="J3982" i="2"/>
  <c r="J3983" i="2"/>
  <c r="J3984" i="2"/>
  <c r="J3985" i="2"/>
  <c r="J3986" i="2"/>
  <c r="J3987" i="2"/>
  <c r="J3988" i="2"/>
  <c r="J3989" i="2"/>
  <c r="J3990" i="2"/>
  <c r="J3991" i="2"/>
  <c r="J3992" i="2"/>
  <c r="J3993" i="2"/>
  <c r="J3994" i="2"/>
  <c r="J3995" i="2"/>
  <c r="J3996" i="2"/>
  <c r="J3997" i="2"/>
  <c r="J3998" i="2"/>
  <c r="J3999" i="2"/>
  <c r="J4000" i="2"/>
  <c r="J4001" i="2"/>
  <c r="J4002" i="2"/>
  <c r="J4003" i="2"/>
  <c r="J4004" i="2"/>
  <c r="J4005" i="2"/>
  <c r="J4006" i="2"/>
  <c r="J4007" i="2"/>
  <c r="J4008" i="2"/>
  <c r="J4009" i="2"/>
  <c r="J4010" i="2"/>
  <c r="J4011" i="2"/>
  <c r="J4012" i="2"/>
  <c r="J4013" i="2"/>
  <c r="J4014" i="2"/>
  <c r="J4015" i="2"/>
  <c r="J4016" i="2"/>
  <c r="J4017" i="2"/>
  <c r="J4018" i="2"/>
  <c r="J4019" i="2"/>
  <c r="J4020" i="2"/>
  <c r="J4021" i="2"/>
  <c r="J4022" i="2"/>
  <c r="J4023" i="2"/>
  <c r="J4024" i="2"/>
  <c r="J4025" i="2"/>
  <c r="J4026" i="2"/>
  <c r="J4027" i="2"/>
  <c r="J4028" i="2"/>
  <c r="J4029" i="2"/>
  <c r="J4030" i="2"/>
  <c r="J4031" i="2"/>
  <c r="J4032" i="2"/>
  <c r="J4033" i="2"/>
  <c r="J4034" i="2"/>
  <c r="J4035" i="2"/>
  <c r="J4036" i="2"/>
  <c r="J4037" i="2"/>
  <c r="J4038" i="2"/>
  <c r="J4039" i="2"/>
  <c r="J4040" i="2"/>
  <c r="J4041" i="2"/>
  <c r="J4042" i="2"/>
  <c r="J4043" i="2"/>
  <c r="J4044" i="2"/>
  <c r="J4045" i="2"/>
  <c r="J4046" i="2"/>
  <c r="J4047" i="2"/>
  <c r="J4048" i="2"/>
  <c r="J4049" i="2"/>
  <c r="J4050" i="2"/>
  <c r="J4051" i="2"/>
  <c r="J4052" i="2"/>
  <c r="J4053" i="2"/>
  <c r="J4054" i="2"/>
  <c r="J4055" i="2"/>
  <c r="J4056" i="2"/>
  <c r="J4057" i="2"/>
  <c r="J4058" i="2"/>
  <c r="J4059" i="2"/>
  <c r="J4060" i="2"/>
  <c r="J4061" i="2"/>
  <c r="J4062" i="2"/>
  <c r="J4063" i="2"/>
  <c r="J4064" i="2"/>
  <c r="J4065" i="2"/>
  <c r="J4066" i="2"/>
  <c r="J4067" i="2"/>
  <c r="J4068" i="2"/>
  <c r="J4069" i="2"/>
  <c r="J4070" i="2"/>
  <c r="J4071" i="2"/>
  <c r="J4072" i="2"/>
  <c r="J4073" i="2"/>
  <c r="J4074" i="2"/>
  <c r="J4075" i="2"/>
  <c r="J4076" i="2"/>
  <c r="J4077" i="2"/>
  <c r="J4078" i="2"/>
  <c r="J4079" i="2"/>
  <c r="J4080" i="2"/>
  <c r="J4081" i="2"/>
  <c r="J4082" i="2"/>
  <c r="J4083" i="2"/>
  <c r="J4084" i="2"/>
  <c r="J4085" i="2"/>
  <c r="J4086" i="2"/>
  <c r="J4087" i="2"/>
  <c r="J4088" i="2"/>
  <c r="J4089" i="2"/>
  <c r="J4090" i="2"/>
  <c r="J4091" i="2"/>
  <c r="J4092" i="2"/>
  <c r="J4093" i="2"/>
  <c r="J4094" i="2"/>
  <c r="J4095" i="2"/>
  <c r="J4096" i="2"/>
  <c r="J4097" i="2"/>
  <c r="J4098" i="2"/>
  <c r="J4099" i="2"/>
  <c r="J4100" i="2"/>
  <c r="J4101" i="2"/>
  <c r="J4102" i="2"/>
  <c r="J4103" i="2"/>
  <c r="J4104" i="2"/>
  <c r="J4105" i="2"/>
  <c r="J4106" i="2"/>
  <c r="J4107" i="2"/>
  <c r="J4108" i="2"/>
  <c r="J4109" i="2"/>
  <c r="J4110" i="2"/>
  <c r="J4111" i="2"/>
  <c r="J4112" i="2"/>
  <c r="J4113" i="2"/>
  <c r="J4114" i="2"/>
  <c r="J4115" i="2"/>
  <c r="J4116" i="2"/>
  <c r="J4117" i="2"/>
  <c r="J4118" i="2"/>
  <c r="J4119" i="2"/>
  <c r="J4120" i="2"/>
  <c r="J4121" i="2"/>
  <c r="J4122" i="2"/>
  <c r="J4123" i="2"/>
  <c r="J4124" i="2"/>
  <c r="J4125" i="2"/>
  <c r="J4126" i="2"/>
  <c r="J4127" i="2"/>
  <c r="J4128" i="2"/>
  <c r="J4129" i="2"/>
  <c r="J4130" i="2"/>
  <c r="J4131" i="2"/>
  <c r="J4132" i="2"/>
  <c r="J4133" i="2"/>
  <c r="J4134" i="2"/>
  <c r="J4135" i="2"/>
  <c r="J4136" i="2"/>
  <c r="J4137" i="2"/>
  <c r="J4138" i="2"/>
  <c r="J4139" i="2"/>
  <c r="J4140" i="2"/>
  <c r="J4141" i="2"/>
  <c r="J4142" i="2"/>
  <c r="J4143" i="2"/>
  <c r="J4144" i="2"/>
  <c r="J4145" i="2"/>
  <c r="J4146" i="2"/>
  <c r="J4147" i="2"/>
  <c r="J4148" i="2"/>
  <c r="J4149" i="2"/>
  <c r="J4150" i="2"/>
  <c r="J4151" i="2"/>
  <c r="J4152" i="2"/>
  <c r="J4153" i="2"/>
  <c r="J4154" i="2"/>
  <c r="J4155" i="2"/>
  <c r="J4156" i="2"/>
  <c r="J4157" i="2"/>
  <c r="J4158" i="2"/>
  <c r="J4159" i="2"/>
  <c r="J4160" i="2"/>
  <c r="J4161" i="2"/>
  <c r="J4162" i="2"/>
  <c r="J4163" i="2"/>
  <c r="J4164" i="2"/>
  <c r="J4165" i="2"/>
  <c r="J4166" i="2"/>
  <c r="J4167" i="2"/>
  <c r="J4168" i="2"/>
  <c r="J4169" i="2"/>
  <c r="J4170" i="2"/>
  <c r="J4171" i="2"/>
  <c r="J4172" i="2"/>
  <c r="J4173" i="2"/>
  <c r="J4174" i="2"/>
  <c r="J4175" i="2"/>
  <c r="J4176" i="2"/>
  <c r="J4177" i="2"/>
  <c r="J4178" i="2"/>
  <c r="J4179" i="2"/>
  <c r="J4180" i="2"/>
  <c r="J4181" i="2"/>
  <c r="J4182" i="2"/>
  <c r="J4183" i="2"/>
  <c r="J4184" i="2"/>
  <c r="J4185" i="2"/>
  <c r="J4186" i="2"/>
  <c r="J4187" i="2"/>
  <c r="J4188" i="2"/>
  <c r="J4189" i="2"/>
  <c r="J4190" i="2"/>
  <c r="J4191" i="2"/>
  <c r="J4192" i="2"/>
  <c r="J4193" i="2"/>
  <c r="J4194" i="2"/>
  <c r="J4195" i="2"/>
  <c r="J4196" i="2"/>
  <c r="J4197" i="2"/>
  <c r="J4198" i="2"/>
  <c r="J4199" i="2"/>
  <c r="J4200" i="2"/>
  <c r="J4201" i="2"/>
  <c r="J4202" i="2"/>
  <c r="J4203" i="2"/>
  <c r="J4204" i="2"/>
  <c r="J4205" i="2"/>
  <c r="J4206" i="2"/>
  <c r="J4207" i="2"/>
  <c r="J4208" i="2"/>
  <c r="J4209" i="2"/>
  <c r="J4210" i="2"/>
  <c r="J4211" i="2"/>
  <c r="J4212" i="2"/>
  <c r="J4213" i="2"/>
  <c r="J4214" i="2"/>
  <c r="J4215" i="2"/>
  <c r="J4216" i="2"/>
  <c r="J4217" i="2"/>
  <c r="J4218" i="2"/>
  <c r="J4219" i="2"/>
  <c r="J4220" i="2"/>
  <c r="J4221" i="2"/>
  <c r="J4222" i="2"/>
  <c r="J4223" i="2"/>
  <c r="J4224" i="2"/>
  <c r="J4225" i="2"/>
  <c r="J4226" i="2"/>
  <c r="J4227" i="2"/>
  <c r="J4228" i="2"/>
  <c r="J4229" i="2"/>
  <c r="J4230" i="2"/>
  <c r="J4231" i="2"/>
  <c r="J4232" i="2"/>
  <c r="J4233" i="2"/>
  <c r="J4234" i="2"/>
  <c r="J4235" i="2"/>
  <c r="J4236" i="2"/>
  <c r="J4237" i="2"/>
  <c r="J4238" i="2"/>
  <c r="J4239" i="2"/>
  <c r="J4240" i="2"/>
  <c r="J4241" i="2"/>
  <c r="J4242" i="2"/>
  <c r="J4243" i="2"/>
  <c r="J4244" i="2"/>
  <c r="J4245" i="2"/>
  <c r="J4246" i="2"/>
  <c r="J4247" i="2"/>
  <c r="J4248" i="2"/>
  <c r="J4249" i="2"/>
  <c r="J4250" i="2"/>
  <c r="J4251" i="2"/>
  <c r="J4252" i="2"/>
  <c r="J4253" i="2"/>
  <c r="J4254" i="2"/>
  <c r="J4255" i="2"/>
  <c r="J4256" i="2"/>
  <c r="J4257" i="2"/>
  <c r="J4258" i="2"/>
  <c r="J4259" i="2"/>
  <c r="J4260" i="2"/>
  <c r="J4261" i="2"/>
  <c r="J4262" i="2"/>
  <c r="J4263" i="2"/>
  <c r="J4264" i="2"/>
  <c r="J4265" i="2"/>
  <c r="J4266" i="2"/>
  <c r="J4267" i="2"/>
  <c r="J4268" i="2"/>
  <c r="J4269" i="2"/>
  <c r="J4270" i="2"/>
  <c r="J4271" i="2"/>
  <c r="J4272" i="2"/>
  <c r="J4273" i="2"/>
  <c r="J4274" i="2"/>
  <c r="J4275" i="2"/>
  <c r="J4276" i="2"/>
  <c r="J4277" i="2"/>
  <c r="J4278" i="2"/>
  <c r="J4279" i="2"/>
  <c r="J4280" i="2"/>
  <c r="J4281" i="2"/>
  <c r="J4282" i="2"/>
  <c r="J4283" i="2"/>
  <c r="J4284" i="2"/>
  <c r="J4285" i="2"/>
  <c r="J4286" i="2"/>
  <c r="J4287" i="2"/>
  <c r="J4288" i="2"/>
  <c r="J4289" i="2"/>
  <c r="J4290" i="2"/>
  <c r="J4291" i="2"/>
  <c r="J4292" i="2"/>
  <c r="J4293" i="2"/>
  <c r="J4294" i="2"/>
  <c r="J4295" i="2"/>
  <c r="J4296" i="2"/>
  <c r="J4297" i="2"/>
  <c r="J4298" i="2"/>
  <c r="J4299" i="2"/>
  <c r="J4300" i="2"/>
  <c r="J4301" i="2"/>
  <c r="J4302" i="2"/>
  <c r="J4303" i="2"/>
  <c r="J4304" i="2"/>
  <c r="J4305" i="2"/>
  <c r="J4306" i="2"/>
  <c r="J4307" i="2"/>
  <c r="J4308" i="2"/>
  <c r="J4309" i="2"/>
  <c r="J4310" i="2"/>
  <c r="J4311" i="2"/>
  <c r="J4312" i="2"/>
  <c r="J4313" i="2"/>
  <c r="J4314" i="2"/>
  <c r="J4315" i="2"/>
  <c r="J4316" i="2"/>
  <c r="J4317" i="2"/>
  <c r="J4318" i="2"/>
  <c r="J4319" i="2"/>
  <c r="J4320" i="2"/>
  <c r="J4321" i="2"/>
  <c r="J4322" i="2"/>
  <c r="J4323" i="2"/>
  <c r="J4324" i="2"/>
  <c r="J4325" i="2"/>
  <c r="J4326" i="2"/>
  <c r="J4327" i="2"/>
  <c r="J4328" i="2"/>
  <c r="J4329" i="2"/>
  <c r="J4330" i="2"/>
  <c r="J4331" i="2"/>
  <c r="J4332" i="2"/>
  <c r="J4333" i="2"/>
  <c r="J4334" i="2"/>
  <c r="J4335" i="2"/>
  <c r="J4336" i="2"/>
  <c r="J4337" i="2"/>
  <c r="J4338" i="2"/>
  <c r="J4339" i="2"/>
  <c r="J4340" i="2"/>
  <c r="J4341" i="2"/>
  <c r="J4342" i="2"/>
  <c r="J4343" i="2"/>
  <c r="J4344" i="2"/>
  <c r="J4345" i="2"/>
  <c r="J4346" i="2"/>
  <c r="J4347" i="2"/>
  <c r="J4348" i="2"/>
  <c r="J4349" i="2"/>
  <c r="J4350" i="2"/>
  <c r="J4351" i="2"/>
  <c r="J4352" i="2"/>
  <c r="J4353" i="2"/>
  <c r="J4354" i="2"/>
  <c r="J4355" i="2"/>
  <c r="J4356" i="2"/>
  <c r="J4357" i="2"/>
  <c r="J4358" i="2"/>
  <c r="J4359" i="2"/>
  <c r="J4360" i="2"/>
  <c r="J4361" i="2"/>
  <c r="J4362" i="2"/>
  <c r="J4363" i="2"/>
  <c r="J4364" i="2"/>
  <c r="J4365" i="2"/>
  <c r="J4366" i="2"/>
  <c r="J4367" i="2"/>
  <c r="J4368" i="2"/>
  <c r="J4369" i="2"/>
  <c r="J4370" i="2"/>
  <c r="J4371" i="2"/>
  <c r="J4372" i="2"/>
  <c r="J4373" i="2"/>
  <c r="J4374" i="2"/>
  <c r="J4375" i="2"/>
  <c r="J4376" i="2"/>
  <c r="J4377" i="2"/>
  <c r="J4378" i="2"/>
  <c r="J4379" i="2"/>
  <c r="J4380" i="2"/>
  <c r="J4381" i="2"/>
  <c r="J4382" i="2"/>
  <c r="J4383" i="2"/>
  <c r="J4384" i="2"/>
  <c r="J4385" i="2"/>
  <c r="J4386" i="2"/>
  <c r="J4387" i="2"/>
  <c r="J4388" i="2"/>
  <c r="J4389" i="2"/>
  <c r="J4390" i="2"/>
  <c r="J4391" i="2"/>
  <c r="J4392" i="2"/>
  <c r="J4393" i="2"/>
  <c r="J4394" i="2"/>
  <c r="J4395" i="2"/>
  <c r="J4396" i="2"/>
  <c r="J4397" i="2"/>
  <c r="J4398" i="2"/>
  <c r="J4399" i="2"/>
  <c r="J4400" i="2"/>
  <c r="J4401" i="2"/>
  <c r="J4402" i="2"/>
  <c r="J4403" i="2"/>
  <c r="J4404" i="2"/>
  <c r="J4405" i="2"/>
  <c r="J4406" i="2"/>
  <c r="J4407" i="2"/>
  <c r="J4408" i="2"/>
  <c r="J4409" i="2"/>
  <c r="J4410" i="2"/>
  <c r="J4411" i="2"/>
  <c r="J4412" i="2"/>
  <c r="J4413" i="2"/>
  <c r="J4414" i="2"/>
  <c r="J4415" i="2"/>
  <c r="J4416" i="2"/>
  <c r="J4417" i="2"/>
  <c r="J4418" i="2"/>
  <c r="J4419" i="2"/>
  <c r="J4420" i="2"/>
  <c r="J4421" i="2"/>
  <c r="J4422" i="2"/>
  <c r="J4423" i="2"/>
  <c r="J4424" i="2"/>
  <c r="J4425" i="2"/>
  <c r="J4426" i="2"/>
  <c r="J4427" i="2"/>
  <c r="J4428" i="2"/>
  <c r="J4429" i="2"/>
  <c r="J4430" i="2"/>
  <c r="J4431" i="2"/>
  <c r="J4432" i="2"/>
  <c r="J4433" i="2"/>
  <c r="J4434" i="2"/>
  <c r="J4435" i="2"/>
  <c r="J4436" i="2"/>
  <c r="J4437" i="2"/>
  <c r="J4438" i="2"/>
  <c r="J4439" i="2"/>
  <c r="J4440" i="2"/>
  <c r="J4441" i="2"/>
  <c r="J4442" i="2"/>
  <c r="J4443" i="2"/>
  <c r="J4444" i="2"/>
  <c r="J4445" i="2"/>
  <c r="J4446" i="2"/>
  <c r="J4447" i="2"/>
  <c r="J4448" i="2"/>
  <c r="J4449" i="2"/>
  <c r="J4450" i="2"/>
  <c r="J4451" i="2"/>
  <c r="J4452" i="2"/>
  <c r="J4453" i="2"/>
  <c r="J4454" i="2"/>
  <c r="J4455" i="2"/>
  <c r="J4456" i="2"/>
  <c r="J4457" i="2"/>
  <c r="J4458" i="2"/>
  <c r="J4459" i="2"/>
  <c r="J4460" i="2"/>
  <c r="J4461" i="2"/>
  <c r="J4462" i="2"/>
  <c r="J4463" i="2"/>
  <c r="J4464" i="2"/>
  <c r="J4465" i="2"/>
  <c r="J4466" i="2"/>
  <c r="J4467" i="2"/>
  <c r="J4468" i="2"/>
  <c r="J4469" i="2"/>
  <c r="J4470" i="2"/>
  <c r="J4471" i="2"/>
  <c r="J4472" i="2"/>
  <c r="J4473" i="2"/>
  <c r="J4474" i="2"/>
  <c r="J4475" i="2"/>
  <c r="J4476" i="2"/>
  <c r="J4477" i="2"/>
  <c r="J4478" i="2"/>
  <c r="J4479" i="2"/>
  <c r="J4480" i="2"/>
  <c r="J4481" i="2"/>
  <c r="J4482" i="2"/>
  <c r="J4483" i="2"/>
  <c r="J4484" i="2"/>
  <c r="J4485" i="2"/>
  <c r="J4486" i="2"/>
  <c r="J4487" i="2"/>
  <c r="J4488" i="2"/>
  <c r="J4489" i="2"/>
  <c r="J4490" i="2"/>
  <c r="J4491" i="2"/>
  <c r="J4492" i="2"/>
  <c r="J4493" i="2"/>
  <c r="J4494" i="2"/>
  <c r="J4495" i="2"/>
  <c r="J4496" i="2"/>
  <c r="J4497" i="2"/>
  <c r="J4498" i="2"/>
  <c r="J4499" i="2"/>
  <c r="J4500" i="2"/>
  <c r="J4501" i="2"/>
  <c r="J4502" i="2"/>
  <c r="J4503" i="2"/>
  <c r="J4504" i="2"/>
  <c r="J4505" i="2"/>
  <c r="J4506" i="2"/>
  <c r="J4507" i="2"/>
  <c r="J4508" i="2"/>
  <c r="J4509" i="2"/>
  <c r="J4510" i="2"/>
  <c r="J4511" i="2"/>
  <c r="J4512" i="2"/>
  <c r="J4513" i="2"/>
  <c r="J4514" i="2"/>
  <c r="J4515" i="2"/>
  <c r="J4516" i="2"/>
  <c r="J4517" i="2"/>
  <c r="J4518" i="2"/>
  <c r="J4519" i="2"/>
  <c r="J4520" i="2"/>
  <c r="J4521" i="2"/>
  <c r="J4522" i="2"/>
  <c r="J4523" i="2"/>
  <c r="J4524" i="2"/>
  <c r="J4525" i="2"/>
  <c r="J4526" i="2"/>
  <c r="J4527" i="2"/>
  <c r="J4528" i="2"/>
  <c r="J4529" i="2"/>
  <c r="J4530" i="2"/>
  <c r="J4531" i="2"/>
  <c r="J4532" i="2"/>
  <c r="J4533" i="2"/>
  <c r="J4534" i="2"/>
  <c r="J4535" i="2"/>
  <c r="J4536" i="2"/>
  <c r="J4537" i="2"/>
  <c r="J4538" i="2"/>
  <c r="J4539" i="2"/>
  <c r="J4540" i="2"/>
  <c r="J4541" i="2"/>
  <c r="J4542" i="2"/>
  <c r="J4543" i="2"/>
  <c r="J4544" i="2"/>
  <c r="J4545" i="2"/>
  <c r="J4546" i="2"/>
  <c r="J4547" i="2"/>
  <c r="J4548" i="2"/>
  <c r="J4549" i="2"/>
  <c r="J4550" i="2"/>
  <c r="J4551" i="2"/>
  <c r="J4552" i="2"/>
  <c r="J4553" i="2"/>
  <c r="J4554" i="2"/>
  <c r="J4555" i="2"/>
  <c r="J4556" i="2"/>
  <c r="J4557" i="2"/>
  <c r="J4558" i="2"/>
  <c r="J4559" i="2"/>
  <c r="J4560" i="2"/>
  <c r="J4561" i="2"/>
  <c r="J4562" i="2"/>
  <c r="J4563" i="2"/>
  <c r="J4564" i="2"/>
  <c r="J4565" i="2"/>
  <c r="J4566" i="2"/>
  <c r="J4567" i="2"/>
  <c r="J4568" i="2"/>
  <c r="J4569" i="2"/>
  <c r="J4570" i="2"/>
  <c r="J4571" i="2"/>
  <c r="J4572" i="2"/>
  <c r="J4573" i="2"/>
  <c r="J4574" i="2"/>
  <c r="J4575" i="2"/>
  <c r="J4576" i="2"/>
  <c r="J4577" i="2"/>
  <c r="J4578" i="2"/>
  <c r="J4579" i="2"/>
  <c r="J4580" i="2"/>
  <c r="J4581" i="2"/>
  <c r="J4582" i="2"/>
  <c r="J4583" i="2"/>
  <c r="J4584" i="2"/>
  <c r="J4585" i="2"/>
  <c r="J4586" i="2"/>
  <c r="J4587" i="2"/>
  <c r="J4588" i="2"/>
  <c r="J4589" i="2"/>
  <c r="J4590" i="2"/>
  <c r="J4591" i="2"/>
  <c r="J4592" i="2"/>
  <c r="J4593" i="2"/>
  <c r="J4594" i="2"/>
  <c r="J4595" i="2"/>
  <c r="J4596" i="2"/>
  <c r="J4597" i="2"/>
  <c r="J4598" i="2"/>
  <c r="J4599" i="2"/>
  <c r="J4600" i="2"/>
  <c r="J4601" i="2"/>
  <c r="J4602" i="2"/>
  <c r="J4603" i="2"/>
  <c r="J4604" i="2"/>
  <c r="J4605" i="2"/>
  <c r="J4606" i="2"/>
  <c r="J4607" i="2"/>
  <c r="J4608" i="2"/>
  <c r="J4609" i="2"/>
  <c r="J4610" i="2"/>
  <c r="J4611" i="2"/>
  <c r="J4612" i="2"/>
  <c r="J4613" i="2"/>
  <c r="J4614" i="2"/>
  <c r="J4615" i="2"/>
  <c r="J4616" i="2"/>
  <c r="J4617" i="2"/>
  <c r="J4618" i="2"/>
  <c r="J4619" i="2"/>
  <c r="J4620" i="2"/>
  <c r="J4621" i="2"/>
  <c r="J4622" i="2"/>
  <c r="J4623" i="2"/>
  <c r="J4624" i="2"/>
  <c r="J4625" i="2"/>
  <c r="J4626" i="2"/>
  <c r="J4627" i="2"/>
  <c r="J4628" i="2"/>
  <c r="J4629" i="2"/>
  <c r="J4630" i="2"/>
  <c r="J4631" i="2"/>
  <c r="J4632" i="2"/>
  <c r="J4633" i="2"/>
  <c r="J4634" i="2"/>
  <c r="J4635" i="2"/>
  <c r="J4636" i="2"/>
  <c r="J4637" i="2"/>
  <c r="J4638" i="2"/>
  <c r="J4639" i="2"/>
  <c r="J4640" i="2"/>
  <c r="J4641" i="2"/>
  <c r="J4642" i="2"/>
  <c r="J4643" i="2"/>
  <c r="J4644" i="2"/>
  <c r="J4645" i="2"/>
  <c r="J4646" i="2"/>
  <c r="J4647" i="2"/>
  <c r="J4648" i="2"/>
  <c r="J4649" i="2"/>
  <c r="J4650" i="2"/>
  <c r="J4651" i="2"/>
  <c r="J4652" i="2"/>
  <c r="J4653" i="2"/>
  <c r="J4654" i="2"/>
  <c r="J4655" i="2"/>
  <c r="J4656" i="2"/>
  <c r="J4657" i="2"/>
  <c r="J4658" i="2"/>
  <c r="J4659" i="2"/>
  <c r="J4660" i="2"/>
  <c r="J4661" i="2"/>
  <c r="J4662" i="2"/>
  <c r="J4663" i="2"/>
  <c r="J4664" i="2"/>
  <c r="J4665" i="2"/>
  <c r="J4666" i="2"/>
  <c r="J4667" i="2"/>
  <c r="J4668" i="2"/>
  <c r="J4669" i="2"/>
  <c r="J4670" i="2"/>
  <c r="J4671" i="2"/>
  <c r="J4672" i="2"/>
  <c r="J4673" i="2"/>
  <c r="J4674" i="2"/>
  <c r="J4675" i="2"/>
  <c r="J4676" i="2"/>
  <c r="J4677" i="2"/>
  <c r="J4678" i="2"/>
  <c r="J4679" i="2"/>
  <c r="J4680" i="2"/>
  <c r="J4681" i="2"/>
  <c r="J4682" i="2"/>
  <c r="J4683" i="2"/>
  <c r="J4684" i="2"/>
  <c r="J4685" i="2"/>
  <c r="J4686" i="2"/>
  <c r="J4687" i="2"/>
  <c r="J4688" i="2"/>
  <c r="J4689" i="2"/>
  <c r="J4690" i="2"/>
  <c r="J4691" i="2"/>
  <c r="J4692" i="2"/>
  <c r="J4693" i="2"/>
  <c r="J4694" i="2"/>
  <c r="J4695" i="2"/>
  <c r="J4696" i="2"/>
  <c r="J4697" i="2"/>
  <c r="J4698" i="2"/>
  <c r="J4699" i="2"/>
  <c r="J4700" i="2"/>
  <c r="J4701" i="2"/>
  <c r="J4702" i="2"/>
  <c r="J4703" i="2"/>
  <c r="J4704" i="2"/>
  <c r="J4705" i="2"/>
  <c r="J4706" i="2"/>
  <c r="J4707" i="2"/>
  <c r="J4708" i="2"/>
  <c r="J4709" i="2"/>
  <c r="J4710" i="2"/>
  <c r="J4711" i="2"/>
  <c r="J4712" i="2"/>
  <c r="J4713" i="2"/>
  <c r="J4714" i="2"/>
  <c r="J4715" i="2"/>
  <c r="J4716" i="2"/>
  <c r="J4717" i="2"/>
  <c r="J4718" i="2"/>
  <c r="J4719" i="2"/>
  <c r="J4720" i="2"/>
  <c r="J4721" i="2"/>
  <c r="J4722" i="2"/>
  <c r="J4723" i="2"/>
  <c r="J4724" i="2"/>
  <c r="J4725" i="2"/>
  <c r="J4726" i="2"/>
  <c r="J4727" i="2"/>
  <c r="J4728" i="2"/>
  <c r="J4729" i="2"/>
  <c r="J4730" i="2"/>
  <c r="J4731" i="2"/>
  <c r="J4732" i="2"/>
  <c r="J4733" i="2"/>
  <c r="J4734" i="2"/>
  <c r="J4735" i="2"/>
  <c r="J4736" i="2"/>
  <c r="J4737" i="2"/>
  <c r="J4738" i="2"/>
  <c r="J4739" i="2"/>
  <c r="J4740" i="2"/>
  <c r="J4741" i="2"/>
  <c r="J4742" i="2"/>
  <c r="J4743" i="2"/>
  <c r="J4744" i="2"/>
  <c r="J4745" i="2"/>
  <c r="J4746" i="2"/>
  <c r="J4747" i="2"/>
  <c r="J4748" i="2"/>
  <c r="J4749" i="2"/>
  <c r="J4750" i="2"/>
  <c r="J4751" i="2"/>
  <c r="J4752" i="2"/>
  <c r="J4753" i="2"/>
  <c r="J4754" i="2"/>
  <c r="J4755" i="2"/>
  <c r="J4756" i="2"/>
  <c r="J4757" i="2"/>
  <c r="J4758" i="2"/>
  <c r="J4759" i="2"/>
  <c r="J4760" i="2"/>
  <c r="J4761" i="2"/>
  <c r="J4762" i="2"/>
  <c r="J4763" i="2"/>
  <c r="J4764" i="2"/>
  <c r="J4765" i="2"/>
  <c r="J4766" i="2"/>
  <c r="J4767" i="2"/>
  <c r="J4768" i="2"/>
  <c r="J4769" i="2"/>
  <c r="J4770" i="2"/>
  <c r="J4771" i="2"/>
  <c r="J4772" i="2"/>
  <c r="J4773" i="2"/>
  <c r="J4774" i="2"/>
  <c r="J4775" i="2"/>
  <c r="J4776" i="2"/>
  <c r="J4777" i="2"/>
  <c r="J4778" i="2"/>
  <c r="J4779" i="2"/>
  <c r="J4780" i="2"/>
  <c r="J4781" i="2"/>
  <c r="J4782" i="2"/>
  <c r="J4783" i="2"/>
  <c r="J4784" i="2"/>
  <c r="J4785" i="2"/>
  <c r="J4786" i="2"/>
  <c r="J4787" i="2"/>
  <c r="J4788" i="2"/>
  <c r="J4789" i="2"/>
  <c r="J4790" i="2"/>
  <c r="J4791" i="2"/>
  <c r="J4792" i="2"/>
  <c r="J4793" i="2"/>
  <c r="J4794" i="2"/>
  <c r="J4795" i="2"/>
  <c r="J4796" i="2"/>
  <c r="J4797" i="2"/>
  <c r="J4798" i="2"/>
  <c r="J4799" i="2"/>
  <c r="J4800" i="2"/>
  <c r="J4801" i="2"/>
  <c r="J4802" i="2"/>
  <c r="J4803" i="2"/>
  <c r="J4804" i="2"/>
  <c r="J4805" i="2"/>
  <c r="J4806" i="2"/>
  <c r="J4807" i="2"/>
  <c r="J4808" i="2"/>
  <c r="J4809" i="2"/>
  <c r="J4810" i="2"/>
  <c r="J4811" i="2"/>
  <c r="J4812" i="2"/>
  <c r="J4813" i="2"/>
  <c r="J4814" i="2"/>
  <c r="J4815" i="2"/>
  <c r="J4816" i="2"/>
  <c r="J4817" i="2"/>
  <c r="J4818" i="2"/>
  <c r="J4819" i="2"/>
  <c r="J4820" i="2"/>
  <c r="J4821" i="2"/>
  <c r="J4822" i="2"/>
  <c r="J4823" i="2"/>
  <c r="J4824" i="2"/>
  <c r="J4825" i="2"/>
  <c r="J4826" i="2"/>
  <c r="J4827" i="2"/>
  <c r="J4828" i="2"/>
  <c r="J4829" i="2"/>
  <c r="J4830" i="2"/>
  <c r="J4831" i="2"/>
  <c r="J4832" i="2"/>
  <c r="J4833" i="2"/>
  <c r="J4834" i="2"/>
  <c r="J4835" i="2"/>
  <c r="J4836" i="2"/>
  <c r="J4837" i="2"/>
  <c r="J4838" i="2"/>
  <c r="J4839" i="2"/>
  <c r="J4840" i="2"/>
  <c r="J4841" i="2"/>
  <c r="J4842" i="2"/>
  <c r="J4843" i="2"/>
  <c r="J4844" i="2"/>
  <c r="J4845" i="2"/>
  <c r="J4846" i="2"/>
  <c r="J4847" i="2"/>
  <c r="J4848" i="2"/>
  <c r="J4849" i="2"/>
  <c r="J4850" i="2"/>
  <c r="J4851" i="2"/>
  <c r="J4852" i="2"/>
  <c r="J4853" i="2"/>
  <c r="J4854" i="2"/>
  <c r="J4855" i="2"/>
  <c r="J4856" i="2"/>
  <c r="J4857" i="2"/>
  <c r="J4858" i="2"/>
  <c r="J4859" i="2"/>
  <c r="J4860" i="2"/>
  <c r="J4861" i="2"/>
  <c r="J4862" i="2"/>
  <c r="J4863" i="2"/>
  <c r="J4864" i="2"/>
  <c r="J4865" i="2"/>
  <c r="J4866" i="2"/>
  <c r="J4867" i="2"/>
  <c r="J4868" i="2"/>
  <c r="J4869" i="2"/>
  <c r="J4870" i="2"/>
  <c r="J4871" i="2"/>
  <c r="J4872" i="2"/>
  <c r="J4873" i="2"/>
  <c r="J4874" i="2"/>
  <c r="J4875" i="2"/>
  <c r="J4876" i="2"/>
  <c r="J4877" i="2"/>
  <c r="J4878" i="2"/>
  <c r="J4879" i="2"/>
  <c r="J4880" i="2"/>
  <c r="J4881" i="2"/>
  <c r="J4882" i="2"/>
  <c r="J4883" i="2"/>
  <c r="J4884" i="2"/>
  <c r="J4885" i="2"/>
  <c r="J4886" i="2"/>
  <c r="J4887" i="2"/>
  <c r="J4888" i="2"/>
  <c r="J4889" i="2"/>
  <c r="J4890" i="2"/>
  <c r="J4891" i="2"/>
  <c r="J4892" i="2"/>
  <c r="J4893" i="2"/>
  <c r="J4894" i="2"/>
  <c r="J4895" i="2"/>
  <c r="J4896" i="2"/>
  <c r="J4897" i="2"/>
  <c r="J4898" i="2"/>
  <c r="J4899" i="2"/>
  <c r="J4900" i="2"/>
  <c r="J4901" i="2"/>
  <c r="J4902" i="2"/>
  <c r="J4903" i="2"/>
  <c r="J4904" i="2"/>
  <c r="J4905" i="2"/>
  <c r="J4906" i="2"/>
  <c r="J4907" i="2"/>
  <c r="J4908" i="2"/>
  <c r="J4909" i="2"/>
  <c r="J4910" i="2"/>
  <c r="J4911" i="2"/>
  <c r="J4912" i="2"/>
  <c r="J4913" i="2"/>
  <c r="J4914" i="2"/>
  <c r="J4915" i="2"/>
  <c r="J4916" i="2"/>
  <c r="J4917" i="2"/>
  <c r="J4918" i="2"/>
  <c r="J4919" i="2"/>
  <c r="J4920" i="2"/>
  <c r="J4921" i="2"/>
  <c r="J4922" i="2"/>
  <c r="J4923" i="2"/>
  <c r="J4924" i="2"/>
  <c r="J4925" i="2"/>
  <c r="J4926" i="2"/>
  <c r="J4927" i="2"/>
  <c r="J4928" i="2"/>
  <c r="J4929" i="2"/>
  <c r="J4930" i="2"/>
  <c r="J4931" i="2"/>
  <c r="J4932" i="2"/>
  <c r="J4933" i="2"/>
  <c r="J4934" i="2"/>
  <c r="J4935" i="2"/>
  <c r="J4936" i="2"/>
  <c r="J4937" i="2"/>
  <c r="J4938" i="2"/>
  <c r="J4939" i="2"/>
  <c r="J4940" i="2"/>
  <c r="J4941" i="2"/>
  <c r="J4942" i="2"/>
  <c r="J4943" i="2"/>
  <c r="J4944" i="2"/>
  <c r="J4945" i="2"/>
  <c r="J4946" i="2"/>
  <c r="J4947" i="2"/>
  <c r="J4948" i="2"/>
  <c r="J4949" i="2"/>
  <c r="J4950" i="2"/>
  <c r="J4951" i="2"/>
  <c r="J4952" i="2"/>
  <c r="J4953" i="2"/>
  <c r="J4954" i="2"/>
  <c r="J4955" i="2"/>
  <c r="J4956" i="2"/>
  <c r="J4957" i="2"/>
  <c r="J4958" i="2"/>
  <c r="J4959" i="2"/>
  <c r="J4960" i="2"/>
  <c r="J4961" i="2"/>
  <c r="J4962" i="2"/>
  <c r="J4963" i="2"/>
  <c r="J4964" i="2"/>
  <c r="J4965" i="2"/>
  <c r="J4966" i="2"/>
  <c r="J4967" i="2"/>
  <c r="J4968" i="2"/>
  <c r="J4969" i="2"/>
  <c r="J4970" i="2"/>
  <c r="J4971" i="2"/>
  <c r="J4972" i="2"/>
  <c r="J4973" i="2"/>
  <c r="J4974" i="2"/>
  <c r="J4975" i="2"/>
  <c r="J4976" i="2"/>
  <c r="J4977" i="2"/>
  <c r="J4978" i="2"/>
  <c r="J4979" i="2"/>
  <c r="J4980" i="2"/>
  <c r="J4981" i="2"/>
  <c r="J4982" i="2"/>
  <c r="J4983" i="2"/>
  <c r="J197" i="2"/>
  <c r="J196" i="2"/>
  <c r="J195" i="2"/>
  <c r="J192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P502" i="2"/>
  <c r="P503" i="2"/>
  <c r="P504" i="2"/>
  <c r="P505" i="2"/>
  <c r="P506" i="2"/>
  <c r="P507" i="2"/>
  <c r="P508" i="2"/>
  <c r="P509" i="2"/>
  <c r="P510" i="2"/>
  <c r="P511" i="2"/>
  <c r="P512" i="2"/>
  <c r="P513" i="2"/>
  <c r="P514" i="2"/>
  <c r="P515" i="2"/>
  <c r="P516" i="2"/>
  <c r="P517" i="2"/>
  <c r="P518" i="2"/>
  <c r="P519" i="2"/>
  <c r="P520" i="2"/>
  <c r="P521" i="2"/>
  <c r="P522" i="2"/>
  <c r="P523" i="2"/>
  <c r="P524" i="2"/>
  <c r="P525" i="2"/>
  <c r="P526" i="2"/>
  <c r="P527" i="2"/>
  <c r="P528" i="2"/>
  <c r="P529" i="2"/>
  <c r="P530" i="2"/>
  <c r="P531" i="2"/>
  <c r="P532" i="2"/>
  <c r="P533" i="2"/>
  <c r="P534" i="2"/>
  <c r="P535" i="2"/>
  <c r="P536" i="2"/>
  <c r="P537" i="2"/>
  <c r="P538" i="2"/>
  <c r="P539" i="2"/>
  <c r="P540" i="2"/>
  <c r="P541" i="2"/>
  <c r="P542" i="2"/>
  <c r="P543" i="2"/>
  <c r="P544" i="2"/>
  <c r="P545" i="2"/>
  <c r="P546" i="2"/>
  <c r="P547" i="2"/>
  <c r="P548" i="2"/>
  <c r="P549" i="2"/>
  <c r="P550" i="2"/>
  <c r="P551" i="2"/>
  <c r="P552" i="2"/>
  <c r="P553" i="2"/>
  <c r="P554" i="2"/>
  <c r="P555" i="2"/>
  <c r="P556" i="2"/>
  <c r="P557" i="2"/>
  <c r="P558" i="2"/>
  <c r="P559" i="2"/>
  <c r="P560" i="2"/>
  <c r="P561" i="2"/>
  <c r="P562" i="2"/>
  <c r="P563" i="2"/>
  <c r="P564" i="2"/>
  <c r="P565" i="2"/>
  <c r="P566" i="2"/>
  <c r="P567" i="2"/>
  <c r="P568" i="2"/>
  <c r="P569" i="2"/>
  <c r="P570" i="2"/>
  <c r="P571" i="2"/>
  <c r="P572" i="2"/>
  <c r="P573" i="2"/>
  <c r="P574" i="2"/>
  <c r="P575" i="2"/>
  <c r="P576" i="2"/>
  <c r="P577" i="2"/>
  <c r="P578" i="2"/>
  <c r="P579" i="2"/>
  <c r="P580" i="2"/>
  <c r="P581" i="2"/>
  <c r="P582" i="2"/>
  <c r="P583" i="2"/>
  <c r="P584" i="2"/>
  <c r="P585" i="2"/>
  <c r="P586" i="2"/>
  <c r="P587" i="2"/>
  <c r="P588" i="2"/>
  <c r="P589" i="2"/>
  <c r="P590" i="2"/>
  <c r="P591" i="2"/>
  <c r="P592" i="2"/>
  <c r="P593" i="2"/>
  <c r="P594" i="2"/>
  <c r="P595" i="2"/>
  <c r="P596" i="2"/>
  <c r="P597" i="2"/>
  <c r="P598" i="2"/>
  <c r="P599" i="2"/>
  <c r="P600" i="2"/>
  <c r="P601" i="2"/>
  <c r="P602" i="2"/>
  <c r="P603" i="2"/>
  <c r="P604" i="2"/>
  <c r="P605" i="2"/>
  <c r="P606" i="2"/>
  <c r="P607" i="2"/>
  <c r="P608" i="2"/>
  <c r="P609" i="2"/>
  <c r="P610" i="2"/>
  <c r="P611" i="2"/>
  <c r="P612" i="2"/>
  <c r="P613" i="2"/>
  <c r="P614" i="2"/>
  <c r="P615" i="2"/>
  <c r="P616" i="2"/>
  <c r="P617" i="2"/>
  <c r="P618" i="2"/>
  <c r="P619" i="2"/>
  <c r="P620" i="2"/>
  <c r="P621" i="2"/>
  <c r="P622" i="2"/>
  <c r="P623" i="2"/>
  <c r="P624" i="2"/>
  <c r="P625" i="2"/>
  <c r="P626" i="2"/>
  <c r="P627" i="2"/>
  <c r="P628" i="2"/>
  <c r="P629" i="2"/>
  <c r="P630" i="2"/>
  <c r="P631" i="2"/>
  <c r="P632" i="2"/>
  <c r="P633" i="2"/>
  <c r="P634" i="2"/>
  <c r="P635" i="2"/>
  <c r="P636" i="2"/>
  <c r="P637" i="2"/>
  <c r="P638" i="2"/>
  <c r="P639" i="2"/>
  <c r="P640" i="2"/>
  <c r="P641" i="2"/>
  <c r="P642" i="2"/>
  <c r="P643" i="2"/>
  <c r="P644" i="2"/>
  <c r="P645" i="2"/>
  <c r="P646" i="2"/>
  <c r="P647" i="2"/>
  <c r="P648" i="2"/>
  <c r="P649" i="2"/>
  <c r="P650" i="2"/>
  <c r="P651" i="2"/>
  <c r="P652" i="2"/>
  <c r="P653" i="2"/>
  <c r="P654" i="2"/>
  <c r="P655" i="2"/>
  <c r="P656" i="2"/>
  <c r="P657" i="2"/>
  <c r="P658" i="2"/>
  <c r="P659" i="2"/>
  <c r="P660" i="2"/>
  <c r="P661" i="2"/>
  <c r="P662" i="2"/>
  <c r="P663" i="2"/>
  <c r="P664" i="2"/>
  <c r="P665" i="2"/>
  <c r="P666" i="2"/>
  <c r="P667" i="2"/>
  <c r="P668" i="2"/>
  <c r="P669" i="2"/>
  <c r="P670" i="2"/>
  <c r="P671" i="2"/>
  <c r="P672" i="2"/>
  <c r="P673" i="2"/>
  <c r="P674" i="2"/>
  <c r="P675" i="2"/>
  <c r="P676" i="2"/>
  <c r="P677" i="2"/>
  <c r="P678" i="2"/>
  <c r="P679" i="2"/>
  <c r="P680" i="2"/>
  <c r="P681" i="2"/>
  <c r="P682" i="2"/>
  <c r="P683" i="2"/>
  <c r="P684" i="2"/>
  <c r="P685" i="2"/>
  <c r="P686" i="2"/>
  <c r="P687" i="2"/>
  <c r="P688" i="2"/>
  <c r="P689" i="2"/>
  <c r="P690" i="2"/>
  <c r="P691" i="2"/>
  <c r="P692" i="2"/>
  <c r="P693" i="2"/>
  <c r="P694" i="2"/>
  <c r="P695" i="2"/>
  <c r="P696" i="2"/>
  <c r="P697" i="2"/>
  <c r="P698" i="2"/>
  <c r="P699" i="2"/>
  <c r="P700" i="2"/>
  <c r="P701" i="2"/>
  <c r="P702" i="2"/>
  <c r="P703" i="2"/>
  <c r="P704" i="2"/>
  <c r="P705" i="2"/>
  <c r="P706" i="2"/>
  <c r="P707" i="2"/>
  <c r="P708" i="2"/>
  <c r="P709" i="2"/>
  <c r="P710" i="2"/>
  <c r="P711" i="2"/>
  <c r="P712" i="2"/>
  <c r="P713" i="2"/>
  <c r="P714" i="2"/>
  <c r="P715" i="2"/>
  <c r="P716" i="2"/>
  <c r="P717" i="2"/>
  <c r="P718" i="2"/>
  <c r="P719" i="2"/>
  <c r="P720" i="2"/>
  <c r="P721" i="2"/>
  <c r="P722" i="2"/>
  <c r="P723" i="2"/>
  <c r="P724" i="2"/>
  <c r="P725" i="2"/>
  <c r="P726" i="2"/>
  <c r="P727" i="2"/>
  <c r="P728" i="2"/>
  <c r="P729" i="2"/>
  <c r="P730" i="2"/>
  <c r="P731" i="2"/>
  <c r="P732" i="2"/>
  <c r="P733" i="2"/>
  <c r="P734" i="2"/>
  <c r="P735" i="2"/>
  <c r="P736" i="2"/>
  <c r="P737" i="2"/>
  <c r="P738" i="2"/>
  <c r="P739" i="2"/>
  <c r="P740" i="2"/>
  <c r="P741" i="2"/>
  <c r="P742" i="2"/>
  <c r="P743" i="2"/>
  <c r="P744" i="2"/>
  <c r="P745" i="2"/>
  <c r="P746" i="2"/>
  <c r="P747" i="2"/>
  <c r="P748" i="2"/>
  <c r="P749" i="2"/>
  <c r="P750" i="2"/>
  <c r="P751" i="2"/>
  <c r="P752" i="2"/>
  <c r="P753" i="2"/>
  <c r="P754" i="2"/>
  <c r="P755" i="2"/>
  <c r="P756" i="2"/>
  <c r="P757" i="2"/>
  <c r="P758" i="2"/>
  <c r="P759" i="2"/>
  <c r="P760" i="2"/>
  <c r="P761" i="2"/>
  <c r="P762" i="2"/>
  <c r="P763" i="2"/>
  <c r="P764" i="2"/>
  <c r="P765" i="2"/>
  <c r="P766" i="2"/>
  <c r="P767" i="2"/>
  <c r="P768" i="2"/>
  <c r="P769" i="2"/>
  <c r="P770" i="2"/>
  <c r="P771" i="2"/>
  <c r="P772" i="2"/>
  <c r="P773" i="2"/>
  <c r="P774" i="2"/>
  <c r="P775" i="2"/>
  <c r="P776" i="2"/>
  <c r="P777" i="2"/>
  <c r="P778" i="2"/>
  <c r="P779" i="2"/>
  <c r="P780" i="2"/>
  <c r="P781" i="2"/>
  <c r="P782" i="2"/>
  <c r="P783" i="2"/>
  <c r="P784" i="2"/>
  <c r="P785" i="2"/>
  <c r="P786" i="2"/>
  <c r="P787" i="2"/>
  <c r="P788" i="2"/>
  <c r="P789" i="2"/>
  <c r="P790" i="2"/>
  <c r="P791" i="2"/>
  <c r="P792" i="2"/>
  <c r="P793" i="2"/>
  <c r="P794" i="2"/>
  <c r="P795" i="2"/>
  <c r="P796" i="2"/>
  <c r="P797" i="2"/>
  <c r="P798" i="2"/>
  <c r="P799" i="2"/>
  <c r="P800" i="2"/>
  <c r="P801" i="2"/>
  <c r="P802" i="2"/>
  <c r="P803" i="2"/>
  <c r="P804" i="2"/>
  <c r="P805" i="2"/>
  <c r="P806" i="2"/>
  <c r="P807" i="2"/>
  <c r="P808" i="2"/>
  <c r="P809" i="2"/>
  <c r="P810" i="2"/>
  <c r="P811" i="2"/>
  <c r="P812" i="2"/>
  <c r="P813" i="2"/>
  <c r="P814" i="2"/>
  <c r="P815" i="2"/>
  <c r="P816" i="2"/>
  <c r="P817" i="2"/>
  <c r="P818" i="2"/>
  <c r="P819" i="2"/>
  <c r="P820" i="2"/>
  <c r="P821" i="2"/>
  <c r="P822" i="2"/>
  <c r="P823" i="2"/>
  <c r="P824" i="2"/>
  <c r="P825" i="2"/>
  <c r="P826" i="2"/>
  <c r="P827" i="2"/>
  <c r="P828" i="2"/>
  <c r="P829" i="2"/>
  <c r="P830" i="2"/>
  <c r="P831" i="2"/>
  <c r="P832" i="2"/>
  <c r="P833" i="2"/>
  <c r="P834" i="2"/>
  <c r="P835" i="2"/>
  <c r="P836" i="2"/>
  <c r="P837" i="2"/>
  <c r="P838" i="2"/>
  <c r="P839" i="2"/>
  <c r="P840" i="2"/>
  <c r="P841" i="2"/>
  <c r="P842" i="2"/>
  <c r="P843" i="2"/>
  <c r="P844" i="2"/>
  <c r="P845" i="2"/>
  <c r="P846" i="2"/>
  <c r="P847" i="2"/>
  <c r="P848" i="2"/>
  <c r="P849" i="2"/>
  <c r="P850" i="2"/>
  <c r="P851" i="2"/>
  <c r="P852" i="2"/>
  <c r="P853" i="2"/>
  <c r="P854" i="2"/>
  <c r="P855" i="2"/>
  <c r="P856" i="2"/>
  <c r="P857" i="2"/>
  <c r="P858" i="2"/>
  <c r="P859" i="2"/>
  <c r="P860" i="2"/>
  <c r="P861" i="2"/>
  <c r="P862" i="2"/>
  <c r="P863" i="2"/>
  <c r="P864" i="2"/>
  <c r="P865" i="2"/>
  <c r="P866" i="2"/>
  <c r="P867" i="2"/>
  <c r="P868" i="2"/>
  <c r="P869" i="2"/>
  <c r="P870" i="2"/>
  <c r="P871" i="2"/>
  <c r="P872" i="2"/>
  <c r="P873" i="2"/>
  <c r="P874" i="2"/>
  <c r="P875" i="2"/>
  <c r="P876" i="2"/>
  <c r="P877" i="2"/>
  <c r="P878" i="2"/>
  <c r="P879" i="2"/>
  <c r="P880" i="2"/>
  <c r="P881" i="2"/>
  <c r="P882" i="2"/>
  <c r="P883" i="2"/>
  <c r="P884" i="2"/>
  <c r="P885" i="2"/>
  <c r="P886" i="2"/>
  <c r="P887" i="2"/>
  <c r="P888" i="2"/>
  <c r="P889" i="2"/>
  <c r="P890" i="2"/>
  <c r="P891" i="2"/>
  <c r="P892" i="2"/>
  <c r="P893" i="2"/>
  <c r="P894" i="2"/>
  <c r="P895" i="2"/>
  <c r="P896" i="2"/>
  <c r="P897" i="2"/>
  <c r="P898" i="2"/>
  <c r="P899" i="2"/>
  <c r="P900" i="2"/>
  <c r="P901" i="2"/>
  <c r="P902" i="2"/>
  <c r="P903" i="2"/>
  <c r="P904" i="2"/>
  <c r="P905" i="2"/>
  <c r="P906" i="2"/>
  <c r="P907" i="2"/>
  <c r="P908" i="2"/>
  <c r="P909" i="2"/>
  <c r="P910" i="2"/>
  <c r="P911" i="2"/>
  <c r="P912" i="2"/>
  <c r="P913" i="2"/>
  <c r="P914" i="2"/>
  <c r="P915" i="2"/>
  <c r="P916" i="2"/>
  <c r="P917" i="2"/>
  <c r="P918" i="2"/>
  <c r="P919" i="2"/>
  <c r="P920" i="2"/>
  <c r="P921" i="2"/>
  <c r="P922" i="2"/>
  <c r="P923" i="2"/>
  <c r="P924" i="2"/>
  <c r="P925" i="2"/>
  <c r="P926" i="2"/>
  <c r="P927" i="2"/>
  <c r="P928" i="2"/>
  <c r="P929" i="2"/>
  <c r="P930" i="2"/>
  <c r="P931" i="2"/>
  <c r="P932" i="2"/>
  <c r="P933" i="2"/>
  <c r="P934" i="2"/>
  <c r="P935" i="2"/>
  <c r="P936" i="2"/>
  <c r="P937" i="2"/>
  <c r="P938" i="2"/>
  <c r="P939" i="2"/>
  <c r="P940" i="2"/>
  <c r="P941" i="2"/>
  <c r="P942" i="2"/>
  <c r="P943" i="2"/>
  <c r="P944" i="2"/>
  <c r="P945" i="2"/>
  <c r="P946" i="2"/>
  <c r="P947" i="2"/>
  <c r="P948" i="2"/>
  <c r="P949" i="2"/>
  <c r="P950" i="2"/>
  <c r="P951" i="2"/>
  <c r="P952" i="2"/>
  <c r="P953" i="2"/>
  <c r="P954" i="2"/>
  <c r="P955" i="2"/>
  <c r="P956" i="2"/>
  <c r="P957" i="2"/>
  <c r="P958" i="2"/>
  <c r="P959" i="2"/>
  <c r="P960" i="2"/>
  <c r="P961" i="2"/>
  <c r="P962" i="2"/>
  <c r="P963" i="2"/>
  <c r="P964" i="2"/>
  <c r="P965" i="2"/>
  <c r="P966" i="2"/>
  <c r="P967" i="2"/>
  <c r="P968" i="2"/>
  <c r="P969" i="2"/>
  <c r="P970" i="2"/>
  <c r="P971" i="2"/>
  <c r="P972" i="2"/>
  <c r="P973" i="2"/>
  <c r="P974" i="2"/>
  <c r="P975" i="2"/>
  <c r="P976" i="2"/>
  <c r="P977" i="2"/>
  <c r="P978" i="2"/>
  <c r="P979" i="2"/>
  <c r="P980" i="2"/>
  <c r="P981" i="2"/>
  <c r="P982" i="2"/>
  <c r="P983" i="2"/>
  <c r="P984" i="2"/>
  <c r="P985" i="2"/>
  <c r="P986" i="2"/>
  <c r="P987" i="2"/>
  <c r="P988" i="2"/>
  <c r="P989" i="2"/>
  <c r="P990" i="2"/>
  <c r="P991" i="2"/>
  <c r="P992" i="2"/>
  <c r="P993" i="2"/>
  <c r="P994" i="2"/>
  <c r="P995" i="2"/>
  <c r="P996" i="2"/>
  <c r="P997" i="2"/>
  <c r="P998" i="2"/>
  <c r="P999" i="2"/>
  <c r="P1000" i="2"/>
  <c r="P1001" i="2"/>
  <c r="P1002" i="2"/>
  <c r="P1003" i="2"/>
  <c r="P1004" i="2"/>
  <c r="P1005" i="2"/>
  <c r="P1006" i="2"/>
  <c r="P1007" i="2"/>
  <c r="P1008" i="2"/>
  <c r="P1009" i="2"/>
  <c r="P1010" i="2"/>
  <c r="P1011" i="2"/>
  <c r="P1012" i="2"/>
  <c r="P1013" i="2"/>
  <c r="P1014" i="2"/>
  <c r="P1015" i="2"/>
  <c r="P1016" i="2"/>
  <c r="P1017" i="2"/>
  <c r="P1018" i="2"/>
  <c r="P1019" i="2"/>
  <c r="P1020" i="2"/>
  <c r="P1021" i="2"/>
  <c r="P1022" i="2"/>
  <c r="P1023" i="2"/>
  <c r="P1024" i="2"/>
  <c r="P1025" i="2"/>
  <c r="P1026" i="2"/>
  <c r="P1027" i="2"/>
  <c r="P1028" i="2"/>
  <c r="P1029" i="2"/>
  <c r="P1030" i="2"/>
  <c r="P1031" i="2"/>
  <c r="P1032" i="2"/>
  <c r="P1033" i="2"/>
  <c r="P1034" i="2"/>
  <c r="P1035" i="2"/>
  <c r="P1036" i="2"/>
  <c r="P1037" i="2"/>
  <c r="P1038" i="2"/>
  <c r="P1039" i="2"/>
  <c r="P1040" i="2"/>
  <c r="P1041" i="2"/>
  <c r="P1042" i="2"/>
  <c r="P1043" i="2"/>
  <c r="P1044" i="2"/>
  <c r="P1045" i="2"/>
  <c r="P1046" i="2"/>
  <c r="P1047" i="2"/>
  <c r="P1048" i="2"/>
  <c r="P1049" i="2"/>
  <c r="P1050" i="2"/>
  <c r="P1051" i="2"/>
  <c r="P1052" i="2"/>
  <c r="P1053" i="2"/>
  <c r="P1054" i="2"/>
  <c r="P1055" i="2"/>
  <c r="P1056" i="2"/>
  <c r="P1057" i="2"/>
  <c r="P1058" i="2"/>
  <c r="P1059" i="2"/>
  <c r="P1060" i="2"/>
  <c r="P1061" i="2"/>
  <c r="P1062" i="2"/>
  <c r="P1063" i="2"/>
  <c r="P1064" i="2"/>
  <c r="P1065" i="2"/>
  <c r="P1066" i="2"/>
  <c r="P1067" i="2"/>
  <c r="P1068" i="2"/>
  <c r="P1069" i="2"/>
  <c r="P1070" i="2"/>
  <c r="P1071" i="2"/>
  <c r="P1072" i="2"/>
  <c r="P1073" i="2"/>
  <c r="P1074" i="2"/>
  <c r="P1075" i="2"/>
  <c r="P1076" i="2"/>
  <c r="P1077" i="2"/>
  <c r="P1078" i="2"/>
  <c r="P1079" i="2"/>
  <c r="P1080" i="2"/>
  <c r="P1081" i="2"/>
  <c r="P1082" i="2"/>
  <c r="P1083" i="2"/>
  <c r="P1084" i="2"/>
  <c r="P1085" i="2"/>
  <c r="P1086" i="2"/>
  <c r="P1087" i="2"/>
  <c r="P1088" i="2"/>
  <c r="P1089" i="2"/>
  <c r="P1090" i="2"/>
  <c r="P1091" i="2"/>
  <c r="P1092" i="2"/>
  <c r="P1093" i="2"/>
  <c r="P1094" i="2"/>
  <c r="P1095" i="2"/>
  <c r="P1096" i="2"/>
  <c r="P1097" i="2"/>
  <c r="P1098" i="2"/>
  <c r="P1099" i="2"/>
  <c r="P1100" i="2"/>
  <c r="P1101" i="2"/>
  <c r="P1102" i="2"/>
  <c r="P1103" i="2"/>
  <c r="P1104" i="2"/>
  <c r="P1105" i="2"/>
  <c r="P1106" i="2"/>
  <c r="P1107" i="2"/>
  <c r="P1108" i="2"/>
  <c r="P1109" i="2"/>
  <c r="P1110" i="2"/>
  <c r="P1111" i="2"/>
  <c r="P1112" i="2"/>
  <c r="P1113" i="2"/>
  <c r="P1114" i="2"/>
  <c r="P1115" i="2"/>
  <c r="P1116" i="2"/>
  <c r="P1117" i="2"/>
  <c r="P1118" i="2"/>
  <c r="P1119" i="2"/>
  <c r="P1120" i="2"/>
  <c r="P1121" i="2"/>
  <c r="P1122" i="2"/>
  <c r="P1123" i="2"/>
  <c r="P1124" i="2"/>
  <c r="P1125" i="2"/>
  <c r="P1126" i="2"/>
  <c r="P1127" i="2"/>
  <c r="P1128" i="2"/>
  <c r="P1129" i="2"/>
  <c r="P1130" i="2"/>
  <c r="P1131" i="2"/>
  <c r="P1132" i="2"/>
  <c r="P1133" i="2"/>
  <c r="P1134" i="2"/>
  <c r="P1135" i="2"/>
  <c r="P1136" i="2"/>
  <c r="P1137" i="2"/>
  <c r="P1138" i="2"/>
  <c r="P1139" i="2"/>
  <c r="P1140" i="2"/>
  <c r="P1141" i="2"/>
  <c r="P1142" i="2"/>
  <c r="P1143" i="2"/>
  <c r="P1144" i="2"/>
  <c r="P1145" i="2"/>
  <c r="P1146" i="2"/>
  <c r="P1147" i="2"/>
  <c r="P1148" i="2"/>
  <c r="P1149" i="2"/>
  <c r="P1150" i="2"/>
  <c r="P1151" i="2"/>
  <c r="P1152" i="2"/>
  <c r="P1153" i="2"/>
  <c r="P1154" i="2"/>
  <c r="P1155" i="2"/>
  <c r="P1156" i="2"/>
  <c r="P1157" i="2"/>
  <c r="P1158" i="2"/>
  <c r="P1159" i="2"/>
  <c r="P1160" i="2"/>
  <c r="P1161" i="2"/>
  <c r="P1162" i="2"/>
  <c r="P1163" i="2"/>
  <c r="P1164" i="2"/>
  <c r="P1165" i="2"/>
  <c r="P1166" i="2"/>
  <c r="P1167" i="2"/>
  <c r="P1168" i="2"/>
  <c r="P1169" i="2"/>
  <c r="P1170" i="2"/>
  <c r="P1171" i="2"/>
  <c r="P1172" i="2"/>
  <c r="P1173" i="2"/>
  <c r="P1174" i="2"/>
  <c r="P1175" i="2"/>
  <c r="P1176" i="2"/>
  <c r="P1177" i="2"/>
  <c r="P1178" i="2"/>
  <c r="P1179" i="2"/>
  <c r="P1180" i="2"/>
  <c r="P1181" i="2"/>
  <c r="P1182" i="2"/>
  <c r="P1183" i="2"/>
  <c r="P1184" i="2"/>
  <c r="P1185" i="2"/>
  <c r="P1186" i="2"/>
  <c r="P1187" i="2"/>
  <c r="P1188" i="2"/>
  <c r="P1189" i="2"/>
  <c r="P1190" i="2"/>
  <c r="P1191" i="2"/>
  <c r="P1192" i="2"/>
  <c r="P1193" i="2"/>
  <c r="P1194" i="2"/>
  <c r="P1195" i="2"/>
  <c r="P1196" i="2"/>
  <c r="P1197" i="2"/>
  <c r="P1198" i="2"/>
  <c r="P1199" i="2"/>
  <c r="P1200" i="2"/>
  <c r="P1201" i="2"/>
  <c r="P1202" i="2"/>
  <c r="P1203" i="2"/>
  <c r="P1204" i="2"/>
  <c r="P1205" i="2"/>
  <c r="P1206" i="2"/>
  <c r="P1207" i="2"/>
  <c r="P1208" i="2"/>
  <c r="P1209" i="2"/>
  <c r="P1210" i="2"/>
  <c r="P1211" i="2"/>
  <c r="P1212" i="2"/>
  <c r="P1213" i="2"/>
  <c r="P1214" i="2"/>
  <c r="P1215" i="2"/>
  <c r="P1216" i="2"/>
  <c r="P1217" i="2"/>
  <c r="P1218" i="2"/>
  <c r="P1219" i="2"/>
  <c r="P1220" i="2"/>
  <c r="P1221" i="2"/>
  <c r="P1222" i="2"/>
  <c r="P1223" i="2"/>
  <c r="P1224" i="2"/>
  <c r="P1225" i="2"/>
  <c r="P1226" i="2"/>
  <c r="P1227" i="2"/>
  <c r="P1228" i="2"/>
  <c r="P1229" i="2"/>
  <c r="P1230" i="2"/>
  <c r="P1231" i="2"/>
  <c r="P1232" i="2"/>
  <c r="P1233" i="2"/>
  <c r="P1234" i="2"/>
  <c r="P1235" i="2"/>
  <c r="P1236" i="2"/>
  <c r="P1237" i="2"/>
  <c r="P1238" i="2"/>
  <c r="P1239" i="2"/>
  <c r="P1240" i="2"/>
  <c r="P1241" i="2"/>
  <c r="P1242" i="2"/>
  <c r="P1243" i="2"/>
  <c r="P1244" i="2"/>
  <c r="P1245" i="2"/>
  <c r="P1246" i="2"/>
  <c r="P1247" i="2"/>
  <c r="P1248" i="2"/>
  <c r="P1249" i="2"/>
  <c r="P1250" i="2"/>
  <c r="P1251" i="2"/>
  <c r="P1252" i="2"/>
  <c r="P1253" i="2"/>
  <c r="P1254" i="2"/>
  <c r="P1255" i="2"/>
  <c r="P1256" i="2"/>
  <c r="P1257" i="2"/>
  <c r="P1258" i="2"/>
  <c r="P1259" i="2"/>
  <c r="P1260" i="2"/>
  <c r="P1261" i="2"/>
  <c r="P1262" i="2"/>
  <c r="P1263" i="2"/>
  <c r="P1264" i="2"/>
  <c r="P1265" i="2"/>
  <c r="P1266" i="2"/>
  <c r="P1267" i="2"/>
  <c r="P1268" i="2"/>
  <c r="P1269" i="2"/>
  <c r="P1270" i="2"/>
  <c r="P1271" i="2"/>
  <c r="P1272" i="2"/>
  <c r="P1273" i="2"/>
  <c r="P1274" i="2"/>
  <c r="P1275" i="2"/>
  <c r="P1276" i="2"/>
  <c r="P1277" i="2"/>
  <c r="P1278" i="2"/>
  <c r="P1279" i="2"/>
  <c r="P1280" i="2"/>
  <c r="P1281" i="2"/>
  <c r="P1282" i="2"/>
  <c r="P1283" i="2"/>
  <c r="P1284" i="2"/>
  <c r="P1285" i="2"/>
  <c r="P1286" i="2"/>
  <c r="P1287" i="2"/>
  <c r="P1288" i="2"/>
  <c r="P1289" i="2"/>
  <c r="P1290" i="2"/>
  <c r="P1291" i="2"/>
  <c r="P1292" i="2"/>
  <c r="P1293" i="2"/>
  <c r="P1294" i="2"/>
  <c r="P1295" i="2"/>
  <c r="P1296" i="2"/>
  <c r="P1297" i="2"/>
  <c r="P1298" i="2"/>
  <c r="P1299" i="2"/>
  <c r="P1300" i="2"/>
  <c r="P1301" i="2"/>
  <c r="P1302" i="2"/>
  <c r="P1303" i="2"/>
  <c r="P1304" i="2"/>
  <c r="P1305" i="2"/>
  <c r="P1306" i="2"/>
  <c r="P1307" i="2"/>
  <c r="P1308" i="2"/>
  <c r="P1309" i="2"/>
  <c r="P1310" i="2"/>
  <c r="P1311" i="2"/>
  <c r="P1312" i="2"/>
  <c r="P1313" i="2"/>
  <c r="P1314" i="2"/>
  <c r="P1315" i="2"/>
  <c r="P1316" i="2"/>
  <c r="P1317" i="2"/>
  <c r="P1318" i="2"/>
  <c r="P1319" i="2"/>
  <c r="P1320" i="2"/>
  <c r="P1321" i="2"/>
  <c r="P1322" i="2"/>
  <c r="P1323" i="2"/>
  <c r="P1324" i="2"/>
  <c r="P1325" i="2"/>
  <c r="P1326" i="2"/>
  <c r="P1327" i="2"/>
  <c r="P1328" i="2"/>
  <c r="P1329" i="2"/>
  <c r="P1330" i="2"/>
  <c r="P1331" i="2"/>
  <c r="P1332" i="2"/>
  <c r="P1333" i="2"/>
  <c r="P1334" i="2"/>
  <c r="P1335" i="2"/>
  <c r="P1336" i="2"/>
  <c r="P1337" i="2"/>
  <c r="P1338" i="2"/>
  <c r="P1339" i="2"/>
  <c r="P1340" i="2"/>
  <c r="P1341" i="2"/>
  <c r="P1342" i="2"/>
  <c r="P1343" i="2"/>
  <c r="P1344" i="2"/>
  <c r="P1345" i="2"/>
  <c r="P1346" i="2"/>
  <c r="P1347" i="2"/>
  <c r="P1348" i="2"/>
  <c r="P1349" i="2"/>
  <c r="P1350" i="2"/>
  <c r="P1351" i="2"/>
  <c r="P1352" i="2"/>
  <c r="P1353" i="2"/>
  <c r="P1354" i="2"/>
  <c r="P1355" i="2"/>
  <c r="P1356" i="2"/>
  <c r="P1357" i="2"/>
  <c r="P1358" i="2"/>
  <c r="P1359" i="2"/>
  <c r="P1360" i="2"/>
  <c r="P1361" i="2"/>
  <c r="P1362" i="2"/>
  <c r="P1363" i="2"/>
  <c r="P1364" i="2"/>
  <c r="P1365" i="2"/>
  <c r="P1366" i="2"/>
  <c r="P1367" i="2"/>
  <c r="P1368" i="2"/>
  <c r="P1369" i="2"/>
  <c r="P1370" i="2"/>
  <c r="P1371" i="2"/>
  <c r="P1372" i="2"/>
  <c r="P1373" i="2"/>
  <c r="P1374" i="2"/>
  <c r="P1375" i="2"/>
  <c r="P1376" i="2"/>
  <c r="P1377" i="2"/>
  <c r="P1378" i="2"/>
  <c r="P1379" i="2"/>
  <c r="P1380" i="2"/>
  <c r="P1381" i="2"/>
  <c r="P1382" i="2"/>
  <c r="P1383" i="2"/>
  <c r="P1384" i="2"/>
  <c r="P1385" i="2"/>
  <c r="P1386" i="2"/>
  <c r="P1387" i="2"/>
  <c r="P1388" i="2"/>
  <c r="P1389" i="2"/>
  <c r="P1390" i="2"/>
  <c r="P1391" i="2"/>
  <c r="P1392" i="2"/>
  <c r="P1393" i="2"/>
  <c r="P1394" i="2"/>
  <c r="P1395" i="2"/>
  <c r="P1396" i="2"/>
  <c r="P1397" i="2"/>
  <c r="P1398" i="2"/>
  <c r="P1399" i="2"/>
  <c r="P1400" i="2"/>
  <c r="P1401" i="2"/>
  <c r="P1402" i="2"/>
  <c r="P1403" i="2"/>
  <c r="P1404" i="2"/>
  <c r="P1405" i="2"/>
  <c r="P1406" i="2"/>
  <c r="P1407" i="2"/>
  <c r="P1408" i="2"/>
  <c r="P1409" i="2"/>
  <c r="P1410" i="2"/>
  <c r="P1411" i="2"/>
  <c r="P1412" i="2"/>
  <c r="P1413" i="2"/>
  <c r="P1414" i="2"/>
  <c r="P1415" i="2"/>
  <c r="P1416" i="2"/>
  <c r="P1417" i="2"/>
  <c r="P1418" i="2"/>
  <c r="P1419" i="2"/>
  <c r="P1420" i="2"/>
  <c r="P1421" i="2"/>
  <c r="P1422" i="2"/>
  <c r="P1423" i="2"/>
  <c r="P1424" i="2"/>
  <c r="P1425" i="2"/>
  <c r="P1426" i="2"/>
  <c r="P1427" i="2"/>
  <c r="P1428" i="2"/>
  <c r="P1429" i="2"/>
  <c r="P1430" i="2"/>
  <c r="P1431" i="2"/>
  <c r="P1432" i="2"/>
  <c r="P1433" i="2"/>
  <c r="P1434" i="2"/>
  <c r="P1435" i="2"/>
  <c r="P1436" i="2"/>
  <c r="P1437" i="2"/>
  <c r="P1438" i="2"/>
  <c r="P1439" i="2"/>
  <c r="P1440" i="2"/>
  <c r="P1441" i="2"/>
  <c r="P1442" i="2"/>
  <c r="P1443" i="2"/>
  <c r="P1444" i="2"/>
  <c r="P1445" i="2"/>
  <c r="P1446" i="2"/>
  <c r="P1447" i="2"/>
  <c r="P1448" i="2"/>
  <c r="P1449" i="2"/>
  <c r="P1450" i="2"/>
  <c r="P1451" i="2"/>
  <c r="P1452" i="2"/>
  <c r="P1453" i="2"/>
  <c r="P1454" i="2"/>
  <c r="P1455" i="2"/>
  <c r="P1456" i="2"/>
  <c r="P1457" i="2"/>
  <c r="P1458" i="2"/>
  <c r="P1459" i="2"/>
  <c r="P1460" i="2"/>
  <c r="P1461" i="2"/>
  <c r="P1462" i="2"/>
  <c r="P1463" i="2"/>
  <c r="P1464" i="2"/>
  <c r="P1465" i="2"/>
  <c r="P1466" i="2"/>
  <c r="P1467" i="2"/>
  <c r="P1468" i="2"/>
  <c r="P1469" i="2"/>
  <c r="P1470" i="2"/>
  <c r="P1471" i="2"/>
  <c r="P1472" i="2"/>
  <c r="P1473" i="2"/>
  <c r="P1474" i="2"/>
  <c r="P1475" i="2"/>
  <c r="P1476" i="2"/>
  <c r="P1477" i="2"/>
  <c r="P1478" i="2"/>
  <c r="P1479" i="2"/>
  <c r="P1480" i="2"/>
  <c r="P1481" i="2"/>
  <c r="P1482" i="2"/>
  <c r="P1483" i="2"/>
  <c r="P1484" i="2"/>
  <c r="P1485" i="2"/>
  <c r="P1486" i="2"/>
  <c r="P1487" i="2"/>
  <c r="P1488" i="2"/>
  <c r="P1489" i="2"/>
  <c r="P1490" i="2"/>
  <c r="P1491" i="2"/>
  <c r="P1492" i="2"/>
  <c r="P1493" i="2"/>
  <c r="P1494" i="2"/>
  <c r="P1495" i="2"/>
  <c r="P1496" i="2"/>
  <c r="P1497" i="2"/>
  <c r="P1498" i="2"/>
  <c r="P1499" i="2"/>
  <c r="P1500" i="2"/>
  <c r="P1501" i="2"/>
  <c r="P1502" i="2"/>
  <c r="P1503" i="2"/>
  <c r="P1504" i="2"/>
  <c r="P1505" i="2"/>
  <c r="P1506" i="2"/>
  <c r="P1507" i="2"/>
  <c r="P1508" i="2"/>
  <c r="P1509" i="2"/>
  <c r="P1510" i="2"/>
  <c r="P1511" i="2"/>
  <c r="P1512" i="2"/>
  <c r="P1513" i="2"/>
  <c r="P1514" i="2"/>
  <c r="P1515" i="2"/>
  <c r="P1516" i="2"/>
  <c r="P1517" i="2"/>
  <c r="P1518" i="2"/>
  <c r="P1519" i="2"/>
  <c r="P1520" i="2"/>
  <c r="P1521" i="2"/>
  <c r="P1522" i="2"/>
  <c r="P1523" i="2"/>
  <c r="P1524" i="2"/>
  <c r="P1525" i="2"/>
  <c r="P1526" i="2"/>
  <c r="P1527" i="2"/>
  <c r="P1528" i="2"/>
  <c r="P1529" i="2"/>
  <c r="P1530" i="2"/>
  <c r="P1531" i="2"/>
  <c r="P1532" i="2"/>
  <c r="P1533" i="2"/>
  <c r="P1534" i="2"/>
  <c r="P1535" i="2"/>
  <c r="P1536" i="2"/>
  <c r="P1537" i="2"/>
  <c r="P1538" i="2"/>
  <c r="P1539" i="2"/>
  <c r="P1540" i="2"/>
  <c r="P1541" i="2"/>
  <c r="P1542" i="2"/>
  <c r="P1543" i="2"/>
  <c r="P1544" i="2"/>
  <c r="P1545" i="2"/>
  <c r="P1546" i="2"/>
  <c r="P1547" i="2"/>
  <c r="P1548" i="2"/>
  <c r="P1549" i="2"/>
  <c r="P1550" i="2"/>
  <c r="P1551" i="2"/>
  <c r="P1552" i="2"/>
  <c r="P1553" i="2"/>
  <c r="P1554" i="2"/>
  <c r="P1555" i="2"/>
  <c r="P1556" i="2"/>
  <c r="P1557" i="2"/>
  <c r="P1558" i="2"/>
  <c r="P1559" i="2"/>
  <c r="P1560" i="2"/>
  <c r="P1561" i="2"/>
  <c r="P1562" i="2"/>
  <c r="P1563" i="2"/>
  <c r="P1564" i="2"/>
  <c r="P1565" i="2"/>
  <c r="P1566" i="2"/>
  <c r="P1567" i="2"/>
  <c r="P1568" i="2"/>
  <c r="P1569" i="2"/>
  <c r="P1570" i="2"/>
  <c r="P1571" i="2"/>
  <c r="P1572" i="2"/>
  <c r="P1573" i="2"/>
  <c r="P1574" i="2"/>
  <c r="P1575" i="2"/>
  <c r="P1576" i="2"/>
  <c r="P1577" i="2"/>
  <c r="P1578" i="2"/>
  <c r="P1579" i="2"/>
  <c r="P1580" i="2"/>
  <c r="P1581" i="2"/>
  <c r="P1582" i="2"/>
  <c r="P1583" i="2"/>
  <c r="P1584" i="2"/>
  <c r="P1585" i="2"/>
  <c r="P1586" i="2"/>
  <c r="P1587" i="2"/>
  <c r="P1588" i="2"/>
  <c r="P1589" i="2"/>
  <c r="P1590" i="2"/>
  <c r="P1591" i="2"/>
  <c r="P1592" i="2"/>
  <c r="P1593" i="2"/>
  <c r="P1594" i="2"/>
  <c r="P1595" i="2"/>
  <c r="P1596" i="2"/>
  <c r="P1597" i="2"/>
  <c r="P1598" i="2"/>
  <c r="P1599" i="2"/>
  <c r="P1600" i="2"/>
  <c r="P1601" i="2"/>
  <c r="P1602" i="2"/>
  <c r="P1603" i="2"/>
  <c r="P1604" i="2"/>
  <c r="P1605" i="2"/>
  <c r="P1606" i="2"/>
  <c r="P1607" i="2"/>
  <c r="P1608" i="2"/>
  <c r="P1609" i="2"/>
  <c r="P1610" i="2"/>
  <c r="P1611" i="2"/>
  <c r="P1612" i="2"/>
  <c r="P1613" i="2"/>
  <c r="P1614" i="2"/>
  <c r="P1615" i="2"/>
  <c r="P1616" i="2"/>
  <c r="P1617" i="2"/>
  <c r="P1618" i="2"/>
  <c r="P1619" i="2"/>
  <c r="P1620" i="2"/>
  <c r="P1621" i="2"/>
  <c r="P1622" i="2"/>
  <c r="P1623" i="2"/>
  <c r="P1624" i="2"/>
  <c r="P1625" i="2"/>
  <c r="P1626" i="2"/>
  <c r="P1627" i="2"/>
  <c r="P1628" i="2"/>
  <c r="P1629" i="2"/>
  <c r="P1630" i="2"/>
  <c r="P1631" i="2"/>
  <c r="P1632" i="2"/>
  <c r="P1633" i="2"/>
  <c r="P1634" i="2"/>
  <c r="P1635" i="2"/>
  <c r="P1636" i="2"/>
  <c r="P1637" i="2"/>
  <c r="P1638" i="2"/>
  <c r="P1639" i="2"/>
  <c r="P1640" i="2"/>
  <c r="P1641" i="2"/>
  <c r="P1642" i="2"/>
  <c r="P1643" i="2"/>
  <c r="P1644" i="2"/>
  <c r="P1645" i="2"/>
  <c r="P1646" i="2"/>
  <c r="P1647" i="2"/>
  <c r="P1648" i="2"/>
  <c r="P1649" i="2"/>
  <c r="P1650" i="2"/>
  <c r="P1651" i="2"/>
  <c r="P1652" i="2"/>
  <c r="P1653" i="2"/>
  <c r="P1654" i="2"/>
  <c r="P1655" i="2"/>
  <c r="P1656" i="2"/>
  <c r="P1657" i="2"/>
  <c r="P1658" i="2"/>
  <c r="P1659" i="2"/>
  <c r="P1660" i="2"/>
  <c r="P1661" i="2"/>
  <c r="P1662" i="2"/>
  <c r="P1663" i="2"/>
  <c r="P1664" i="2"/>
  <c r="P1665" i="2"/>
  <c r="P1666" i="2"/>
  <c r="P1667" i="2"/>
  <c r="P1668" i="2"/>
  <c r="P1669" i="2"/>
  <c r="P1670" i="2"/>
  <c r="P1671" i="2"/>
  <c r="P1672" i="2"/>
  <c r="P1673" i="2"/>
  <c r="P1674" i="2"/>
  <c r="P1675" i="2"/>
  <c r="P1676" i="2"/>
  <c r="P1677" i="2"/>
  <c r="P1678" i="2"/>
  <c r="P1679" i="2"/>
  <c r="P1680" i="2"/>
  <c r="P1681" i="2"/>
  <c r="P1682" i="2"/>
  <c r="P1683" i="2"/>
  <c r="P1684" i="2"/>
  <c r="P1685" i="2"/>
  <c r="P1686" i="2"/>
  <c r="P1687" i="2"/>
  <c r="P1688" i="2"/>
  <c r="P1689" i="2"/>
  <c r="P1690" i="2"/>
  <c r="P1691" i="2"/>
  <c r="P1692" i="2"/>
  <c r="P1693" i="2"/>
  <c r="P1694" i="2"/>
  <c r="P1695" i="2"/>
  <c r="P1696" i="2"/>
  <c r="P1697" i="2"/>
  <c r="P1698" i="2"/>
  <c r="P1699" i="2"/>
  <c r="P1700" i="2"/>
  <c r="P1701" i="2"/>
  <c r="P1702" i="2"/>
  <c r="P1703" i="2"/>
  <c r="P1704" i="2"/>
  <c r="P1705" i="2"/>
  <c r="P1706" i="2"/>
  <c r="P1707" i="2"/>
  <c r="P1708" i="2"/>
  <c r="P1709" i="2"/>
  <c r="P1710" i="2"/>
  <c r="P1711" i="2"/>
  <c r="P1712" i="2"/>
  <c r="P1713" i="2"/>
  <c r="P1714" i="2"/>
  <c r="P1715" i="2"/>
  <c r="P1716" i="2"/>
  <c r="P1717" i="2"/>
  <c r="P1718" i="2"/>
  <c r="P1719" i="2"/>
  <c r="P1720" i="2"/>
  <c r="P1721" i="2"/>
  <c r="P1722" i="2"/>
  <c r="P1723" i="2"/>
  <c r="P1724" i="2"/>
  <c r="P1725" i="2"/>
  <c r="P1726" i="2"/>
  <c r="P1727" i="2"/>
  <c r="P1728" i="2"/>
  <c r="P1729" i="2"/>
  <c r="P1730" i="2"/>
  <c r="P1731" i="2"/>
  <c r="P1732" i="2"/>
  <c r="P1733" i="2"/>
  <c r="P1734" i="2"/>
  <c r="P1735" i="2"/>
  <c r="P1736" i="2"/>
  <c r="P1737" i="2"/>
  <c r="P1738" i="2"/>
  <c r="P1739" i="2"/>
  <c r="P1740" i="2"/>
  <c r="P1741" i="2"/>
  <c r="P1742" i="2"/>
  <c r="P1743" i="2"/>
  <c r="P1744" i="2"/>
  <c r="P1745" i="2"/>
  <c r="P1746" i="2"/>
  <c r="P1747" i="2"/>
  <c r="P1748" i="2"/>
  <c r="P1749" i="2"/>
  <c r="P1750" i="2"/>
  <c r="P1751" i="2"/>
  <c r="P1752" i="2"/>
  <c r="P1753" i="2"/>
  <c r="P1754" i="2"/>
  <c r="P1755" i="2"/>
  <c r="P1756" i="2"/>
  <c r="P1757" i="2"/>
  <c r="P1758" i="2"/>
  <c r="P1759" i="2"/>
  <c r="P1760" i="2"/>
  <c r="P1761" i="2"/>
  <c r="P1762" i="2"/>
  <c r="P1763" i="2"/>
  <c r="P1764" i="2"/>
  <c r="P1765" i="2"/>
  <c r="P1766" i="2"/>
  <c r="P1767" i="2"/>
  <c r="P1768" i="2"/>
  <c r="P1769" i="2"/>
  <c r="P1770" i="2"/>
  <c r="P1771" i="2"/>
  <c r="P1772" i="2"/>
  <c r="P1773" i="2"/>
  <c r="P1774" i="2"/>
  <c r="P1775" i="2"/>
  <c r="P1776" i="2"/>
  <c r="P1777" i="2"/>
  <c r="P1778" i="2"/>
  <c r="P1779" i="2"/>
  <c r="P1780" i="2"/>
  <c r="P1781" i="2"/>
  <c r="P1782" i="2"/>
  <c r="P1783" i="2"/>
  <c r="P1784" i="2"/>
  <c r="P1785" i="2"/>
  <c r="P1786" i="2"/>
  <c r="P1787" i="2"/>
  <c r="P1788" i="2"/>
  <c r="P1789" i="2"/>
  <c r="P1790" i="2"/>
  <c r="P1791" i="2"/>
  <c r="P1792" i="2"/>
  <c r="P1793" i="2"/>
  <c r="P1794" i="2"/>
  <c r="P1795" i="2"/>
  <c r="P1796" i="2"/>
  <c r="P1797" i="2"/>
  <c r="P1798" i="2"/>
  <c r="P1799" i="2"/>
  <c r="P1800" i="2"/>
  <c r="P1801" i="2"/>
  <c r="P1802" i="2"/>
  <c r="P1803" i="2"/>
  <c r="P1804" i="2"/>
  <c r="P1805" i="2"/>
  <c r="P1806" i="2"/>
  <c r="P1807" i="2"/>
  <c r="P1808" i="2"/>
  <c r="P1809" i="2"/>
  <c r="P1810" i="2"/>
  <c r="P1811" i="2"/>
  <c r="P1812" i="2"/>
  <c r="P1813" i="2"/>
  <c r="P1814" i="2"/>
  <c r="P1815" i="2"/>
  <c r="P1816" i="2"/>
  <c r="P1817" i="2"/>
  <c r="P1818" i="2"/>
  <c r="P1819" i="2"/>
  <c r="P1820" i="2"/>
  <c r="P1821" i="2"/>
  <c r="P1822" i="2"/>
  <c r="P1823" i="2"/>
  <c r="P1824" i="2"/>
  <c r="P1825" i="2"/>
  <c r="P1826" i="2"/>
  <c r="P1827" i="2"/>
  <c r="P1828" i="2"/>
  <c r="P1829" i="2"/>
  <c r="P1830" i="2"/>
  <c r="P1831" i="2"/>
  <c r="P1832" i="2"/>
  <c r="P1833" i="2"/>
  <c r="P1834" i="2"/>
  <c r="P1835" i="2"/>
  <c r="P1836" i="2"/>
  <c r="P1837" i="2"/>
  <c r="P1838" i="2"/>
  <c r="P1839" i="2"/>
  <c r="P1840" i="2"/>
  <c r="P1841" i="2"/>
  <c r="P1842" i="2"/>
  <c r="P1843" i="2"/>
  <c r="P1844" i="2"/>
  <c r="P1845" i="2"/>
  <c r="P1846" i="2"/>
  <c r="P1847" i="2"/>
  <c r="P1848" i="2"/>
  <c r="P1849" i="2"/>
  <c r="P1850" i="2"/>
  <c r="P1851" i="2"/>
  <c r="P1852" i="2"/>
  <c r="P1853" i="2"/>
  <c r="P1854" i="2"/>
  <c r="P1855" i="2"/>
  <c r="P1856" i="2"/>
  <c r="P1857" i="2"/>
  <c r="P1858" i="2"/>
  <c r="P1859" i="2"/>
  <c r="P1860" i="2"/>
  <c r="P1861" i="2"/>
  <c r="P1862" i="2"/>
  <c r="P1863" i="2"/>
  <c r="P1864" i="2"/>
  <c r="P1865" i="2"/>
  <c r="P1866" i="2"/>
  <c r="P1867" i="2"/>
  <c r="P1868" i="2"/>
  <c r="P1869" i="2"/>
  <c r="P1870" i="2"/>
  <c r="P1871" i="2"/>
  <c r="P1872" i="2"/>
  <c r="P1873" i="2"/>
  <c r="P1874" i="2"/>
  <c r="P1875" i="2"/>
  <c r="P1876" i="2"/>
  <c r="P1877" i="2"/>
  <c r="P1878" i="2"/>
  <c r="P1879" i="2"/>
  <c r="P1880" i="2"/>
  <c r="P1881" i="2"/>
  <c r="P1882" i="2"/>
  <c r="P1883" i="2"/>
  <c r="P1884" i="2"/>
  <c r="P1885" i="2"/>
  <c r="P1886" i="2"/>
  <c r="P1887" i="2"/>
  <c r="P1888" i="2"/>
  <c r="P1889" i="2"/>
  <c r="P1890" i="2"/>
  <c r="P1891" i="2"/>
  <c r="P1892" i="2"/>
  <c r="P1893" i="2"/>
  <c r="P1894" i="2"/>
  <c r="P1895" i="2"/>
  <c r="P1896" i="2"/>
  <c r="P1897" i="2"/>
  <c r="P1898" i="2"/>
  <c r="P1899" i="2"/>
  <c r="P1900" i="2"/>
  <c r="P1901" i="2"/>
  <c r="P1902" i="2"/>
  <c r="P1903" i="2"/>
  <c r="P1904" i="2"/>
  <c r="P1905" i="2"/>
  <c r="P1906" i="2"/>
  <c r="P1907" i="2"/>
  <c r="P1908" i="2"/>
  <c r="P1909" i="2"/>
  <c r="P1910" i="2"/>
  <c r="P1911" i="2"/>
  <c r="P1912" i="2"/>
  <c r="P1913" i="2"/>
  <c r="P1914" i="2"/>
  <c r="P1915" i="2"/>
  <c r="P1916" i="2"/>
  <c r="P1917" i="2"/>
  <c r="P1918" i="2"/>
  <c r="P1919" i="2"/>
  <c r="P1920" i="2"/>
  <c r="P1921" i="2"/>
  <c r="P1922" i="2"/>
  <c r="P1923" i="2"/>
  <c r="P1924" i="2"/>
  <c r="P1925" i="2"/>
  <c r="P1926" i="2"/>
  <c r="P1927" i="2"/>
  <c r="P1928" i="2"/>
  <c r="P1929" i="2"/>
  <c r="P1930" i="2"/>
  <c r="P1931" i="2"/>
  <c r="P1932" i="2"/>
  <c r="P1933" i="2"/>
  <c r="P1934" i="2"/>
  <c r="P1935" i="2"/>
  <c r="P1936" i="2"/>
  <c r="P1937" i="2"/>
  <c r="P1938" i="2"/>
  <c r="P1939" i="2"/>
  <c r="P1940" i="2"/>
  <c r="P1941" i="2"/>
  <c r="P1942" i="2"/>
  <c r="P1943" i="2"/>
  <c r="P1944" i="2"/>
  <c r="P1945" i="2"/>
  <c r="P1946" i="2"/>
  <c r="P1947" i="2"/>
  <c r="P1948" i="2"/>
  <c r="P1949" i="2"/>
  <c r="P1950" i="2"/>
  <c r="P1951" i="2"/>
  <c r="P1952" i="2"/>
  <c r="P1953" i="2"/>
  <c r="P1954" i="2"/>
  <c r="P1955" i="2"/>
  <c r="P1956" i="2"/>
  <c r="P1957" i="2"/>
  <c r="P1958" i="2"/>
  <c r="P1959" i="2"/>
  <c r="P1960" i="2"/>
  <c r="P1961" i="2"/>
  <c r="P1962" i="2"/>
  <c r="P1963" i="2"/>
  <c r="P1964" i="2"/>
  <c r="P1965" i="2"/>
  <c r="P1966" i="2"/>
  <c r="P1967" i="2"/>
  <c r="P1968" i="2"/>
  <c r="P1969" i="2"/>
  <c r="P1970" i="2"/>
  <c r="P1971" i="2"/>
  <c r="P1972" i="2"/>
  <c r="P1973" i="2"/>
  <c r="P1974" i="2"/>
  <c r="P1975" i="2"/>
  <c r="P1976" i="2"/>
  <c r="P1977" i="2"/>
  <c r="P1978" i="2"/>
  <c r="P1979" i="2"/>
  <c r="P1980" i="2"/>
  <c r="P1981" i="2"/>
  <c r="P1982" i="2"/>
  <c r="P1983" i="2"/>
  <c r="P1984" i="2"/>
  <c r="P1985" i="2"/>
  <c r="P1986" i="2"/>
  <c r="P1987" i="2"/>
  <c r="P1988" i="2"/>
  <c r="P1989" i="2"/>
  <c r="P1990" i="2"/>
  <c r="P1991" i="2"/>
  <c r="P1992" i="2"/>
  <c r="P1993" i="2"/>
  <c r="P1994" i="2"/>
  <c r="P1995" i="2"/>
  <c r="P1996" i="2"/>
  <c r="P1997" i="2"/>
  <c r="P1998" i="2"/>
  <c r="P1999" i="2"/>
  <c r="P2000" i="2"/>
  <c r="P2001" i="2"/>
  <c r="P2002" i="2"/>
  <c r="P2003" i="2"/>
  <c r="P2004" i="2"/>
  <c r="P2005" i="2"/>
  <c r="P2006" i="2"/>
  <c r="P2007" i="2"/>
  <c r="P2008" i="2"/>
  <c r="P2009" i="2"/>
  <c r="P2010" i="2"/>
  <c r="P2011" i="2"/>
  <c r="P2012" i="2"/>
  <c r="P2013" i="2"/>
  <c r="P2014" i="2"/>
  <c r="P2015" i="2"/>
  <c r="P2016" i="2"/>
  <c r="P2017" i="2"/>
  <c r="P2018" i="2"/>
  <c r="P2019" i="2"/>
  <c r="P2020" i="2"/>
  <c r="P2021" i="2"/>
  <c r="P2022" i="2"/>
  <c r="P2023" i="2"/>
  <c r="P2024" i="2"/>
  <c r="P2025" i="2"/>
  <c r="P2026" i="2"/>
  <c r="P2027" i="2"/>
  <c r="P2028" i="2"/>
  <c r="P2029" i="2"/>
  <c r="P2030" i="2"/>
  <c r="P2031" i="2"/>
  <c r="P2032" i="2"/>
  <c r="P2033" i="2"/>
  <c r="P2034" i="2"/>
  <c r="P2035" i="2"/>
  <c r="P2036" i="2"/>
  <c r="P2037" i="2"/>
  <c r="P2038" i="2"/>
  <c r="P2039" i="2"/>
  <c r="P2040" i="2"/>
  <c r="P2041" i="2"/>
  <c r="P2042" i="2"/>
  <c r="P2043" i="2"/>
  <c r="P2044" i="2"/>
  <c r="P2045" i="2"/>
  <c r="P2046" i="2"/>
  <c r="P2047" i="2"/>
  <c r="P2048" i="2"/>
  <c r="P2049" i="2"/>
  <c r="P2050" i="2"/>
  <c r="P2051" i="2"/>
  <c r="P2052" i="2"/>
  <c r="P2053" i="2"/>
  <c r="P2054" i="2"/>
  <c r="P2055" i="2"/>
  <c r="P2056" i="2"/>
  <c r="P2057" i="2"/>
  <c r="P2058" i="2"/>
  <c r="P2059" i="2"/>
  <c r="P2060" i="2"/>
  <c r="P2061" i="2"/>
  <c r="P2062" i="2"/>
  <c r="P2063" i="2"/>
  <c r="P2064" i="2"/>
  <c r="P2065" i="2"/>
  <c r="P2066" i="2"/>
  <c r="P2067" i="2"/>
  <c r="P2068" i="2"/>
  <c r="P2069" i="2"/>
  <c r="P2070" i="2"/>
  <c r="P2071" i="2"/>
  <c r="P2072" i="2"/>
  <c r="P2073" i="2"/>
  <c r="P2074" i="2"/>
  <c r="P2075" i="2"/>
  <c r="P2076" i="2"/>
  <c r="P2077" i="2"/>
  <c r="P2078" i="2"/>
  <c r="P2079" i="2"/>
  <c r="P2080" i="2"/>
  <c r="P2081" i="2"/>
  <c r="P2082" i="2"/>
  <c r="P2083" i="2"/>
  <c r="P2084" i="2"/>
  <c r="P2085" i="2"/>
  <c r="P2086" i="2"/>
  <c r="P2087" i="2"/>
  <c r="P2088" i="2"/>
  <c r="P2089" i="2"/>
  <c r="P2090" i="2"/>
  <c r="P2091" i="2"/>
  <c r="P2092" i="2"/>
  <c r="P2093" i="2"/>
  <c r="P2094" i="2"/>
  <c r="P2095" i="2"/>
  <c r="P2096" i="2"/>
  <c r="P2097" i="2"/>
  <c r="P2098" i="2"/>
  <c r="P2099" i="2"/>
  <c r="P2100" i="2"/>
  <c r="P2101" i="2"/>
  <c r="P2102" i="2"/>
  <c r="P2103" i="2"/>
  <c r="P2104" i="2"/>
  <c r="P2105" i="2"/>
  <c r="P2106" i="2"/>
  <c r="P2107" i="2"/>
  <c r="P2108" i="2"/>
  <c r="P2109" i="2"/>
  <c r="P2110" i="2"/>
  <c r="P2111" i="2"/>
  <c r="P2112" i="2"/>
  <c r="P2113" i="2"/>
  <c r="P2114" i="2"/>
  <c r="P2115" i="2"/>
  <c r="P2116" i="2"/>
  <c r="P2117" i="2"/>
  <c r="P2118" i="2"/>
  <c r="P2119" i="2"/>
  <c r="P2120" i="2"/>
  <c r="P2121" i="2"/>
  <c r="P2122" i="2"/>
  <c r="P2123" i="2"/>
  <c r="P2124" i="2"/>
  <c r="P2125" i="2"/>
  <c r="P2126" i="2"/>
  <c r="P2127" i="2"/>
  <c r="P2128" i="2"/>
  <c r="P2129" i="2"/>
  <c r="P2130" i="2"/>
  <c r="P2131" i="2"/>
  <c r="P2132" i="2"/>
  <c r="P2133" i="2"/>
  <c r="P2134" i="2"/>
  <c r="P2135" i="2"/>
  <c r="P2136" i="2"/>
  <c r="P2137" i="2"/>
  <c r="P2138" i="2"/>
  <c r="P2139" i="2"/>
  <c r="P2140" i="2"/>
  <c r="P2141" i="2"/>
  <c r="P2142" i="2"/>
  <c r="P2143" i="2"/>
  <c r="P2144" i="2"/>
  <c r="P2145" i="2"/>
  <c r="P2146" i="2"/>
  <c r="P2147" i="2"/>
  <c r="P2148" i="2"/>
  <c r="P2149" i="2"/>
  <c r="P2150" i="2"/>
  <c r="P2151" i="2"/>
  <c r="P2152" i="2"/>
  <c r="P2153" i="2"/>
  <c r="P2154" i="2"/>
  <c r="P2155" i="2"/>
  <c r="P2156" i="2"/>
  <c r="P2157" i="2"/>
  <c r="P2158" i="2"/>
  <c r="P2159" i="2"/>
  <c r="P2160" i="2"/>
  <c r="P2161" i="2"/>
  <c r="P2162" i="2"/>
  <c r="P2163" i="2"/>
  <c r="P2164" i="2"/>
  <c r="P2165" i="2"/>
  <c r="P2166" i="2"/>
  <c r="P2167" i="2"/>
  <c r="P2168" i="2"/>
  <c r="P2169" i="2"/>
  <c r="P2170" i="2"/>
  <c r="P2171" i="2"/>
  <c r="P2172" i="2"/>
  <c r="P2173" i="2"/>
  <c r="P2174" i="2"/>
  <c r="P2175" i="2"/>
  <c r="P2176" i="2"/>
  <c r="P2177" i="2"/>
  <c r="P2178" i="2"/>
  <c r="P2179" i="2"/>
  <c r="P2180" i="2"/>
  <c r="P2181" i="2"/>
  <c r="P2182" i="2"/>
  <c r="P2183" i="2"/>
  <c r="P2184" i="2"/>
  <c r="P2185" i="2"/>
  <c r="P2186" i="2"/>
  <c r="P2187" i="2"/>
  <c r="P2188" i="2"/>
  <c r="P2189" i="2"/>
  <c r="P2190" i="2"/>
  <c r="P2191" i="2"/>
  <c r="P2192" i="2"/>
  <c r="P2193" i="2"/>
  <c r="P2194" i="2"/>
  <c r="P2195" i="2"/>
  <c r="P2196" i="2"/>
  <c r="P2197" i="2"/>
  <c r="P2198" i="2"/>
  <c r="P2199" i="2"/>
  <c r="P2200" i="2"/>
  <c r="P2201" i="2"/>
  <c r="P2202" i="2"/>
  <c r="P2203" i="2"/>
  <c r="P2204" i="2"/>
  <c r="P2205" i="2"/>
  <c r="P2206" i="2"/>
  <c r="P2207" i="2"/>
  <c r="P2208" i="2"/>
  <c r="P2209" i="2"/>
  <c r="P2210" i="2"/>
  <c r="P2211" i="2"/>
  <c r="P2212" i="2"/>
  <c r="P2213" i="2"/>
  <c r="P2214" i="2"/>
  <c r="P2215" i="2"/>
  <c r="P2216" i="2"/>
  <c r="P2217" i="2"/>
  <c r="P2218" i="2"/>
  <c r="P2219" i="2"/>
  <c r="P2220" i="2"/>
  <c r="P2221" i="2"/>
  <c r="P2222" i="2"/>
  <c r="P2223" i="2"/>
  <c r="P2224" i="2"/>
  <c r="P2225" i="2"/>
  <c r="P2226" i="2"/>
  <c r="P2227" i="2"/>
  <c r="P2228" i="2"/>
  <c r="P2229" i="2"/>
  <c r="P2230" i="2"/>
  <c r="P2231" i="2"/>
  <c r="P2232" i="2"/>
  <c r="P2233" i="2"/>
  <c r="P2234" i="2"/>
  <c r="P2235" i="2"/>
  <c r="P2236" i="2"/>
  <c r="P2237" i="2"/>
  <c r="P2238" i="2"/>
  <c r="P2239" i="2"/>
  <c r="P2240" i="2"/>
  <c r="P2241" i="2"/>
  <c r="P2242" i="2"/>
  <c r="P2243" i="2"/>
  <c r="P2244" i="2"/>
  <c r="P2245" i="2"/>
  <c r="P2246" i="2"/>
  <c r="P2247" i="2"/>
  <c r="P2248" i="2"/>
  <c r="P2249" i="2"/>
  <c r="P2250" i="2"/>
  <c r="P2251" i="2"/>
  <c r="P2252" i="2"/>
  <c r="P2253" i="2"/>
  <c r="P2254" i="2"/>
  <c r="P2255" i="2"/>
  <c r="P2256" i="2"/>
  <c r="P2257" i="2"/>
  <c r="P2258" i="2"/>
  <c r="P2259" i="2"/>
  <c r="P2260" i="2"/>
  <c r="P2261" i="2"/>
  <c r="P2262" i="2"/>
  <c r="P2263" i="2"/>
  <c r="P2264" i="2"/>
  <c r="P2265" i="2"/>
  <c r="P2266" i="2"/>
  <c r="P2267" i="2"/>
  <c r="P2268" i="2"/>
  <c r="P2269" i="2"/>
  <c r="P2270" i="2"/>
  <c r="P2271" i="2"/>
  <c r="P2272" i="2"/>
  <c r="P2273" i="2"/>
  <c r="P2274" i="2"/>
  <c r="P2275" i="2"/>
  <c r="P2276" i="2"/>
  <c r="P2277" i="2"/>
  <c r="P2278" i="2"/>
  <c r="P2279" i="2"/>
  <c r="P2280" i="2"/>
  <c r="P2281" i="2"/>
  <c r="P2282" i="2"/>
  <c r="P2283" i="2"/>
  <c r="P2284" i="2"/>
  <c r="P2285" i="2"/>
  <c r="P2286" i="2"/>
  <c r="P2287" i="2"/>
  <c r="P2288" i="2"/>
  <c r="P2289" i="2"/>
  <c r="P2290" i="2"/>
  <c r="P2291" i="2"/>
  <c r="P2292" i="2"/>
  <c r="P2293" i="2"/>
  <c r="P2294" i="2"/>
  <c r="P2295" i="2"/>
  <c r="P2296" i="2"/>
  <c r="P2297" i="2"/>
  <c r="P2298" i="2"/>
  <c r="P2299" i="2"/>
  <c r="P2300" i="2"/>
  <c r="P2301" i="2"/>
  <c r="P2302" i="2"/>
  <c r="P2303" i="2"/>
  <c r="P2304" i="2"/>
  <c r="P2305" i="2"/>
  <c r="P2306" i="2"/>
  <c r="P2307" i="2"/>
  <c r="P2308" i="2"/>
  <c r="P2309" i="2"/>
  <c r="P2310" i="2"/>
  <c r="P2311" i="2"/>
  <c r="P2312" i="2"/>
  <c r="P2313" i="2"/>
  <c r="P2314" i="2"/>
  <c r="P2315" i="2"/>
  <c r="P2316" i="2"/>
  <c r="P2317" i="2"/>
  <c r="P2318" i="2"/>
  <c r="P2319" i="2"/>
  <c r="P2320" i="2"/>
  <c r="P2321" i="2"/>
  <c r="P2322" i="2"/>
  <c r="P2323" i="2"/>
  <c r="P2324" i="2"/>
  <c r="P2325" i="2"/>
  <c r="P2326" i="2"/>
  <c r="P2327" i="2"/>
  <c r="P2328" i="2"/>
  <c r="P2329" i="2"/>
  <c r="P2330" i="2"/>
  <c r="P2331" i="2"/>
  <c r="P2332" i="2"/>
  <c r="P2333" i="2"/>
  <c r="P2334" i="2"/>
  <c r="P2335" i="2"/>
  <c r="P2336" i="2"/>
  <c r="P2337" i="2"/>
  <c r="P2338" i="2"/>
  <c r="P2339" i="2"/>
  <c r="P2340" i="2"/>
  <c r="P2341" i="2"/>
  <c r="P2342" i="2"/>
  <c r="P2343" i="2"/>
  <c r="P2344" i="2"/>
  <c r="P2345" i="2"/>
  <c r="P2346" i="2"/>
  <c r="P2347" i="2"/>
  <c r="P2348" i="2"/>
  <c r="P2349" i="2"/>
  <c r="P2350" i="2"/>
  <c r="P2351" i="2"/>
  <c r="P2352" i="2"/>
  <c r="P2353" i="2"/>
  <c r="P2354" i="2"/>
  <c r="P2355" i="2"/>
  <c r="P2356" i="2"/>
  <c r="P2357" i="2"/>
  <c r="P2358" i="2"/>
  <c r="P2359" i="2"/>
  <c r="P2360" i="2"/>
  <c r="P2361" i="2"/>
  <c r="P2362" i="2"/>
  <c r="P2363" i="2"/>
  <c r="P2364" i="2"/>
  <c r="P2365" i="2"/>
  <c r="P2366" i="2"/>
  <c r="P2367" i="2"/>
  <c r="P2368" i="2"/>
  <c r="P2369" i="2"/>
  <c r="P2370" i="2"/>
  <c r="P2371" i="2"/>
  <c r="P2372" i="2"/>
  <c r="P2373" i="2"/>
  <c r="P2374" i="2"/>
  <c r="P2375" i="2"/>
  <c r="P2376" i="2"/>
  <c r="P2377" i="2"/>
  <c r="P2378" i="2"/>
  <c r="P2379" i="2"/>
  <c r="P2380" i="2"/>
  <c r="P2381" i="2"/>
  <c r="P2382" i="2"/>
  <c r="P2383" i="2"/>
  <c r="P2384" i="2"/>
  <c r="P2385" i="2"/>
  <c r="P2386" i="2"/>
  <c r="P2387" i="2"/>
  <c r="P2388" i="2"/>
  <c r="P2389" i="2"/>
  <c r="P2390" i="2"/>
  <c r="P2391" i="2"/>
  <c r="P2392" i="2"/>
  <c r="P2393" i="2"/>
  <c r="P2394" i="2"/>
  <c r="P2395" i="2"/>
  <c r="P2396" i="2"/>
  <c r="P2397" i="2"/>
  <c r="P2398" i="2"/>
  <c r="P2399" i="2"/>
  <c r="P2400" i="2"/>
  <c r="P2401" i="2"/>
  <c r="P2402" i="2"/>
  <c r="P2403" i="2"/>
  <c r="P2404" i="2"/>
  <c r="P2405" i="2"/>
  <c r="P2406" i="2"/>
  <c r="P2407" i="2"/>
  <c r="P2408" i="2"/>
  <c r="P2409" i="2"/>
  <c r="P2410" i="2"/>
  <c r="P2411" i="2"/>
  <c r="P2412" i="2"/>
  <c r="P2413" i="2"/>
  <c r="P2414" i="2"/>
  <c r="P2415" i="2"/>
  <c r="P2416" i="2"/>
  <c r="P2417" i="2"/>
  <c r="P2418" i="2"/>
  <c r="P2419" i="2"/>
  <c r="P2420" i="2"/>
  <c r="P2421" i="2"/>
  <c r="P2422" i="2"/>
  <c r="P2423" i="2"/>
  <c r="P2424" i="2"/>
  <c r="P2425" i="2"/>
  <c r="P2426" i="2"/>
  <c r="P2427" i="2"/>
  <c r="P2428" i="2"/>
  <c r="P2429" i="2"/>
  <c r="P2430" i="2"/>
  <c r="P2431" i="2"/>
  <c r="P2432" i="2"/>
  <c r="P2433" i="2"/>
  <c r="P2434" i="2"/>
  <c r="P2435" i="2"/>
  <c r="P2436" i="2"/>
  <c r="P2437" i="2"/>
  <c r="P2438" i="2"/>
  <c r="P2439" i="2"/>
  <c r="P2440" i="2"/>
  <c r="P2441" i="2"/>
  <c r="P2442" i="2"/>
  <c r="P2443" i="2"/>
  <c r="P2444" i="2"/>
  <c r="P2445" i="2"/>
  <c r="P2446" i="2"/>
  <c r="P2447" i="2"/>
  <c r="P2448" i="2"/>
  <c r="P2449" i="2"/>
  <c r="P2450" i="2"/>
  <c r="P2451" i="2"/>
  <c r="P2452" i="2"/>
  <c r="P2453" i="2"/>
  <c r="P2454" i="2"/>
  <c r="P2455" i="2"/>
  <c r="P2456" i="2"/>
  <c r="P2457" i="2"/>
  <c r="P2458" i="2"/>
  <c r="P2459" i="2"/>
  <c r="P2460" i="2"/>
  <c r="P2461" i="2"/>
  <c r="P2462" i="2"/>
  <c r="P2463" i="2"/>
  <c r="P2464" i="2"/>
  <c r="P2465" i="2"/>
  <c r="P2466" i="2"/>
  <c r="P2467" i="2"/>
  <c r="P2468" i="2"/>
  <c r="P2469" i="2"/>
  <c r="P2470" i="2"/>
  <c r="P2471" i="2"/>
  <c r="P2472" i="2"/>
  <c r="P2473" i="2"/>
  <c r="P2474" i="2"/>
  <c r="P2475" i="2"/>
  <c r="P2476" i="2"/>
  <c r="P2477" i="2"/>
  <c r="P2478" i="2"/>
  <c r="P2479" i="2"/>
  <c r="P2480" i="2"/>
  <c r="P2481" i="2"/>
  <c r="P2482" i="2"/>
  <c r="P2483" i="2"/>
  <c r="P2484" i="2"/>
  <c r="P2485" i="2"/>
  <c r="P2486" i="2"/>
  <c r="P2487" i="2"/>
  <c r="P2488" i="2"/>
  <c r="P2489" i="2"/>
  <c r="P2490" i="2"/>
  <c r="P2491" i="2"/>
  <c r="P2492" i="2"/>
  <c r="P2493" i="2"/>
  <c r="P2494" i="2"/>
  <c r="P2495" i="2"/>
  <c r="P2496" i="2"/>
  <c r="P2497" i="2"/>
  <c r="P2498" i="2"/>
  <c r="P2499" i="2"/>
  <c r="P2500" i="2"/>
  <c r="P2501" i="2"/>
  <c r="P2502" i="2"/>
  <c r="P2503" i="2"/>
  <c r="P2504" i="2"/>
  <c r="P2505" i="2"/>
  <c r="P2506" i="2"/>
  <c r="P2507" i="2"/>
  <c r="P2508" i="2"/>
  <c r="P2509" i="2"/>
  <c r="P2510" i="2"/>
  <c r="P2511" i="2"/>
  <c r="P2512" i="2"/>
  <c r="P2513" i="2"/>
  <c r="P2514" i="2"/>
  <c r="P2515" i="2"/>
  <c r="P2516" i="2"/>
  <c r="P2517" i="2"/>
  <c r="P2518" i="2"/>
  <c r="P2519" i="2"/>
  <c r="P2520" i="2"/>
  <c r="P2521" i="2"/>
  <c r="P2522" i="2"/>
  <c r="P2523" i="2"/>
  <c r="P2524" i="2"/>
  <c r="P2525" i="2"/>
  <c r="P2526" i="2"/>
  <c r="P2527" i="2"/>
  <c r="P2528" i="2"/>
  <c r="P2529" i="2"/>
  <c r="P2530" i="2"/>
  <c r="P2531" i="2"/>
  <c r="P2532" i="2"/>
  <c r="P2533" i="2"/>
  <c r="P2534" i="2"/>
  <c r="P2535" i="2"/>
  <c r="P2536" i="2"/>
  <c r="P2537" i="2"/>
  <c r="P2538" i="2"/>
  <c r="P2539" i="2"/>
  <c r="P2540" i="2"/>
  <c r="P2541" i="2"/>
  <c r="P2542" i="2"/>
  <c r="P2543" i="2"/>
  <c r="P2544" i="2"/>
  <c r="P2545" i="2"/>
  <c r="P2546" i="2"/>
  <c r="P2547" i="2"/>
  <c r="P2548" i="2"/>
  <c r="P2549" i="2"/>
  <c r="P2550" i="2"/>
  <c r="P2551" i="2"/>
  <c r="P2552" i="2"/>
  <c r="P2553" i="2"/>
  <c r="P2554" i="2"/>
  <c r="P2555" i="2"/>
  <c r="P2556" i="2"/>
  <c r="P2557" i="2"/>
  <c r="P2558" i="2"/>
  <c r="P2559" i="2"/>
  <c r="P2560" i="2"/>
  <c r="P2561" i="2"/>
  <c r="P2562" i="2"/>
  <c r="P2563" i="2"/>
  <c r="P2564" i="2"/>
  <c r="P2565" i="2"/>
  <c r="P2566" i="2"/>
  <c r="P2567" i="2"/>
  <c r="P2568" i="2"/>
  <c r="P2569" i="2"/>
  <c r="P2570" i="2"/>
  <c r="P2571" i="2"/>
  <c r="P2572" i="2"/>
  <c r="P2573" i="2"/>
  <c r="P2574" i="2"/>
  <c r="P2575" i="2"/>
  <c r="P2576" i="2"/>
  <c r="P2577" i="2"/>
  <c r="P2578" i="2"/>
  <c r="P2579" i="2"/>
  <c r="P2580" i="2"/>
  <c r="P2581" i="2"/>
  <c r="P2582" i="2"/>
  <c r="P2583" i="2"/>
  <c r="P2584" i="2"/>
  <c r="P2585" i="2"/>
  <c r="P2586" i="2"/>
  <c r="P2587" i="2"/>
  <c r="P2588" i="2"/>
  <c r="P2589" i="2"/>
  <c r="P2590" i="2"/>
  <c r="P2591" i="2"/>
  <c r="P2592" i="2"/>
  <c r="P2593" i="2"/>
  <c r="P2594" i="2"/>
  <c r="P2595" i="2"/>
  <c r="P2596" i="2"/>
  <c r="P2597" i="2"/>
  <c r="P2598" i="2"/>
  <c r="P2599" i="2"/>
  <c r="P2600" i="2"/>
  <c r="P2601" i="2"/>
  <c r="P2602" i="2"/>
  <c r="P2603" i="2"/>
  <c r="P2604" i="2"/>
  <c r="P2605" i="2"/>
  <c r="P2606" i="2"/>
  <c r="P2607" i="2"/>
  <c r="P2608" i="2"/>
  <c r="P2609" i="2"/>
  <c r="P2610" i="2"/>
  <c r="P2611" i="2"/>
  <c r="P2612" i="2"/>
  <c r="P2613" i="2"/>
  <c r="P2614" i="2"/>
  <c r="P2615" i="2"/>
  <c r="P2616" i="2"/>
  <c r="P2617" i="2"/>
  <c r="P2618" i="2"/>
  <c r="P2619" i="2"/>
  <c r="P2620" i="2"/>
  <c r="P2621" i="2"/>
  <c r="P2622" i="2"/>
  <c r="P2623" i="2"/>
  <c r="P2624" i="2"/>
  <c r="P2625" i="2"/>
  <c r="P2626" i="2"/>
  <c r="P2627" i="2"/>
  <c r="P2628" i="2"/>
  <c r="P2629" i="2"/>
  <c r="P2630" i="2"/>
  <c r="P2631" i="2"/>
  <c r="P2632" i="2"/>
  <c r="P2633" i="2"/>
  <c r="P2634" i="2"/>
  <c r="P2635" i="2"/>
  <c r="P2636" i="2"/>
  <c r="P2637" i="2"/>
  <c r="P2638" i="2"/>
  <c r="P2639" i="2"/>
  <c r="P2640" i="2"/>
  <c r="P2641" i="2"/>
  <c r="P2642" i="2"/>
  <c r="P2643" i="2"/>
  <c r="P2644" i="2"/>
  <c r="P2645" i="2"/>
  <c r="P2646" i="2"/>
  <c r="P2647" i="2"/>
  <c r="P2648" i="2"/>
  <c r="P2649" i="2"/>
  <c r="P2650" i="2"/>
  <c r="P2651" i="2"/>
  <c r="P2652" i="2"/>
  <c r="P2653" i="2"/>
  <c r="P2654" i="2"/>
  <c r="P2655" i="2"/>
  <c r="P2656" i="2"/>
  <c r="P2657" i="2"/>
  <c r="P2658" i="2"/>
  <c r="P2659" i="2"/>
  <c r="P2660" i="2"/>
  <c r="P2661" i="2"/>
  <c r="P2662" i="2"/>
  <c r="P2663" i="2"/>
  <c r="P2664" i="2"/>
  <c r="P2665" i="2"/>
  <c r="P2666" i="2"/>
  <c r="P2667" i="2"/>
  <c r="P2668" i="2"/>
  <c r="P2669" i="2"/>
  <c r="P2670" i="2"/>
  <c r="P2671" i="2"/>
  <c r="P2672" i="2"/>
  <c r="P2673" i="2"/>
  <c r="P2674" i="2"/>
  <c r="P2675" i="2"/>
  <c r="P2676" i="2"/>
  <c r="P2677" i="2"/>
  <c r="P2678" i="2"/>
  <c r="P2679" i="2"/>
  <c r="P2680" i="2"/>
  <c r="P2681" i="2"/>
  <c r="P2682" i="2"/>
  <c r="P2683" i="2"/>
  <c r="P2684" i="2"/>
  <c r="P2685" i="2"/>
  <c r="P2686" i="2"/>
  <c r="P2687" i="2"/>
  <c r="P2688" i="2"/>
  <c r="P2689" i="2"/>
  <c r="P2690" i="2"/>
  <c r="P2691" i="2"/>
  <c r="P2692" i="2"/>
  <c r="P2693" i="2"/>
  <c r="P2694" i="2"/>
  <c r="P2695" i="2"/>
  <c r="P2696" i="2"/>
  <c r="P2697" i="2"/>
  <c r="P2698" i="2"/>
  <c r="P2699" i="2"/>
  <c r="P2700" i="2"/>
  <c r="P2701" i="2"/>
  <c r="P2702" i="2"/>
  <c r="P2703" i="2"/>
  <c r="P2704" i="2"/>
  <c r="P2705" i="2"/>
  <c r="P2706" i="2"/>
  <c r="P2707" i="2"/>
  <c r="P2708" i="2"/>
  <c r="P2709" i="2"/>
  <c r="P2710" i="2"/>
  <c r="P2711" i="2"/>
  <c r="P2712" i="2"/>
  <c r="P2713" i="2"/>
  <c r="P2714" i="2"/>
  <c r="P2715" i="2"/>
  <c r="P2716" i="2"/>
  <c r="P2717" i="2"/>
  <c r="P2718" i="2"/>
  <c r="P2719" i="2"/>
  <c r="P2720" i="2"/>
  <c r="P2721" i="2"/>
  <c r="P2722" i="2"/>
  <c r="P2723" i="2"/>
  <c r="P2724" i="2"/>
  <c r="P2725" i="2"/>
  <c r="P2726" i="2"/>
  <c r="P2727" i="2"/>
  <c r="P2728" i="2"/>
  <c r="P2729" i="2"/>
  <c r="P2730" i="2"/>
  <c r="P2731" i="2"/>
  <c r="P2732" i="2"/>
  <c r="P2733" i="2"/>
  <c r="P2734" i="2"/>
  <c r="P2735" i="2"/>
  <c r="P2736" i="2"/>
  <c r="P2737" i="2"/>
  <c r="P2738" i="2"/>
  <c r="P2739" i="2"/>
  <c r="P2740" i="2"/>
  <c r="P2741" i="2"/>
  <c r="P2742" i="2"/>
  <c r="P2743" i="2"/>
  <c r="P2744" i="2"/>
  <c r="P2745" i="2"/>
  <c r="P2746" i="2"/>
  <c r="P2747" i="2"/>
  <c r="P2748" i="2"/>
  <c r="P2749" i="2"/>
  <c r="P2750" i="2"/>
  <c r="P2751" i="2"/>
  <c r="P2752" i="2"/>
  <c r="P2753" i="2"/>
  <c r="P2754" i="2"/>
  <c r="P2755" i="2"/>
  <c r="P2756" i="2"/>
  <c r="P2757" i="2"/>
  <c r="P2758" i="2"/>
  <c r="P2759" i="2"/>
  <c r="P2760" i="2"/>
  <c r="P2761" i="2"/>
  <c r="P2762" i="2"/>
  <c r="P2763" i="2"/>
  <c r="P2764" i="2"/>
  <c r="P2765" i="2"/>
  <c r="P2766" i="2"/>
  <c r="P2767" i="2"/>
  <c r="P2768" i="2"/>
  <c r="P2769" i="2"/>
  <c r="P2770" i="2"/>
  <c r="P2771" i="2"/>
  <c r="P2772" i="2"/>
  <c r="P2773" i="2"/>
  <c r="P2774" i="2"/>
  <c r="P2775" i="2"/>
  <c r="P2776" i="2"/>
  <c r="P2777" i="2"/>
  <c r="P2778" i="2"/>
  <c r="P2779" i="2"/>
  <c r="P2780" i="2"/>
  <c r="P2781" i="2"/>
  <c r="P2782" i="2"/>
  <c r="P2783" i="2"/>
  <c r="P2784" i="2"/>
  <c r="P2785" i="2"/>
  <c r="P2786" i="2"/>
  <c r="P2787" i="2"/>
  <c r="P2788" i="2"/>
  <c r="P2789" i="2"/>
  <c r="P2790" i="2"/>
  <c r="P2791" i="2"/>
  <c r="P2792" i="2"/>
  <c r="P2793" i="2"/>
  <c r="P2794" i="2"/>
  <c r="P2795" i="2"/>
  <c r="P2796" i="2"/>
  <c r="P2797" i="2"/>
  <c r="P2798" i="2"/>
  <c r="P2799" i="2"/>
  <c r="P2800" i="2"/>
  <c r="P2801" i="2"/>
  <c r="P2802" i="2"/>
  <c r="P2803" i="2"/>
  <c r="P2804" i="2"/>
  <c r="P2805" i="2"/>
  <c r="P2806" i="2"/>
  <c r="P2807" i="2"/>
  <c r="P2808" i="2"/>
  <c r="P2809" i="2"/>
  <c r="P2810" i="2"/>
  <c r="P2811" i="2"/>
  <c r="P2812" i="2"/>
  <c r="P2813" i="2"/>
  <c r="P2814" i="2"/>
  <c r="P2815" i="2"/>
  <c r="P2816" i="2"/>
  <c r="P2817" i="2"/>
  <c r="P2818" i="2"/>
  <c r="P2819" i="2"/>
  <c r="P2820" i="2"/>
  <c r="P2821" i="2"/>
  <c r="P2822" i="2"/>
  <c r="P2823" i="2"/>
  <c r="P2824" i="2"/>
  <c r="P2825" i="2"/>
  <c r="P2826" i="2"/>
  <c r="P2827" i="2"/>
  <c r="P2828" i="2"/>
  <c r="P2829" i="2"/>
  <c r="P2830" i="2"/>
  <c r="P2831" i="2"/>
  <c r="P2832" i="2"/>
  <c r="P2833" i="2"/>
  <c r="P2834" i="2"/>
  <c r="P2835" i="2"/>
  <c r="P2836" i="2"/>
  <c r="P2837" i="2"/>
  <c r="P2838" i="2"/>
  <c r="P2839" i="2"/>
  <c r="P2840" i="2"/>
  <c r="P2841" i="2"/>
  <c r="P2842" i="2"/>
  <c r="P2843" i="2"/>
  <c r="P2844" i="2"/>
  <c r="P2845" i="2"/>
  <c r="P2846" i="2"/>
  <c r="P2847" i="2"/>
  <c r="P2848" i="2"/>
  <c r="P2849" i="2"/>
  <c r="P2850" i="2"/>
  <c r="P2851" i="2"/>
  <c r="P2852" i="2"/>
  <c r="P2853" i="2"/>
  <c r="P2854" i="2"/>
  <c r="P2855" i="2"/>
  <c r="P2856" i="2"/>
  <c r="P2857" i="2"/>
  <c r="P2858" i="2"/>
  <c r="P2859" i="2"/>
  <c r="P2860" i="2"/>
  <c r="P2861" i="2"/>
  <c r="P2862" i="2"/>
  <c r="P2863" i="2"/>
  <c r="P2864" i="2"/>
  <c r="P2865" i="2"/>
  <c r="P2866" i="2"/>
  <c r="P2867" i="2"/>
  <c r="P2868" i="2"/>
  <c r="P2869" i="2"/>
  <c r="P2870" i="2"/>
  <c r="P2871" i="2"/>
  <c r="P2872" i="2"/>
  <c r="P2873" i="2"/>
  <c r="P2874" i="2"/>
  <c r="P2875" i="2"/>
  <c r="P2876" i="2"/>
  <c r="P2877" i="2"/>
  <c r="P2878" i="2"/>
  <c r="P2879" i="2"/>
  <c r="P2880" i="2"/>
  <c r="P2881" i="2"/>
  <c r="P2882" i="2"/>
  <c r="P2883" i="2"/>
  <c r="P2884" i="2"/>
  <c r="P2885" i="2"/>
  <c r="P2886" i="2"/>
  <c r="P2887" i="2"/>
  <c r="P2888" i="2"/>
  <c r="P2889" i="2"/>
  <c r="P2890" i="2"/>
  <c r="P2891" i="2"/>
  <c r="P2892" i="2"/>
  <c r="P2893" i="2"/>
  <c r="P2894" i="2"/>
  <c r="P2895" i="2"/>
  <c r="P2896" i="2"/>
  <c r="P2897" i="2"/>
  <c r="P2898" i="2"/>
  <c r="P2899" i="2"/>
  <c r="P2900" i="2"/>
  <c r="P2901" i="2"/>
  <c r="P2902" i="2"/>
  <c r="P2903" i="2"/>
  <c r="P2904" i="2"/>
  <c r="P2905" i="2"/>
  <c r="P2906" i="2"/>
  <c r="P2907" i="2"/>
  <c r="P2908" i="2"/>
  <c r="P2909" i="2"/>
  <c r="P2910" i="2"/>
  <c r="P2911" i="2"/>
  <c r="P2912" i="2"/>
  <c r="P2913" i="2"/>
  <c r="P2914" i="2"/>
  <c r="P2915" i="2"/>
  <c r="P2916" i="2"/>
  <c r="P2917" i="2"/>
  <c r="P2918" i="2"/>
  <c r="P2919" i="2"/>
  <c r="P2920" i="2"/>
  <c r="P2921" i="2"/>
  <c r="P2922" i="2"/>
  <c r="P2923" i="2"/>
  <c r="P2924" i="2"/>
  <c r="P2925" i="2"/>
  <c r="P2926" i="2"/>
  <c r="P2927" i="2"/>
  <c r="P2928" i="2"/>
  <c r="P2929" i="2"/>
  <c r="P2930" i="2"/>
  <c r="P2931" i="2"/>
  <c r="P2932" i="2"/>
  <c r="P2933" i="2"/>
  <c r="P2934" i="2"/>
  <c r="P2935" i="2"/>
  <c r="P2936" i="2"/>
  <c r="P2937" i="2"/>
  <c r="P2938" i="2"/>
  <c r="P2939" i="2"/>
  <c r="P2940" i="2"/>
  <c r="P2941" i="2"/>
  <c r="P2942" i="2"/>
  <c r="P2943" i="2"/>
  <c r="P2944" i="2"/>
  <c r="P2945" i="2"/>
  <c r="P2946" i="2"/>
  <c r="P2947" i="2"/>
  <c r="P2948" i="2"/>
  <c r="P2949" i="2"/>
  <c r="P2950" i="2"/>
  <c r="P2951" i="2"/>
  <c r="P2952" i="2"/>
  <c r="P2953" i="2"/>
  <c r="P2954" i="2"/>
  <c r="P2955" i="2"/>
  <c r="P2956" i="2"/>
  <c r="P2957" i="2"/>
  <c r="P2958" i="2"/>
  <c r="P2959" i="2"/>
  <c r="P2960" i="2"/>
  <c r="P2961" i="2"/>
  <c r="P2962" i="2"/>
  <c r="P2963" i="2"/>
  <c r="P2964" i="2"/>
  <c r="P2965" i="2"/>
  <c r="P2966" i="2"/>
  <c r="P2967" i="2"/>
  <c r="P2968" i="2"/>
  <c r="P2969" i="2"/>
  <c r="P2970" i="2"/>
  <c r="P2971" i="2"/>
  <c r="P2972" i="2"/>
  <c r="P2973" i="2"/>
  <c r="P2974" i="2"/>
  <c r="P2975" i="2"/>
  <c r="P2976" i="2"/>
  <c r="P2977" i="2"/>
  <c r="P2978" i="2"/>
  <c r="P2979" i="2"/>
  <c r="P2980" i="2"/>
  <c r="P2981" i="2"/>
  <c r="P2982" i="2"/>
  <c r="P2983" i="2"/>
  <c r="P2984" i="2"/>
  <c r="P2985" i="2"/>
  <c r="P2986" i="2"/>
  <c r="P2987" i="2"/>
  <c r="P2988" i="2"/>
  <c r="P2989" i="2"/>
  <c r="P2990" i="2"/>
  <c r="P2991" i="2"/>
  <c r="P2992" i="2"/>
  <c r="P2993" i="2"/>
  <c r="P2994" i="2"/>
  <c r="P2995" i="2"/>
  <c r="P2996" i="2"/>
  <c r="P2997" i="2"/>
  <c r="P2998" i="2"/>
  <c r="P2999" i="2"/>
  <c r="P3000" i="2"/>
  <c r="P3001" i="2"/>
  <c r="P3002" i="2"/>
  <c r="P3003" i="2"/>
  <c r="P3004" i="2"/>
  <c r="P3005" i="2"/>
  <c r="P3006" i="2"/>
  <c r="P3007" i="2"/>
  <c r="P3008" i="2"/>
  <c r="P3009" i="2"/>
  <c r="P3010" i="2"/>
  <c r="P3011" i="2"/>
  <c r="P3012" i="2"/>
  <c r="P3013" i="2"/>
  <c r="P3014" i="2"/>
  <c r="P3015" i="2"/>
  <c r="P3016" i="2"/>
  <c r="P3017" i="2"/>
  <c r="P3018" i="2"/>
  <c r="P3019" i="2"/>
  <c r="P3020" i="2"/>
  <c r="P3021" i="2"/>
  <c r="P3022" i="2"/>
  <c r="P3023" i="2"/>
  <c r="P3024" i="2"/>
  <c r="P3025" i="2"/>
  <c r="P3026" i="2"/>
  <c r="P3027" i="2"/>
  <c r="P3028" i="2"/>
  <c r="P3029" i="2"/>
  <c r="P3030" i="2"/>
  <c r="P3031" i="2"/>
  <c r="P3032" i="2"/>
  <c r="P3033" i="2"/>
  <c r="P3034" i="2"/>
  <c r="P3035" i="2"/>
  <c r="P3036" i="2"/>
  <c r="P3037" i="2"/>
  <c r="P3038" i="2"/>
  <c r="P3039" i="2"/>
  <c r="P3040" i="2"/>
  <c r="P3041" i="2"/>
  <c r="P3042" i="2"/>
  <c r="P3043" i="2"/>
  <c r="P3044" i="2"/>
  <c r="P3045" i="2"/>
  <c r="P3046" i="2"/>
  <c r="P3047" i="2"/>
  <c r="P3048" i="2"/>
  <c r="P3049" i="2"/>
  <c r="P3050" i="2"/>
  <c r="P3051" i="2"/>
  <c r="P3052" i="2"/>
  <c r="P3053" i="2"/>
  <c r="P3054" i="2"/>
  <c r="P3055" i="2"/>
  <c r="P3056" i="2"/>
  <c r="P3057" i="2"/>
  <c r="P3058" i="2"/>
  <c r="P3059" i="2"/>
  <c r="P3060" i="2"/>
  <c r="P3061" i="2"/>
  <c r="P3062" i="2"/>
  <c r="P3063" i="2"/>
  <c r="P3064" i="2"/>
  <c r="P3065" i="2"/>
  <c r="P3066" i="2"/>
  <c r="P3067" i="2"/>
  <c r="P3068" i="2"/>
  <c r="P3069" i="2"/>
  <c r="P3070" i="2"/>
  <c r="P3071" i="2"/>
  <c r="P3072" i="2"/>
  <c r="P3073" i="2"/>
  <c r="P3074" i="2"/>
  <c r="P3075" i="2"/>
  <c r="P3076" i="2"/>
  <c r="P3077" i="2"/>
  <c r="P3078" i="2"/>
  <c r="P3079" i="2"/>
  <c r="P3080" i="2"/>
  <c r="P3081" i="2"/>
  <c r="P3082" i="2"/>
  <c r="P3083" i="2"/>
  <c r="P3084" i="2"/>
  <c r="P3085" i="2"/>
  <c r="P3086" i="2"/>
  <c r="P3087" i="2"/>
  <c r="P3088" i="2"/>
  <c r="P3089" i="2"/>
  <c r="P3090" i="2"/>
  <c r="P3091" i="2"/>
  <c r="P3092" i="2"/>
  <c r="P3093" i="2"/>
  <c r="P3094" i="2"/>
  <c r="P3095" i="2"/>
  <c r="P3096" i="2"/>
  <c r="P3097" i="2"/>
  <c r="P3098" i="2"/>
  <c r="P3099" i="2"/>
  <c r="P3100" i="2"/>
  <c r="P3101" i="2"/>
  <c r="P3102" i="2"/>
  <c r="P3103" i="2"/>
  <c r="P3104" i="2"/>
  <c r="P3105" i="2"/>
  <c r="P3106" i="2"/>
  <c r="P3107" i="2"/>
  <c r="P3108" i="2"/>
  <c r="P3109" i="2"/>
  <c r="P3110" i="2"/>
  <c r="P3111" i="2"/>
  <c r="P3112" i="2"/>
  <c r="P3113" i="2"/>
  <c r="P3114" i="2"/>
  <c r="P3115" i="2"/>
  <c r="P3116" i="2"/>
  <c r="P3117" i="2"/>
  <c r="P3118" i="2"/>
  <c r="P3119" i="2"/>
  <c r="P3120" i="2"/>
  <c r="P3121" i="2"/>
  <c r="P3122" i="2"/>
  <c r="P3123" i="2"/>
  <c r="P3124" i="2"/>
  <c r="P3125" i="2"/>
  <c r="P3126" i="2"/>
  <c r="P3127" i="2"/>
  <c r="P3128" i="2"/>
  <c r="P3129" i="2"/>
  <c r="P3130" i="2"/>
  <c r="P3131" i="2"/>
  <c r="P3132" i="2"/>
  <c r="P3133" i="2"/>
  <c r="P3134" i="2"/>
  <c r="P3135" i="2"/>
  <c r="P3136" i="2"/>
  <c r="P3137" i="2"/>
  <c r="P3138" i="2"/>
  <c r="P3139" i="2"/>
  <c r="P3140" i="2"/>
  <c r="P3141" i="2"/>
  <c r="P3142" i="2"/>
  <c r="P3143" i="2"/>
  <c r="P3144" i="2"/>
  <c r="P3145" i="2"/>
  <c r="P3146" i="2"/>
  <c r="P3147" i="2"/>
  <c r="P3148" i="2"/>
  <c r="P3149" i="2"/>
  <c r="P3150" i="2"/>
  <c r="P3151" i="2"/>
  <c r="P3152" i="2"/>
  <c r="P3153" i="2"/>
  <c r="P3154" i="2"/>
  <c r="P3155" i="2"/>
  <c r="P3156" i="2"/>
  <c r="P3157" i="2"/>
  <c r="P3158" i="2"/>
  <c r="P3159" i="2"/>
  <c r="P3160" i="2"/>
  <c r="P3161" i="2"/>
  <c r="P3162" i="2"/>
  <c r="P3163" i="2"/>
  <c r="P3164" i="2"/>
  <c r="P3165" i="2"/>
  <c r="P3166" i="2"/>
  <c r="P3167" i="2"/>
  <c r="P3168" i="2"/>
  <c r="P3169" i="2"/>
  <c r="P3170" i="2"/>
  <c r="P3171" i="2"/>
  <c r="P3172" i="2"/>
  <c r="P3173" i="2"/>
  <c r="P3174" i="2"/>
  <c r="P3175" i="2"/>
  <c r="P3176" i="2"/>
  <c r="P3177" i="2"/>
  <c r="P3178" i="2"/>
  <c r="P3179" i="2"/>
  <c r="P3180" i="2"/>
  <c r="P3181" i="2"/>
  <c r="P3182" i="2"/>
  <c r="P3183" i="2"/>
  <c r="P3184" i="2"/>
  <c r="P3185" i="2"/>
  <c r="P3186" i="2"/>
  <c r="P3187" i="2"/>
  <c r="P3188" i="2"/>
  <c r="P3189" i="2"/>
  <c r="P3190" i="2"/>
  <c r="P3191" i="2"/>
  <c r="P3192" i="2"/>
  <c r="P3193" i="2"/>
  <c r="P3194" i="2"/>
  <c r="P3195" i="2"/>
  <c r="P3196" i="2"/>
  <c r="P3197" i="2"/>
  <c r="P3198" i="2"/>
  <c r="P3199" i="2"/>
  <c r="P3200" i="2"/>
  <c r="P3201" i="2"/>
  <c r="P3202" i="2"/>
  <c r="P3203" i="2"/>
  <c r="P3204" i="2"/>
  <c r="P3205" i="2"/>
  <c r="P3206" i="2"/>
  <c r="P3207" i="2"/>
  <c r="P3208" i="2"/>
  <c r="P3209" i="2"/>
  <c r="P3210" i="2"/>
  <c r="P3211" i="2"/>
  <c r="P3212" i="2"/>
  <c r="P3213" i="2"/>
  <c r="P3214" i="2"/>
  <c r="P3215" i="2"/>
  <c r="P3216" i="2"/>
  <c r="P3217" i="2"/>
  <c r="P3218" i="2"/>
  <c r="P3219" i="2"/>
  <c r="P3220" i="2"/>
  <c r="P3221" i="2"/>
  <c r="P3222" i="2"/>
  <c r="P3223" i="2"/>
  <c r="P3224" i="2"/>
  <c r="P3225" i="2"/>
  <c r="P3226" i="2"/>
  <c r="P3227" i="2"/>
  <c r="P3228" i="2"/>
  <c r="P3229" i="2"/>
  <c r="P3230" i="2"/>
  <c r="P3231" i="2"/>
  <c r="P3232" i="2"/>
  <c r="P3233" i="2"/>
  <c r="P3234" i="2"/>
  <c r="P3235" i="2"/>
  <c r="P3236" i="2"/>
  <c r="P3237" i="2"/>
  <c r="P3238" i="2"/>
  <c r="P3239" i="2"/>
  <c r="P3240" i="2"/>
  <c r="P3241" i="2"/>
  <c r="P3242" i="2"/>
  <c r="P3243" i="2"/>
  <c r="P3244" i="2"/>
  <c r="P3245" i="2"/>
  <c r="P3246" i="2"/>
  <c r="P3247" i="2"/>
  <c r="P3248" i="2"/>
  <c r="P3249" i="2"/>
  <c r="P3250" i="2"/>
  <c r="P3251" i="2"/>
  <c r="P3252" i="2"/>
  <c r="P3253" i="2"/>
  <c r="P3254" i="2"/>
  <c r="P3255" i="2"/>
  <c r="P3256" i="2"/>
  <c r="P3257" i="2"/>
  <c r="P3258" i="2"/>
  <c r="P3259" i="2"/>
  <c r="P3260" i="2"/>
  <c r="P3261" i="2"/>
  <c r="P3262" i="2"/>
  <c r="P3263" i="2"/>
  <c r="P3264" i="2"/>
  <c r="P3265" i="2"/>
  <c r="P3266" i="2"/>
  <c r="P3267" i="2"/>
  <c r="P3268" i="2"/>
  <c r="P3269" i="2"/>
  <c r="P3270" i="2"/>
  <c r="P3271" i="2"/>
  <c r="P3272" i="2"/>
  <c r="P3273" i="2"/>
  <c r="P3274" i="2"/>
  <c r="P3275" i="2"/>
  <c r="P3276" i="2"/>
  <c r="P3277" i="2"/>
  <c r="P3278" i="2"/>
  <c r="P3279" i="2"/>
  <c r="P3280" i="2"/>
  <c r="P3281" i="2"/>
  <c r="P3282" i="2"/>
  <c r="P3283" i="2"/>
  <c r="P3284" i="2"/>
  <c r="P3285" i="2"/>
  <c r="P3286" i="2"/>
  <c r="P3287" i="2"/>
  <c r="P3288" i="2"/>
  <c r="P3289" i="2"/>
  <c r="P3290" i="2"/>
  <c r="P3291" i="2"/>
  <c r="P3292" i="2"/>
  <c r="P3293" i="2"/>
  <c r="P3294" i="2"/>
  <c r="P3295" i="2"/>
  <c r="P3296" i="2"/>
  <c r="P3297" i="2"/>
  <c r="P3298" i="2"/>
  <c r="P3299" i="2"/>
  <c r="P3300" i="2"/>
  <c r="P3301" i="2"/>
  <c r="P3302" i="2"/>
  <c r="P3303" i="2"/>
  <c r="P3304" i="2"/>
  <c r="P3305" i="2"/>
  <c r="P3306" i="2"/>
  <c r="P3307" i="2"/>
  <c r="P3308" i="2"/>
  <c r="P3309" i="2"/>
  <c r="P3310" i="2"/>
  <c r="P3311" i="2"/>
  <c r="P3312" i="2"/>
  <c r="P3313" i="2"/>
  <c r="P3314" i="2"/>
  <c r="P3315" i="2"/>
  <c r="P3316" i="2"/>
  <c r="P3317" i="2"/>
  <c r="P3318" i="2"/>
  <c r="P3319" i="2"/>
  <c r="P3320" i="2"/>
  <c r="P3321" i="2"/>
  <c r="P3322" i="2"/>
  <c r="P3323" i="2"/>
  <c r="P3324" i="2"/>
  <c r="P3325" i="2"/>
  <c r="P3326" i="2"/>
  <c r="P3327" i="2"/>
  <c r="P3328" i="2"/>
  <c r="P3329" i="2"/>
  <c r="P3330" i="2"/>
  <c r="P3331" i="2"/>
  <c r="P3332" i="2"/>
  <c r="P3333" i="2"/>
  <c r="P3334" i="2"/>
  <c r="P3335" i="2"/>
  <c r="P3336" i="2"/>
  <c r="P3337" i="2"/>
  <c r="P3338" i="2"/>
  <c r="P3339" i="2"/>
  <c r="P3340" i="2"/>
  <c r="P3341" i="2"/>
  <c r="P3342" i="2"/>
  <c r="P3343" i="2"/>
  <c r="P3344" i="2"/>
  <c r="P3345" i="2"/>
  <c r="P3346" i="2"/>
  <c r="P3347" i="2"/>
  <c r="P3348" i="2"/>
  <c r="P3349" i="2"/>
  <c r="P3350" i="2"/>
  <c r="P3351" i="2"/>
  <c r="P3352" i="2"/>
  <c r="P3353" i="2"/>
  <c r="P3354" i="2"/>
  <c r="P3355" i="2"/>
  <c r="P3356" i="2"/>
  <c r="P3357" i="2"/>
  <c r="P3358" i="2"/>
  <c r="P3359" i="2"/>
  <c r="P3360" i="2"/>
  <c r="P3361" i="2"/>
  <c r="P3362" i="2"/>
  <c r="P3363" i="2"/>
  <c r="P3364" i="2"/>
  <c r="P3365" i="2"/>
  <c r="P3366" i="2"/>
  <c r="P3367" i="2"/>
  <c r="P3368" i="2"/>
  <c r="P3369" i="2"/>
  <c r="P3370" i="2"/>
  <c r="P3371" i="2"/>
  <c r="P3372" i="2"/>
  <c r="P3373" i="2"/>
  <c r="P3374" i="2"/>
  <c r="P3375" i="2"/>
  <c r="P3376" i="2"/>
  <c r="P3377" i="2"/>
  <c r="P3378" i="2"/>
  <c r="P3379" i="2"/>
  <c r="P3380" i="2"/>
  <c r="P3381" i="2"/>
  <c r="P3382" i="2"/>
  <c r="P3383" i="2"/>
  <c r="P3384" i="2"/>
  <c r="P3385" i="2"/>
  <c r="P3386" i="2"/>
  <c r="P3387" i="2"/>
  <c r="P3388" i="2"/>
  <c r="P3389" i="2"/>
  <c r="P3390" i="2"/>
  <c r="P3391" i="2"/>
  <c r="P3392" i="2"/>
  <c r="P3393" i="2"/>
  <c r="P3394" i="2"/>
  <c r="P3395" i="2"/>
  <c r="P3396" i="2"/>
  <c r="P3397" i="2"/>
  <c r="P3398" i="2"/>
  <c r="P3399" i="2"/>
  <c r="P3400" i="2"/>
  <c r="P3401" i="2"/>
  <c r="P3402" i="2"/>
  <c r="P3403" i="2"/>
  <c r="P3404" i="2"/>
  <c r="P3405" i="2"/>
  <c r="P3406" i="2"/>
  <c r="P3407" i="2"/>
  <c r="P3408" i="2"/>
  <c r="P3409" i="2"/>
  <c r="P3410" i="2"/>
  <c r="P3411" i="2"/>
  <c r="P3412" i="2"/>
  <c r="P3413" i="2"/>
  <c r="P3414" i="2"/>
  <c r="P3415" i="2"/>
  <c r="P3416" i="2"/>
  <c r="P3417" i="2"/>
  <c r="P3418" i="2"/>
  <c r="P3419" i="2"/>
  <c r="P3420" i="2"/>
  <c r="P3421" i="2"/>
  <c r="P3422" i="2"/>
  <c r="P3423" i="2"/>
  <c r="P3424" i="2"/>
  <c r="P3425" i="2"/>
  <c r="P3426" i="2"/>
  <c r="P3427" i="2"/>
  <c r="P3428" i="2"/>
  <c r="P3429" i="2"/>
  <c r="P3430" i="2"/>
  <c r="P3431" i="2"/>
  <c r="P3432" i="2"/>
  <c r="P3433" i="2"/>
  <c r="P3434" i="2"/>
  <c r="P3435" i="2"/>
  <c r="P3436" i="2"/>
  <c r="P3437" i="2"/>
  <c r="P3438" i="2"/>
  <c r="P3439" i="2"/>
  <c r="P3440" i="2"/>
  <c r="P3441" i="2"/>
  <c r="P3442" i="2"/>
  <c r="P3443" i="2"/>
  <c r="P3444" i="2"/>
  <c r="P3445" i="2"/>
  <c r="P3446" i="2"/>
  <c r="P3447" i="2"/>
  <c r="P3448" i="2"/>
  <c r="P3449" i="2"/>
  <c r="P3450" i="2"/>
  <c r="P3451" i="2"/>
  <c r="P3452" i="2"/>
  <c r="P3453" i="2"/>
  <c r="P3454" i="2"/>
  <c r="P3455" i="2"/>
  <c r="P3456" i="2"/>
  <c r="P3457" i="2"/>
  <c r="P3458" i="2"/>
  <c r="P3459" i="2"/>
  <c r="P3460" i="2"/>
  <c r="P3461" i="2"/>
  <c r="P3462" i="2"/>
  <c r="P3463" i="2"/>
  <c r="P3464" i="2"/>
  <c r="P3465" i="2"/>
  <c r="P3466" i="2"/>
  <c r="P3467" i="2"/>
  <c r="P3468" i="2"/>
  <c r="P3469" i="2"/>
  <c r="P3470" i="2"/>
  <c r="P3471" i="2"/>
  <c r="P3472" i="2"/>
  <c r="P3473" i="2"/>
  <c r="P3474" i="2"/>
  <c r="P3475" i="2"/>
  <c r="P3476" i="2"/>
  <c r="P3477" i="2"/>
  <c r="P3478" i="2"/>
  <c r="P3479" i="2"/>
  <c r="P3480" i="2"/>
  <c r="P3481" i="2"/>
  <c r="P3482" i="2"/>
  <c r="P3483" i="2"/>
  <c r="P3484" i="2"/>
  <c r="P3485" i="2"/>
  <c r="P3486" i="2"/>
  <c r="P3487" i="2"/>
  <c r="P3488" i="2"/>
  <c r="P3489" i="2"/>
  <c r="P3490" i="2"/>
  <c r="P3491" i="2"/>
  <c r="P3492" i="2"/>
  <c r="P3493" i="2"/>
  <c r="P3494" i="2"/>
  <c r="P3495" i="2"/>
  <c r="P3496" i="2"/>
  <c r="P3497" i="2"/>
  <c r="P3498" i="2"/>
  <c r="P3499" i="2"/>
  <c r="P3500" i="2"/>
  <c r="P3501" i="2"/>
  <c r="P3502" i="2"/>
  <c r="P3503" i="2"/>
  <c r="P3504" i="2"/>
  <c r="P3505" i="2"/>
  <c r="P3506" i="2"/>
  <c r="P3507" i="2"/>
  <c r="P3508" i="2"/>
  <c r="P3509" i="2"/>
  <c r="P3510" i="2"/>
  <c r="P3511" i="2"/>
  <c r="P3512" i="2"/>
  <c r="P3513" i="2"/>
  <c r="P3514" i="2"/>
  <c r="P3515" i="2"/>
  <c r="P3516" i="2"/>
  <c r="P3517" i="2"/>
  <c r="P3518" i="2"/>
  <c r="P3519" i="2"/>
  <c r="P3520" i="2"/>
  <c r="P3521" i="2"/>
  <c r="P3522" i="2"/>
  <c r="P3523" i="2"/>
  <c r="P3524" i="2"/>
  <c r="P3525" i="2"/>
  <c r="P3526" i="2"/>
  <c r="P3527" i="2"/>
  <c r="P3528" i="2"/>
  <c r="P3529" i="2"/>
  <c r="P3530" i="2"/>
  <c r="P3531" i="2"/>
  <c r="P3532" i="2"/>
  <c r="P3533" i="2"/>
  <c r="P3534" i="2"/>
  <c r="P3535" i="2"/>
  <c r="P3536" i="2"/>
  <c r="P3537" i="2"/>
  <c r="P3538" i="2"/>
  <c r="P3539" i="2"/>
  <c r="P3540" i="2"/>
  <c r="P3541" i="2"/>
  <c r="P3542" i="2"/>
  <c r="P3543" i="2"/>
  <c r="P3544" i="2"/>
  <c r="P3545" i="2"/>
  <c r="P3546" i="2"/>
  <c r="P3547" i="2"/>
  <c r="P3548" i="2"/>
  <c r="P3549" i="2"/>
  <c r="P3550" i="2"/>
  <c r="P3551" i="2"/>
  <c r="P3552" i="2"/>
  <c r="P3553" i="2"/>
  <c r="P3554" i="2"/>
  <c r="P3555" i="2"/>
  <c r="P3556" i="2"/>
  <c r="P3557" i="2"/>
  <c r="P3558" i="2"/>
  <c r="P3559" i="2"/>
  <c r="P3560" i="2"/>
  <c r="P3561" i="2"/>
  <c r="P3562" i="2"/>
  <c r="P3563" i="2"/>
  <c r="P3564" i="2"/>
  <c r="P3565" i="2"/>
  <c r="P3566" i="2"/>
  <c r="P3567" i="2"/>
  <c r="P3568" i="2"/>
  <c r="P3569" i="2"/>
  <c r="P3570" i="2"/>
  <c r="P3571" i="2"/>
  <c r="P3572" i="2"/>
  <c r="P3573" i="2"/>
  <c r="P3574" i="2"/>
  <c r="P3575" i="2"/>
  <c r="P3576" i="2"/>
  <c r="P3577" i="2"/>
  <c r="P3578" i="2"/>
  <c r="P3579" i="2"/>
  <c r="P3580" i="2"/>
  <c r="P3581" i="2"/>
  <c r="P3582" i="2"/>
  <c r="P3583" i="2"/>
  <c r="P3584" i="2"/>
  <c r="P3585" i="2"/>
  <c r="P3586" i="2"/>
  <c r="P3587" i="2"/>
  <c r="P3588" i="2"/>
  <c r="P3589" i="2"/>
  <c r="P3590" i="2"/>
  <c r="P3591" i="2"/>
  <c r="P3592" i="2"/>
  <c r="P3593" i="2"/>
  <c r="P3594" i="2"/>
  <c r="P3595" i="2"/>
  <c r="P3596" i="2"/>
  <c r="P3597" i="2"/>
  <c r="P3598" i="2"/>
  <c r="P3599" i="2"/>
  <c r="P3600" i="2"/>
  <c r="P3601" i="2"/>
  <c r="P3602" i="2"/>
  <c r="P3603" i="2"/>
  <c r="P3604" i="2"/>
  <c r="P3605" i="2"/>
  <c r="P3606" i="2"/>
  <c r="P3607" i="2"/>
  <c r="P3608" i="2"/>
  <c r="P3609" i="2"/>
  <c r="P3610" i="2"/>
  <c r="P3611" i="2"/>
  <c r="P3612" i="2"/>
  <c r="P3613" i="2"/>
  <c r="P3614" i="2"/>
  <c r="P3615" i="2"/>
  <c r="P3616" i="2"/>
  <c r="P3617" i="2"/>
  <c r="P3618" i="2"/>
  <c r="P3619" i="2"/>
  <c r="P3620" i="2"/>
  <c r="P3621" i="2"/>
  <c r="P3622" i="2"/>
  <c r="P3623" i="2"/>
  <c r="P3624" i="2"/>
  <c r="P3625" i="2"/>
  <c r="P3626" i="2"/>
  <c r="P3627" i="2"/>
  <c r="P3628" i="2"/>
  <c r="P3629" i="2"/>
  <c r="P3630" i="2"/>
  <c r="P3631" i="2"/>
  <c r="P3632" i="2"/>
  <c r="P3633" i="2"/>
  <c r="P3634" i="2"/>
  <c r="P3635" i="2"/>
  <c r="P3636" i="2"/>
  <c r="P3637" i="2"/>
  <c r="P3638" i="2"/>
  <c r="P3639" i="2"/>
  <c r="P3640" i="2"/>
  <c r="P3641" i="2"/>
  <c r="P3642" i="2"/>
  <c r="P3643" i="2"/>
  <c r="P3644" i="2"/>
  <c r="P3645" i="2"/>
  <c r="P3646" i="2"/>
  <c r="P3647" i="2"/>
  <c r="P3648" i="2"/>
  <c r="P3649" i="2"/>
  <c r="P3650" i="2"/>
  <c r="P3651" i="2"/>
  <c r="P3652" i="2"/>
  <c r="P3653" i="2"/>
  <c r="P3654" i="2"/>
  <c r="P3655" i="2"/>
  <c r="P3656" i="2"/>
  <c r="P3657" i="2"/>
  <c r="P3658" i="2"/>
  <c r="P3659" i="2"/>
  <c r="P3660" i="2"/>
  <c r="P3661" i="2"/>
  <c r="P3662" i="2"/>
  <c r="P3663" i="2"/>
  <c r="P3664" i="2"/>
  <c r="P3665" i="2"/>
  <c r="P3666" i="2"/>
  <c r="P3667" i="2"/>
  <c r="P3668" i="2"/>
  <c r="P3669" i="2"/>
  <c r="P3670" i="2"/>
  <c r="P3671" i="2"/>
  <c r="P3672" i="2"/>
  <c r="P3673" i="2"/>
  <c r="P3674" i="2"/>
  <c r="P3675" i="2"/>
  <c r="P3676" i="2"/>
  <c r="P3677" i="2"/>
  <c r="P3678" i="2"/>
  <c r="P3679" i="2"/>
  <c r="P3680" i="2"/>
  <c r="P3681" i="2"/>
  <c r="P3682" i="2"/>
  <c r="P3683" i="2"/>
  <c r="P3684" i="2"/>
  <c r="P3685" i="2"/>
  <c r="P3686" i="2"/>
  <c r="P3687" i="2"/>
  <c r="P3688" i="2"/>
  <c r="P3689" i="2"/>
  <c r="P3690" i="2"/>
  <c r="P3691" i="2"/>
  <c r="P3692" i="2"/>
  <c r="P3693" i="2"/>
  <c r="P3694" i="2"/>
  <c r="P3695" i="2"/>
  <c r="P3696" i="2"/>
  <c r="P3697" i="2"/>
  <c r="P3698" i="2"/>
  <c r="P3699" i="2"/>
  <c r="P3700" i="2"/>
  <c r="P3701" i="2"/>
  <c r="P3702" i="2"/>
  <c r="P3703" i="2"/>
  <c r="P3704" i="2"/>
  <c r="P3705" i="2"/>
  <c r="P3706" i="2"/>
  <c r="P3707" i="2"/>
  <c r="P3708" i="2"/>
  <c r="P3709" i="2"/>
  <c r="P3710" i="2"/>
  <c r="P3711" i="2"/>
  <c r="P3712" i="2"/>
  <c r="P3713" i="2"/>
  <c r="P3714" i="2"/>
  <c r="P3715" i="2"/>
  <c r="P3716" i="2"/>
  <c r="P3717" i="2"/>
  <c r="P3718" i="2"/>
  <c r="P3719" i="2"/>
  <c r="P3720" i="2"/>
  <c r="P3721" i="2"/>
  <c r="P3722" i="2"/>
  <c r="P3723" i="2"/>
  <c r="P3724" i="2"/>
  <c r="P3725" i="2"/>
  <c r="P3726" i="2"/>
  <c r="P3727" i="2"/>
  <c r="P3728" i="2"/>
  <c r="P3729" i="2"/>
  <c r="P3730" i="2"/>
  <c r="P3731" i="2"/>
  <c r="P3732" i="2"/>
  <c r="P3733" i="2"/>
  <c r="P3734" i="2"/>
  <c r="P3735" i="2"/>
  <c r="P3736" i="2"/>
  <c r="P3737" i="2"/>
  <c r="P3738" i="2"/>
  <c r="P3739" i="2"/>
  <c r="P3740" i="2"/>
  <c r="P3741" i="2"/>
  <c r="P3742" i="2"/>
  <c r="P3743" i="2"/>
  <c r="P3744" i="2"/>
  <c r="P3745" i="2"/>
  <c r="P3746" i="2"/>
  <c r="P3747" i="2"/>
  <c r="P3748" i="2"/>
  <c r="P3749" i="2"/>
  <c r="P3750" i="2"/>
  <c r="P3751" i="2"/>
  <c r="P3752" i="2"/>
  <c r="P3753" i="2"/>
  <c r="P3754" i="2"/>
  <c r="P3755" i="2"/>
  <c r="P3756" i="2"/>
  <c r="P3757" i="2"/>
  <c r="P3758" i="2"/>
  <c r="P3759" i="2"/>
  <c r="P3760" i="2"/>
  <c r="P3761" i="2"/>
  <c r="P3762" i="2"/>
  <c r="P3763" i="2"/>
  <c r="P3764" i="2"/>
  <c r="P3765" i="2"/>
  <c r="P3766" i="2"/>
  <c r="P3767" i="2"/>
  <c r="P3768" i="2"/>
  <c r="P3769" i="2"/>
  <c r="P3770" i="2"/>
  <c r="P3771" i="2"/>
  <c r="P3772" i="2"/>
  <c r="P3773" i="2"/>
  <c r="P3774" i="2"/>
  <c r="P3775" i="2"/>
  <c r="P3776" i="2"/>
  <c r="P3777" i="2"/>
  <c r="P3778" i="2"/>
  <c r="P3779" i="2"/>
  <c r="P3780" i="2"/>
  <c r="P3781" i="2"/>
  <c r="P3782" i="2"/>
  <c r="P3783" i="2"/>
  <c r="P3784" i="2"/>
  <c r="P3785" i="2"/>
  <c r="P3786" i="2"/>
  <c r="P3787" i="2"/>
  <c r="P3788" i="2"/>
  <c r="P3789" i="2"/>
  <c r="P3790" i="2"/>
  <c r="P3791" i="2"/>
  <c r="P3792" i="2"/>
  <c r="P3793" i="2"/>
  <c r="P3794" i="2"/>
  <c r="P3795" i="2"/>
  <c r="P3796" i="2"/>
  <c r="P3797" i="2"/>
  <c r="P3798" i="2"/>
  <c r="P3799" i="2"/>
  <c r="P3800" i="2"/>
  <c r="P3801" i="2"/>
  <c r="P3802" i="2"/>
  <c r="P3803" i="2"/>
  <c r="P3804" i="2"/>
  <c r="P3805" i="2"/>
  <c r="P3806" i="2"/>
  <c r="P3807" i="2"/>
  <c r="P3808" i="2"/>
  <c r="P3809" i="2"/>
  <c r="P3810" i="2"/>
  <c r="P3811" i="2"/>
  <c r="P3812" i="2"/>
  <c r="P3813" i="2"/>
  <c r="P3814" i="2"/>
  <c r="P3815" i="2"/>
  <c r="P3816" i="2"/>
  <c r="P3817" i="2"/>
  <c r="P3818" i="2"/>
  <c r="P3819" i="2"/>
  <c r="P3820" i="2"/>
  <c r="P3821" i="2"/>
  <c r="P3822" i="2"/>
  <c r="P3823" i="2"/>
  <c r="P3824" i="2"/>
  <c r="P3825" i="2"/>
  <c r="P3826" i="2"/>
  <c r="P3827" i="2"/>
  <c r="P3828" i="2"/>
  <c r="P3829" i="2"/>
  <c r="P3830" i="2"/>
  <c r="P3831" i="2"/>
  <c r="P3832" i="2"/>
  <c r="P3833" i="2"/>
  <c r="P3834" i="2"/>
  <c r="P3835" i="2"/>
  <c r="P3836" i="2"/>
  <c r="P3837" i="2"/>
  <c r="P3838" i="2"/>
  <c r="P3839" i="2"/>
  <c r="P3840" i="2"/>
  <c r="P3841" i="2"/>
  <c r="P3842" i="2"/>
  <c r="P3843" i="2"/>
  <c r="P3844" i="2"/>
  <c r="P3845" i="2"/>
  <c r="P3846" i="2"/>
  <c r="P3847" i="2"/>
  <c r="P3848" i="2"/>
  <c r="P3849" i="2"/>
  <c r="P3850" i="2"/>
  <c r="P3851" i="2"/>
  <c r="P3852" i="2"/>
  <c r="P3853" i="2"/>
  <c r="P3854" i="2"/>
  <c r="P3855" i="2"/>
  <c r="P3856" i="2"/>
  <c r="P3857" i="2"/>
  <c r="P3858" i="2"/>
  <c r="P3859" i="2"/>
  <c r="P3860" i="2"/>
  <c r="P3861" i="2"/>
  <c r="P3862" i="2"/>
  <c r="P3863" i="2"/>
  <c r="P3864" i="2"/>
  <c r="P3865" i="2"/>
  <c r="P3866" i="2"/>
  <c r="P3867" i="2"/>
  <c r="P3868" i="2"/>
  <c r="P3869" i="2"/>
  <c r="P3870" i="2"/>
  <c r="P3871" i="2"/>
  <c r="P3872" i="2"/>
  <c r="P3873" i="2"/>
  <c r="P3874" i="2"/>
  <c r="P3875" i="2"/>
  <c r="P3876" i="2"/>
  <c r="P3877" i="2"/>
  <c r="P3878" i="2"/>
  <c r="P3879" i="2"/>
  <c r="P3880" i="2"/>
  <c r="P3881" i="2"/>
  <c r="P3882" i="2"/>
  <c r="P3883" i="2"/>
  <c r="P3884" i="2"/>
  <c r="P3885" i="2"/>
  <c r="P3886" i="2"/>
  <c r="P3887" i="2"/>
  <c r="P3888" i="2"/>
  <c r="P3889" i="2"/>
  <c r="P3890" i="2"/>
  <c r="P3891" i="2"/>
  <c r="P3892" i="2"/>
  <c r="P3893" i="2"/>
  <c r="P3894" i="2"/>
  <c r="P3895" i="2"/>
  <c r="P3896" i="2"/>
  <c r="P3897" i="2"/>
  <c r="P3898" i="2"/>
  <c r="P3899" i="2"/>
  <c r="P3900" i="2"/>
  <c r="P3901" i="2"/>
  <c r="P3902" i="2"/>
  <c r="P3903" i="2"/>
  <c r="P3904" i="2"/>
  <c r="P3905" i="2"/>
  <c r="P3906" i="2"/>
  <c r="P3907" i="2"/>
  <c r="P3908" i="2"/>
  <c r="P3909" i="2"/>
  <c r="P3910" i="2"/>
  <c r="P3911" i="2"/>
  <c r="P3912" i="2"/>
  <c r="P3913" i="2"/>
  <c r="P3914" i="2"/>
  <c r="P3915" i="2"/>
  <c r="P3916" i="2"/>
  <c r="P3917" i="2"/>
  <c r="P3918" i="2"/>
  <c r="P3919" i="2"/>
  <c r="P3920" i="2"/>
  <c r="P3921" i="2"/>
  <c r="P3922" i="2"/>
  <c r="P3923" i="2"/>
  <c r="P3924" i="2"/>
  <c r="P3925" i="2"/>
  <c r="P3926" i="2"/>
  <c r="P3927" i="2"/>
  <c r="P3928" i="2"/>
  <c r="P3929" i="2"/>
  <c r="P3930" i="2"/>
  <c r="P3931" i="2"/>
  <c r="P3932" i="2"/>
  <c r="P3933" i="2"/>
  <c r="P3934" i="2"/>
  <c r="P3935" i="2"/>
  <c r="P3936" i="2"/>
  <c r="P3937" i="2"/>
  <c r="P3938" i="2"/>
  <c r="P3939" i="2"/>
  <c r="P3940" i="2"/>
  <c r="P3941" i="2"/>
  <c r="P3942" i="2"/>
  <c r="P3943" i="2"/>
  <c r="P3944" i="2"/>
  <c r="P3945" i="2"/>
  <c r="P3946" i="2"/>
  <c r="P3947" i="2"/>
  <c r="P3948" i="2"/>
  <c r="P3949" i="2"/>
  <c r="P3950" i="2"/>
  <c r="P3951" i="2"/>
  <c r="P3952" i="2"/>
  <c r="P3953" i="2"/>
  <c r="P3954" i="2"/>
  <c r="P3955" i="2"/>
  <c r="P3956" i="2"/>
  <c r="P3957" i="2"/>
  <c r="P3958" i="2"/>
  <c r="P3959" i="2"/>
  <c r="P3960" i="2"/>
  <c r="P3961" i="2"/>
  <c r="P3962" i="2"/>
  <c r="P3963" i="2"/>
  <c r="P3964" i="2"/>
  <c r="P3965" i="2"/>
  <c r="P3966" i="2"/>
  <c r="P3967" i="2"/>
  <c r="P3968" i="2"/>
  <c r="P3969" i="2"/>
  <c r="P3970" i="2"/>
  <c r="P3971" i="2"/>
  <c r="P3972" i="2"/>
  <c r="P3973" i="2"/>
  <c r="P3974" i="2"/>
  <c r="P3975" i="2"/>
  <c r="P3976" i="2"/>
  <c r="P3977" i="2"/>
  <c r="P3978" i="2"/>
  <c r="P3979" i="2"/>
  <c r="P3980" i="2"/>
  <c r="P3981" i="2"/>
  <c r="P3982" i="2"/>
  <c r="P3983" i="2"/>
  <c r="P3984" i="2"/>
  <c r="P3985" i="2"/>
  <c r="P3986" i="2"/>
  <c r="P3987" i="2"/>
  <c r="P3988" i="2"/>
  <c r="P3989" i="2"/>
  <c r="P3990" i="2"/>
  <c r="P3991" i="2"/>
  <c r="P3992" i="2"/>
  <c r="P3993" i="2"/>
  <c r="P3994" i="2"/>
  <c r="P3995" i="2"/>
  <c r="P3996" i="2"/>
  <c r="P3997" i="2"/>
  <c r="P3998" i="2"/>
  <c r="P3999" i="2"/>
  <c r="P4000" i="2"/>
  <c r="P4001" i="2"/>
  <c r="P4002" i="2"/>
  <c r="P4003" i="2"/>
  <c r="P4004" i="2"/>
  <c r="P4005" i="2"/>
  <c r="P4006" i="2"/>
  <c r="P4007" i="2"/>
  <c r="P4008" i="2"/>
  <c r="P4009" i="2"/>
  <c r="P4010" i="2"/>
  <c r="P4011" i="2"/>
  <c r="P4012" i="2"/>
  <c r="P4013" i="2"/>
  <c r="P4014" i="2"/>
  <c r="P4015" i="2"/>
  <c r="P4016" i="2"/>
  <c r="P4017" i="2"/>
  <c r="P4018" i="2"/>
  <c r="P4019" i="2"/>
  <c r="P4020" i="2"/>
  <c r="P4021" i="2"/>
  <c r="P4022" i="2"/>
  <c r="P4023" i="2"/>
  <c r="P4024" i="2"/>
  <c r="P4025" i="2"/>
  <c r="P4026" i="2"/>
  <c r="P4027" i="2"/>
  <c r="P4028" i="2"/>
  <c r="P4029" i="2"/>
  <c r="P4030" i="2"/>
  <c r="P4031" i="2"/>
  <c r="P4032" i="2"/>
  <c r="P4033" i="2"/>
  <c r="P4034" i="2"/>
  <c r="P4035" i="2"/>
  <c r="P4036" i="2"/>
  <c r="P4037" i="2"/>
  <c r="P4038" i="2"/>
  <c r="P4039" i="2"/>
  <c r="P4040" i="2"/>
  <c r="P4041" i="2"/>
  <c r="P4042" i="2"/>
  <c r="P4043" i="2"/>
  <c r="P4044" i="2"/>
  <c r="P4045" i="2"/>
  <c r="P4046" i="2"/>
  <c r="P4047" i="2"/>
  <c r="P4048" i="2"/>
  <c r="P4049" i="2"/>
  <c r="P4050" i="2"/>
  <c r="P4051" i="2"/>
  <c r="P4052" i="2"/>
  <c r="P4053" i="2"/>
  <c r="P4054" i="2"/>
  <c r="P4055" i="2"/>
  <c r="P4056" i="2"/>
  <c r="P4057" i="2"/>
  <c r="P4058" i="2"/>
  <c r="P4059" i="2"/>
  <c r="P4060" i="2"/>
  <c r="P4061" i="2"/>
  <c r="P4062" i="2"/>
  <c r="P4063" i="2"/>
  <c r="P4064" i="2"/>
  <c r="P4065" i="2"/>
  <c r="P4066" i="2"/>
  <c r="P4067" i="2"/>
  <c r="P4068" i="2"/>
  <c r="P4069" i="2"/>
  <c r="P4070" i="2"/>
  <c r="P4071" i="2"/>
  <c r="P4072" i="2"/>
  <c r="P4073" i="2"/>
  <c r="P4074" i="2"/>
  <c r="P4075" i="2"/>
  <c r="P4076" i="2"/>
  <c r="P4077" i="2"/>
  <c r="P4078" i="2"/>
  <c r="P4079" i="2"/>
  <c r="P4080" i="2"/>
  <c r="P4081" i="2"/>
  <c r="P4082" i="2"/>
  <c r="P4083" i="2"/>
  <c r="P4084" i="2"/>
  <c r="P4085" i="2"/>
  <c r="P4086" i="2"/>
  <c r="P4087" i="2"/>
  <c r="P4088" i="2"/>
  <c r="P4089" i="2"/>
  <c r="P4090" i="2"/>
  <c r="P4091" i="2"/>
  <c r="P4092" i="2"/>
  <c r="P4093" i="2"/>
  <c r="P4094" i="2"/>
  <c r="P4095" i="2"/>
  <c r="P4096" i="2"/>
  <c r="P4097" i="2"/>
  <c r="P4098" i="2"/>
  <c r="P4099" i="2"/>
  <c r="P4100" i="2"/>
  <c r="P4101" i="2"/>
  <c r="P4102" i="2"/>
  <c r="P4103" i="2"/>
  <c r="P4104" i="2"/>
  <c r="P4105" i="2"/>
  <c r="P4106" i="2"/>
  <c r="P4107" i="2"/>
  <c r="P4108" i="2"/>
  <c r="P4109" i="2"/>
  <c r="P4110" i="2"/>
  <c r="P4111" i="2"/>
  <c r="P4112" i="2"/>
  <c r="P4113" i="2"/>
  <c r="P4114" i="2"/>
  <c r="P4115" i="2"/>
  <c r="P4116" i="2"/>
  <c r="P4117" i="2"/>
  <c r="P4118" i="2"/>
  <c r="P4119" i="2"/>
  <c r="P4120" i="2"/>
  <c r="P4121" i="2"/>
  <c r="P4122" i="2"/>
  <c r="P4123" i="2"/>
  <c r="P4124" i="2"/>
  <c r="P4125" i="2"/>
  <c r="P4126" i="2"/>
  <c r="P4127" i="2"/>
  <c r="P4128" i="2"/>
  <c r="P4129" i="2"/>
  <c r="P4130" i="2"/>
  <c r="P4131" i="2"/>
  <c r="P4132" i="2"/>
  <c r="P4133" i="2"/>
  <c r="P4134" i="2"/>
  <c r="P4135" i="2"/>
  <c r="P4136" i="2"/>
  <c r="P4137" i="2"/>
  <c r="P4138" i="2"/>
  <c r="P4139" i="2"/>
  <c r="P4140" i="2"/>
  <c r="P4141" i="2"/>
  <c r="P4142" i="2"/>
  <c r="P4143" i="2"/>
  <c r="P4144" i="2"/>
  <c r="P4145" i="2"/>
  <c r="P4146" i="2"/>
  <c r="P4147" i="2"/>
  <c r="P4148" i="2"/>
  <c r="P4149" i="2"/>
  <c r="P4150" i="2"/>
  <c r="P4151" i="2"/>
  <c r="P4152" i="2"/>
  <c r="P4153" i="2"/>
  <c r="P4154" i="2"/>
  <c r="P4155" i="2"/>
  <c r="P4156" i="2"/>
  <c r="P4157" i="2"/>
  <c r="P4158" i="2"/>
  <c r="P4159" i="2"/>
  <c r="P4160" i="2"/>
  <c r="P4161" i="2"/>
  <c r="P4162" i="2"/>
  <c r="P4163" i="2"/>
  <c r="P4164" i="2"/>
  <c r="P4165" i="2"/>
  <c r="P4166" i="2"/>
  <c r="P4167" i="2"/>
  <c r="P4168" i="2"/>
  <c r="P4169" i="2"/>
  <c r="P4170" i="2"/>
  <c r="P4171" i="2"/>
  <c r="P4172" i="2"/>
  <c r="P4173" i="2"/>
  <c r="P4174" i="2"/>
  <c r="P4175" i="2"/>
  <c r="P4176" i="2"/>
  <c r="P4177" i="2"/>
  <c r="P4178" i="2"/>
  <c r="P4179" i="2"/>
  <c r="P4180" i="2"/>
  <c r="P4181" i="2"/>
  <c r="P4182" i="2"/>
  <c r="P4183" i="2"/>
  <c r="P4184" i="2"/>
  <c r="P4185" i="2"/>
  <c r="P4186" i="2"/>
  <c r="P4187" i="2"/>
  <c r="P4188" i="2"/>
  <c r="P4189" i="2"/>
  <c r="P4190" i="2"/>
  <c r="P4191" i="2"/>
  <c r="P4192" i="2"/>
  <c r="P4193" i="2"/>
  <c r="P4194" i="2"/>
  <c r="P4195" i="2"/>
  <c r="P4196" i="2"/>
  <c r="P4197" i="2"/>
  <c r="P4198" i="2"/>
  <c r="P4199" i="2"/>
  <c r="P4200" i="2"/>
  <c r="P4201" i="2"/>
  <c r="P4202" i="2"/>
  <c r="P4203" i="2"/>
  <c r="P4204" i="2"/>
  <c r="P4205" i="2"/>
  <c r="P4206" i="2"/>
  <c r="P4207" i="2"/>
  <c r="P4208" i="2"/>
  <c r="P4209" i="2"/>
  <c r="P4210" i="2"/>
  <c r="P4211" i="2"/>
  <c r="P4212" i="2"/>
  <c r="P4213" i="2"/>
  <c r="P4214" i="2"/>
  <c r="P4215" i="2"/>
  <c r="P4216" i="2"/>
  <c r="P4217" i="2"/>
  <c r="P4218" i="2"/>
  <c r="P4219" i="2"/>
  <c r="P4220" i="2"/>
  <c r="P4221" i="2"/>
  <c r="P4222" i="2"/>
  <c r="P4223" i="2"/>
  <c r="P4224" i="2"/>
  <c r="P4225" i="2"/>
  <c r="P4226" i="2"/>
  <c r="P4227" i="2"/>
  <c r="P4228" i="2"/>
  <c r="P4229" i="2"/>
  <c r="P4230" i="2"/>
  <c r="P4231" i="2"/>
  <c r="P4232" i="2"/>
  <c r="P4233" i="2"/>
  <c r="P4234" i="2"/>
  <c r="P4235" i="2"/>
  <c r="P4236" i="2"/>
  <c r="P4237" i="2"/>
  <c r="P4238" i="2"/>
  <c r="P4239" i="2"/>
  <c r="P4240" i="2"/>
  <c r="P4241" i="2"/>
  <c r="P4242" i="2"/>
  <c r="P4243" i="2"/>
  <c r="P4244" i="2"/>
  <c r="P4245" i="2"/>
  <c r="P4246" i="2"/>
  <c r="P4247" i="2"/>
  <c r="P4248" i="2"/>
  <c r="P4249" i="2"/>
  <c r="P4250" i="2"/>
  <c r="P4251" i="2"/>
  <c r="P4252" i="2"/>
  <c r="P4253" i="2"/>
  <c r="P4254" i="2"/>
  <c r="P4255" i="2"/>
  <c r="P4256" i="2"/>
  <c r="P4257" i="2"/>
  <c r="P4258" i="2"/>
  <c r="P4259" i="2"/>
  <c r="P4260" i="2"/>
  <c r="P4261" i="2"/>
  <c r="P4262" i="2"/>
  <c r="P4263" i="2"/>
  <c r="P4264" i="2"/>
  <c r="P4265" i="2"/>
  <c r="P4266" i="2"/>
  <c r="P4267" i="2"/>
  <c r="P4268" i="2"/>
  <c r="P4269" i="2"/>
  <c r="P4270" i="2"/>
  <c r="P4271" i="2"/>
  <c r="P4272" i="2"/>
  <c r="P4273" i="2"/>
  <c r="P4274" i="2"/>
  <c r="P4275" i="2"/>
  <c r="P4276" i="2"/>
  <c r="P4277" i="2"/>
  <c r="P4278" i="2"/>
  <c r="P4279" i="2"/>
  <c r="P4280" i="2"/>
  <c r="P4281" i="2"/>
  <c r="P4282" i="2"/>
  <c r="P4283" i="2"/>
  <c r="P4284" i="2"/>
  <c r="P4285" i="2"/>
  <c r="P4286" i="2"/>
  <c r="P4287" i="2"/>
  <c r="P4288" i="2"/>
  <c r="P4289" i="2"/>
  <c r="P4290" i="2"/>
  <c r="P4291" i="2"/>
  <c r="P4292" i="2"/>
  <c r="P4293" i="2"/>
  <c r="P4294" i="2"/>
  <c r="P4295" i="2"/>
  <c r="P4296" i="2"/>
  <c r="P4297" i="2"/>
  <c r="P4298" i="2"/>
  <c r="P4299" i="2"/>
  <c r="P4300" i="2"/>
  <c r="P4301" i="2"/>
  <c r="P4302" i="2"/>
  <c r="P4303" i="2"/>
  <c r="P4304" i="2"/>
  <c r="P4305" i="2"/>
  <c r="P4306" i="2"/>
  <c r="P4307" i="2"/>
  <c r="P4308" i="2"/>
  <c r="P4309" i="2"/>
  <c r="P4310" i="2"/>
  <c r="P4311" i="2"/>
  <c r="P4312" i="2"/>
  <c r="P4313" i="2"/>
  <c r="P4314" i="2"/>
  <c r="P4315" i="2"/>
  <c r="P4316" i="2"/>
  <c r="P4317" i="2"/>
  <c r="P4318" i="2"/>
  <c r="P4319" i="2"/>
  <c r="P4320" i="2"/>
  <c r="P4321" i="2"/>
  <c r="P4322" i="2"/>
  <c r="P4323" i="2"/>
  <c r="P4324" i="2"/>
  <c r="P4325" i="2"/>
  <c r="P4326" i="2"/>
  <c r="P4327" i="2"/>
  <c r="P4328" i="2"/>
  <c r="P4329" i="2"/>
  <c r="P4330" i="2"/>
  <c r="P4331" i="2"/>
  <c r="P4332" i="2"/>
  <c r="P4333" i="2"/>
  <c r="P4334" i="2"/>
  <c r="P4335" i="2"/>
  <c r="P4336" i="2"/>
  <c r="P4337" i="2"/>
  <c r="P4338" i="2"/>
  <c r="P4339" i="2"/>
  <c r="P4340" i="2"/>
  <c r="P4341" i="2"/>
  <c r="P4342" i="2"/>
  <c r="P4343" i="2"/>
  <c r="P4344" i="2"/>
  <c r="P4345" i="2"/>
  <c r="P4346" i="2"/>
  <c r="P4347" i="2"/>
  <c r="P4348" i="2"/>
  <c r="P4349" i="2"/>
  <c r="P4350" i="2"/>
  <c r="P4351" i="2"/>
  <c r="P4352" i="2"/>
  <c r="P4353" i="2"/>
  <c r="P4354" i="2"/>
  <c r="P4355" i="2"/>
  <c r="P4356" i="2"/>
  <c r="P4357" i="2"/>
  <c r="P4358" i="2"/>
  <c r="P4359" i="2"/>
  <c r="P4360" i="2"/>
  <c r="P4361" i="2"/>
  <c r="P4362" i="2"/>
  <c r="P4363" i="2"/>
  <c r="P4364" i="2"/>
  <c r="P4365" i="2"/>
  <c r="P4366" i="2"/>
  <c r="P4367" i="2"/>
  <c r="P4368" i="2"/>
  <c r="P4369" i="2"/>
  <c r="P4370" i="2"/>
  <c r="P4371" i="2"/>
  <c r="P4372" i="2"/>
  <c r="P4373" i="2"/>
  <c r="P4374" i="2"/>
  <c r="P4375" i="2"/>
  <c r="P4376" i="2"/>
  <c r="P4377" i="2"/>
  <c r="P4378" i="2"/>
  <c r="P4379" i="2"/>
  <c r="P4380" i="2"/>
  <c r="P4381" i="2"/>
  <c r="P4382" i="2"/>
  <c r="P4383" i="2"/>
  <c r="P4384" i="2"/>
  <c r="P4385" i="2"/>
  <c r="P4386" i="2"/>
  <c r="P4387" i="2"/>
  <c r="P4388" i="2"/>
  <c r="P4389" i="2"/>
  <c r="P4390" i="2"/>
  <c r="P4391" i="2"/>
  <c r="P4392" i="2"/>
  <c r="P4393" i="2"/>
  <c r="P4394" i="2"/>
  <c r="P4395" i="2"/>
  <c r="P4396" i="2"/>
  <c r="P4397" i="2"/>
  <c r="P4398" i="2"/>
  <c r="P4399" i="2"/>
  <c r="P4400" i="2"/>
  <c r="P4401" i="2"/>
  <c r="P4402" i="2"/>
  <c r="P4403" i="2"/>
  <c r="P4404" i="2"/>
  <c r="P4405" i="2"/>
  <c r="P4406" i="2"/>
  <c r="P4407" i="2"/>
  <c r="P4408" i="2"/>
  <c r="P4409" i="2"/>
  <c r="P4410" i="2"/>
  <c r="P4411" i="2"/>
  <c r="P4412" i="2"/>
  <c r="P4413" i="2"/>
  <c r="P4414" i="2"/>
  <c r="P4415" i="2"/>
  <c r="P4416" i="2"/>
  <c r="P4417" i="2"/>
  <c r="P4418" i="2"/>
  <c r="P4419" i="2"/>
  <c r="P4420" i="2"/>
  <c r="P4421" i="2"/>
  <c r="P4422" i="2"/>
  <c r="P4423" i="2"/>
  <c r="P4424" i="2"/>
  <c r="P4425" i="2"/>
  <c r="P4426" i="2"/>
  <c r="P4427" i="2"/>
  <c r="P4428" i="2"/>
  <c r="P4429" i="2"/>
  <c r="P4430" i="2"/>
  <c r="P4431" i="2"/>
  <c r="P4432" i="2"/>
  <c r="P4433" i="2"/>
  <c r="P4434" i="2"/>
  <c r="P4435" i="2"/>
  <c r="P4436" i="2"/>
  <c r="P4437" i="2"/>
  <c r="P4438" i="2"/>
  <c r="P4439" i="2"/>
  <c r="P4440" i="2"/>
  <c r="P4441" i="2"/>
  <c r="P4442" i="2"/>
  <c r="P4443" i="2"/>
  <c r="P4444" i="2"/>
  <c r="P4445" i="2"/>
  <c r="P4446" i="2"/>
  <c r="P4447" i="2"/>
  <c r="P4448" i="2"/>
  <c r="P4449" i="2"/>
  <c r="P4450" i="2"/>
  <c r="P4451" i="2"/>
  <c r="P4452" i="2"/>
  <c r="P4453" i="2"/>
  <c r="P4454" i="2"/>
  <c r="P4455" i="2"/>
  <c r="P4456" i="2"/>
  <c r="P4457" i="2"/>
  <c r="P4458" i="2"/>
  <c r="P4459" i="2"/>
  <c r="P4460" i="2"/>
  <c r="P4461" i="2"/>
  <c r="P4462" i="2"/>
  <c r="P4463" i="2"/>
  <c r="P4464" i="2"/>
  <c r="P4465" i="2"/>
  <c r="P4466" i="2"/>
  <c r="P4467" i="2"/>
  <c r="P4468" i="2"/>
  <c r="P4469" i="2"/>
  <c r="P4470" i="2"/>
  <c r="P4471" i="2"/>
  <c r="P4472" i="2"/>
  <c r="P4473" i="2"/>
  <c r="P4474" i="2"/>
  <c r="P4475" i="2"/>
  <c r="P4476" i="2"/>
  <c r="P4477" i="2"/>
  <c r="P4478" i="2"/>
  <c r="P4479" i="2"/>
  <c r="P4480" i="2"/>
  <c r="P4481" i="2"/>
  <c r="P4482" i="2"/>
  <c r="P4483" i="2"/>
  <c r="P4484" i="2"/>
  <c r="P4485" i="2"/>
  <c r="P4486" i="2"/>
  <c r="P4487" i="2"/>
  <c r="P4488" i="2"/>
  <c r="P4489" i="2"/>
  <c r="P4490" i="2"/>
  <c r="P4491" i="2"/>
  <c r="P4492" i="2"/>
  <c r="P4493" i="2"/>
  <c r="P4494" i="2"/>
  <c r="P4495" i="2"/>
  <c r="P4496" i="2"/>
  <c r="P4497" i="2"/>
  <c r="P4498" i="2"/>
  <c r="P4499" i="2"/>
  <c r="P4500" i="2"/>
  <c r="P4501" i="2"/>
  <c r="P4502" i="2"/>
  <c r="P4503" i="2"/>
  <c r="P4504" i="2"/>
  <c r="P4505" i="2"/>
  <c r="P4506" i="2"/>
  <c r="P4507" i="2"/>
  <c r="P4508" i="2"/>
  <c r="P4509" i="2"/>
  <c r="P4510" i="2"/>
  <c r="P4511" i="2"/>
  <c r="P4512" i="2"/>
  <c r="P4513" i="2"/>
  <c r="P4514" i="2"/>
  <c r="P4515" i="2"/>
  <c r="P4516" i="2"/>
  <c r="P4517" i="2"/>
  <c r="P4518" i="2"/>
  <c r="P4519" i="2"/>
  <c r="P4520" i="2"/>
  <c r="P4521" i="2"/>
  <c r="P4522" i="2"/>
  <c r="P4523" i="2"/>
  <c r="P4524" i="2"/>
  <c r="P4525" i="2"/>
  <c r="P4526" i="2"/>
  <c r="P4527" i="2"/>
  <c r="P4528" i="2"/>
  <c r="P4529" i="2"/>
  <c r="P4530" i="2"/>
  <c r="P4531" i="2"/>
  <c r="P4532" i="2"/>
  <c r="P4533" i="2"/>
  <c r="P4534" i="2"/>
  <c r="P4535" i="2"/>
  <c r="P4536" i="2"/>
  <c r="P4537" i="2"/>
  <c r="P4538" i="2"/>
  <c r="P4539" i="2"/>
  <c r="P4540" i="2"/>
  <c r="P4541" i="2"/>
  <c r="P4542" i="2"/>
  <c r="P4543" i="2"/>
  <c r="P4544" i="2"/>
  <c r="P4545" i="2"/>
  <c r="P4546" i="2"/>
  <c r="P4547" i="2"/>
  <c r="P4548" i="2"/>
  <c r="P4549" i="2"/>
  <c r="P4550" i="2"/>
  <c r="P4551" i="2"/>
  <c r="P4552" i="2"/>
  <c r="P4553" i="2"/>
  <c r="P4554" i="2"/>
  <c r="P4555" i="2"/>
  <c r="P4556" i="2"/>
  <c r="P4557" i="2"/>
  <c r="P4558" i="2"/>
  <c r="P4559" i="2"/>
  <c r="P4560" i="2"/>
  <c r="P4561" i="2"/>
  <c r="P4562" i="2"/>
  <c r="P4563" i="2"/>
  <c r="P4564" i="2"/>
  <c r="P4565" i="2"/>
  <c r="P4566" i="2"/>
  <c r="P4567" i="2"/>
  <c r="P4568" i="2"/>
  <c r="P4569" i="2"/>
  <c r="P4570" i="2"/>
  <c r="P4571" i="2"/>
  <c r="P4572" i="2"/>
  <c r="P4573" i="2"/>
  <c r="P4574" i="2"/>
  <c r="P4575" i="2"/>
  <c r="P4576" i="2"/>
  <c r="P4577" i="2"/>
  <c r="P4578" i="2"/>
  <c r="P4579" i="2"/>
  <c r="P4580" i="2"/>
  <c r="P4581" i="2"/>
  <c r="P4582" i="2"/>
  <c r="P4583" i="2"/>
  <c r="P4584" i="2"/>
  <c r="P4585" i="2"/>
  <c r="P4586" i="2"/>
  <c r="P4587" i="2"/>
  <c r="P4588" i="2"/>
  <c r="P4589" i="2"/>
  <c r="P4590" i="2"/>
  <c r="P4591" i="2"/>
  <c r="P4592" i="2"/>
  <c r="P4593" i="2"/>
  <c r="P4594" i="2"/>
  <c r="P4595" i="2"/>
  <c r="P4596" i="2"/>
  <c r="P4597" i="2"/>
  <c r="P4598" i="2"/>
  <c r="P4599" i="2"/>
  <c r="P4600" i="2"/>
  <c r="P4601" i="2"/>
  <c r="P4602" i="2"/>
  <c r="P4603" i="2"/>
  <c r="P4604" i="2"/>
  <c r="P4605" i="2"/>
  <c r="P4606" i="2"/>
  <c r="P4607" i="2"/>
  <c r="P4608" i="2"/>
  <c r="P4609" i="2"/>
  <c r="P4610" i="2"/>
  <c r="P4611" i="2"/>
  <c r="P4612" i="2"/>
  <c r="P4613" i="2"/>
  <c r="P4614" i="2"/>
  <c r="P4615" i="2"/>
  <c r="P4616" i="2"/>
  <c r="P4617" i="2"/>
  <c r="P4618" i="2"/>
  <c r="P4619" i="2"/>
  <c r="P4620" i="2"/>
  <c r="P4621" i="2"/>
  <c r="P4622" i="2"/>
  <c r="P4623" i="2"/>
  <c r="P4624" i="2"/>
  <c r="P4625" i="2"/>
  <c r="P4626" i="2"/>
  <c r="P4627" i="2"/>
  <c r="P4628" i="2"/>
  <c r="P4629" i="2"/>
  <c r="P4630" i="2"/>
  <c r="P4631" i="2"/>
  <c r="P4632" i="2"/>
  <c r="P4633" i="2"/>
  <c r="P4634" i="2"/>
  <c r="P4635" i="2"/>
  <c r="P4636" i="2"/>
  <c r="P4637" i="2"/>
  <c r="P4638" i="2"/>
  <c r="P4639" i="2"/>
  <c r="P4640" i="2"/>
  <c r="P4641" i="2"/>
  <c r="P4642" i="2"/>
  <c r="P4643" i="2"/>
  <c r="P4644" i="2"/>
  <c r="P4645" i="2"/>
  <c r="P4646" i="2"/>
  <c r="P4647" i="2"/>
  <c r="P4648" i="2"/>
  <c r="P4649" i="2"/>
  <c r="P4650" i="2"/>
  <c r="P4651" i="2"/>
  <c r="P4652" i="2"/>
  <c r="P4653" i="2"/>
  <c r="P4654" i="2"/>
  <c r="P4655" i="2"/>
  <c r="P4656" i="2"/>
  <c r="P4657" i="2"/>
  <c r="P4658" i="2"/>
  <c r="P4659" i="2"/>
  <c r="P4660" i="2"/>
  <c r="P4661" i="2"/>
  <c r="P4662" i="2"/>
  <c r="P4663" i="2"/>
  <c r="P4664" i="2"/>
  <c r="P4665" i="2"/>
  <c r="P4666" i="2"/>
  <c r="P4667" i="2"/>
  <c r="P4668" i="2"/>
  <c r="P4669" i="2"/>
  <c r="P4670" i="2"/>
  <c r="P4671" i="2"/>
  <c r="P4672" i="2"/>
  <c r="P4673" i="2"/>
  <c r="P4674" i="2"/>
  <c r="P4675" i="2"/>
  <c r="P4676" i="2"/>
  <c r="P4677" i="2"/>
  <c r="P4678" i="2"/>
  <c r="P4679" i="2"/>
  <c r="P4680" i="2"/>
  <c r="P4681" i="2"/>
  <c r="P4682" i="2"/>
  <c r="P4683" i="2"/>
  <c r="P4684" i="2"/>
  <c r="P4685" i="2"/>
  <c r="P4686" i="2"/>
  <c r="P4687" i="2"/>
  <c r="P4688" i="2"/>
  <c r="P4689" i="2"/>
  <c r="P4690" i="2"/>
  <c r="P4691" i="2"/>
  <c r="P4692" i="2"/>
  <c r="P4693" i="2"/>
  <c r="P4694" i="2"/>
  <c r="P4695" i="2"/>
  <c r="P4696" i="2"/>
  <c r="P4697" i="2"/>
  <c r="P4698" i="2"/>
  <c r="P4699" i="2"/>
  <c r="P4700" i="2"/>
  <c r="P4701" i="2"/>
  <c r="P4702" i="2"/>
  <c r="P4703" i="2"/>
  <c r="P4704" i="2"/>
  <c r="P4705" i="2"/>
  <c r="P4706" i="2"/>
  <c r="P4707" i="2"/>
  <c r="P4708" i="2"/>
  <c r="P4709" i="2"/>
  <c r="P4710" i="2"/>
  <c r="P4711" i="2"/>
  <c r="P4712" i="2"/>
  <c r="P4713" i="2"/>
  <c r="P4714" i="2"/>
  <c r="P4715" i="2"/>
  <c r="P4716" i="2"/>
  <c r="P4717" i="2"/>
  <c r="P4718" i="2"/>
  <c r="P4719" i="2"/>
  <c r="P4720" i="2"/>
  <c r="P4721" i="2"/>
  <c r="P4722" i="2"/>
  <c r="P4723" i="2"/>
  <c r="P4724" i="2"/>
  <c r="P4725" i="2"/>
  <c r="P4726" i="2"/>
  <c r="P4727" i="2"/>
  <c r="P4728" i="2"/>
  <c r="P4729" i="2"/>
  <c r="P4730" i="2"/>
  <c r="P4731" i="2"/>
  <c r="P4732" i="2"/>
  <c r="P4733" i="2"/>
  <c r="P4734" i="2"/>
  <c r="P4735" i="2"/>
  <c r="P4736" i="2"/>
  <c r="P4737" i="2"/>
  <c r="P4738" i="2"/>
  <c r="P4739" i="2"/>
  <c r="P4740" i="2"/>
  <c r="P4741" i="2"/>
  <c r="P4742" i="2"/>
  <c r="P4743" i="2"/>
  <c r="P4744" i="2"/>
  <c r="P4745" i="2"/>
  <c r="P4746" i="2"/>
  <c r="P4747" i="2"/>
  <c r="P4748" i="2"/>
  <c r="P4749" i="2"/>
  <c r="P4750" i="2"/>
  <c r="P4751" i="2"/>
  <c r="P4752" i="2"/>
  <c r="P4753" i="2"/>
  <c r="P4754" i="2"/>
  <c r="P4755" i="2"/>
  <c r="P4756" i="2"/>
  <c r="P4757" i="2"/>
  <c r="P4758" i="2"/>
  <c r="P4759" i="2"/>
  <c r="P4760" i="2"/>
  <c r="P4761" i="2"/>
  <c r="P4762" i="2"/>
  <c r="P4763" i="2"/>
  <c r="P4764" i="2"/>
  <c r="P4765" i="2"/>
  <c r="P4766" i="2"/>
  <c r="P4767" i="2"/>
  <c r="P4768" i="2"/>
  <c r="P4769" i="2"/>
  <c r="P4770" i="2"/>
  <c r="P4771" i="2"/>
  <c r="P4772" i="2"/>
  <c r="P4773" i="2"/>
  <c r="P4774" i="2"/>
  <c r="P4775" i="2"/>
  <c r="P4776" i="2"/>
  <c r="P4777" i="2"/>
  <c r="P4778" i="2"/>
  <c r="P4779" i="2"/>
  <c r="P4780" i="2"/>
  <c r="P4781" i="2"/>
  <c r="P4782" i="2"/>
  <c r="P4783" i="2"/>
  <c r="P4784" i="2"/>
  <c r="P4785" i="2"/>
  <c r="P4786" i="2"/>
  <c r="P4787" i="2"/>
  <c r="P4788" i="2"/>
  <c r="P4789" i="2"/>
  <c r="P4790" i="2"/>
  <c r="P4791" i="2"/>
  <c r="P4792" i="2"/>
  <c r="P4793" i="2"/>
  <c r="P4794" i="2"/>
  <c r="P4795" i="2"/>
  <c r="P4796" i="2"/>
  <c r="P4797" i="2"/>
  <c r="P4798" i="2"/>
  <c r="P4799" i="2"/>
  <c r="P4800" i="2"/>
  <c r="P4801" i="2"/>
  <c r="P4802" i="2"/>
  <c r="P4803" i="2"/>
  <c r="P4804" i="2"/>
  <c r="P4805" i="2"/>
  <c r="P4806" i="2"/>
  <c r="P4807" i="2"/>
  <c r="P4808" i="2"/>
  <c r="P4809" i="2"/>
  <c r="P4810" i="2"/>
  <c r="P4811" i="2"/>
  <c r="P4812" i="2"/>
  <c r="P4813" i="2"/>
  <c r="P4814" i="2"/>
  <c r="P4815" i="2"/>
  <c r="P4816" i="2"/>
  <c r="P4817" i="2"/>
  <c r="P4818" i="2"/>
  <c r="P4819" i="2"/>
  <c r="P4820" i="2"/>
  <c r="P4821" i="2"/>
  <c r="P4822" i="2"/>
  <c r="P4823" i="2"/>
  <c r="P4824" i="2"/>
  <c r="P4825" i="2"/>
  <c r="P4826" i="2"/>
  <c r="P4827" i="2"/>
  <c r="P4828" i="2"/>
  <c r="P4829" i="2"/>
  <c r="P4830" i="2"/>
  <c r="P4831" i="2"/>
  <c r="P4832" i="2"/>
  <c r="P4833" i="2"/>
  <c r="P4834" i="2"/>
  <c r="P4835" i="2"/>
  <c r="P4836" i="2"/>
  <c r="P4837" i="2"/>
  <c r="P4838" i="2"/>
  <c r="P4839" i="2"/>
  <c r="P4840" i="2"/>
  <c r="P4841" i="2"/>
  <c r="P4842" i="2"/>
  <c r="P4843" i="2"/>
  <c r="P4844" i="2"/>
  <c r="P4845" i="2"/>
  <c r="P4846" i="2"/>
  <c r="P4847" i="2"/>
  <c r="P4848" i="2"/>
  <c r="P4849" i="2"/>
  <c r="P4850" i="2"/>
  <c r="P4851" i="2"/>
  <c r="P4852" i="2"/>
  <c r="P4853" i="2"/>
  <c r="P4854" i="2"/>
  <c r="P4855" i="2"/>
  <c r="P4856" i="2"/>
  <c r="P4857" i="2"/>
  <c r="P4858" i="2"/>
  <c r="P4859" i="2"/>
  <c r="P4860" i="2"/>
  <c r="P4861" i="2"/>
  <c r="P4862" i="2"/>
  <c r="P4863" i="2"/>
  <c r="P4864" i="2"/>
  <c r="P4865" i="2"/>
  <c r="P4866" i="2"/>
  <c r="P4867" i="2"/>
  <c r="P4868" i="2"/>
  <c r="P4869" i="2"/>
  <c r="P4870" i="2"/>
  <c r="P4871" i="2"/>
  <c r="P4872" i="2"/>
  <c r="P4873" i="2"/>
  <c r="P4874" i="2"/>
  <c r="P4875" i="2"/>
  <c r="P4876" i="2"/>
  <c r="P4877" i="2"/>
  <c r="P4878" i="2"/>
  <c r="P4879" i="2"/>
  <c r="P4880" i="2"/>
  <c r="P4881" i="2"/>
  <c r="P4882" i="2"/>
  <c r="P4883" i="2"/>
  <c r="P4884" i="2"/>
  <c r="P4885" i="2"/>
  <c r="P4886" i="2"/>
  <c r="P4887" i="2"/>
  <c r="P4888" i="2"/>
  <c r="P4889" i="2"/>
  <c r="P4890" i="2"/>
  <c r="P4891" i="2"/>
  <c r="P4892" i="2"/>
  <c r="P4893" i="2"/>
  <c r="P4894" i="2"/>
  <c r="P4895" i="2"/>
  <c r="P4896" i="2"/>
  <c r="P4897" i="2"/>
  <c r="P4898" i="2"/>
  <c r="P4899" i="2"/>
  <c r="P4900" i="2"/>
  <c r="P4901" i="2"/>
  <c r="P4902" i="2"/>
  <c r="P4903" i="2"/>
  <c r="P4904" i="2"/>
  <c r="P4905" i="2"/>
  <c r="P4906" i="2"/>
  <c r="P4907" i="2"/>
  <c r="P4908" i="2"/>
  <c r="P4909" i="2"/>
  <c r="P4910" i="2"/>
  <c r="P4911" i="2"/>
  <c r="P4912" i="2"/>
  <c r="P4913" i="2"/>
  <c r="P4914" i="2"/>
  <c r="P4915" i="2"/>
  <c r="P4916" i="2"/>
  <c r="P4917" i="2"/>
  <c r="P4918" i="2"/>
  <c r="P4919" i="2"/>
  <c r="P4920" i="2"/>
  <c r="P4921" i="2"/>
  <c r="P4922" i="2"/>
  <c r="P4923" i="2"/>
  <c r="P4924" i="2"/>
  <c r="P4925" i="2"/>
  <c r="P4926" i="2"/>
  <c r="P4927" i="2"/>
  <c r="P4928" i="2"/>
  <c r="P4929" i="2"/>
  <c r="P4930" i="2"/>
  <c r="P4931" i="2"/>
  <c r="P4932" i="2"/>
  <c r="P4933" i="2"/>
  <c r="P4934" i="2"/>
  <c r="P4935" i="2"/>
  <c r="P4936" i="2"/>
  <c r="P4937" i="2"/>
  <c r="P4938" i="2"/>
  <c r="P4939" i="2"/>
  <c r="P4940" i="2"/>
  <c r="P4941" i="2"/>
  <c r="P4942" i="2"/>
  <c r="P4943" i="2"/>
  <c r="P4944" i="2"/>
  <c r="P4945" i="2"/>
  <c r="P4946" i="2"/>
  <c r="P4947" i="2"/>
  <c r="P4948" i="2"/>
  <c r="P4949" i="2"/>
  <c r="P4950" i="2"/>
  <c r="P4951" i="2"/>
  <c r="P4952" i="2"/>
  <c r="P4953" i="2"/>
  <c r="P4954" i="2"/>
  <c r="P4955" i="2"/>
  <c r="P4956" i="2"/>
  <c r="P4957" i="2"/>
  <c r="P4958" i="2"/>
  <c r="P4959" i="2"/>
  <c r="P4960" i="2"/>
  <c r="P4961" i="2"/>
  <c r="P4962" i="2"/>
  <c r="P4963" i="2"/>
  <c r="P4964" i="2"/>
  <c r="P4965" i="2"/>
  <c r="P4966" i="2"/>
  <c r="P4967" i="2"/>
  <c r="P4968" i="2"/>
  <c r="P4969" i="2"/>
  <c r="P4970" i="2"/>
  <c r="P4971" i="2"/>
  <c r="P4972" i="2"/>
  <c r="P4973" i="2"/>
  <c r="P4974" i="2"/>
  <c r="P4975" i="2"/>
  <c r="P4976" i="2"/>
  <c r="P4977" i="2"/>
  <c r="P4978" i="2"/>
  <c r="P4979" i="2"/>
  <c r="P4980" i="2"/>
  <c r="P4981" i="2"/>
  <c r="P4982" i="2"/>
  <c r="P4983" i="2"/>
  <c r="I193" i="2" l="1"/>
  <c r="K193" i="2" s="1"/>
  <c r="L193" i="2" s="1"/>
  <c r="I194" i="2"/>
  <c r="K194" i="2" s="1"/>
  <c r="L194" i="2" s="1"/>
  <c r="I195" i="2"/>
  <c r="K195" i="2" s="1"/>
  <c r="L195" i="2" s="1"/>
  <c r="I196" i="2"/>
  <c r="K196" i="2" s="1"/>
  <c r="L196" i="2" s="1"/>
  <c r="I197" i="2"/>
  <c r="K197" i="2" s="1"/>
  <c r="L197" i="2" s="1"/>
  <c r="I198" i="2"/>
  <c r="K198" i="2" s="1"/>
  <c r="L198" i="2" s="1"/>
  <c r="I199" i="2"/>
  <c r="K199" i="2" s="1"/>
  <c r="L199" i="2" s="1"/>
  <c r="I200" i="2"/>
  <c r="K200" i="2" s="1"/>
  <c r="L200" i="2" s="1"/>
  <c r="I201" i="2"/>
  <c r="K201" i="2" s="1"/>
  <c r="L201" i="2" s="1"/>
  <c r="I202" i="2"/>
  <c r="K202" i="2" s="1"/>
  <c r="L202" i="2" s="1"/>
  <c r="I203" i="2"/>
  <c r="K203" i="2" s="1"/>
  <c r="L203" i="2" s="1"/>
  <c r="I204" i="2"/>
  <c r="K204" i="2" s="1"/>
  <c r="L204" i="2" s="1"/>
  <c r="I205" i="2"/>
  <c r="K205" i="2" s="1"/>
  <c r="L205" i="2" s="1"/>
  <c r="I206" i="2"/>
  <c r="K206" i="2" s="1"/>
  <c r="L206" i="2" s="1"/>
  <c r="I207" i="2"/>
  <c r="K207" i="2" s="1"/>
  <c r="L207" i="2" s="1"/>
  <c r="I208" i="2"/>
  <c r="K208" i="2" s="1"/>
  <c r="L208" i="2" s="1"/>
  <c r="I209" i="2"/>
  <c r="K209" i="2" s="1"/>
  <c r="L209" i="2" s="1"/>
  <c r="I210" i="2"/>
  <c r="K210" i="2" s="1"/>
  <c r="L210" i="2" s="1"/>
  <c r="I211" i="2"/>
  <c r="K211" i="2" s="1"/>
  <c r="L211" i="2" s="1"/>
  <c r="I212" i="2"/>
  <c r="K212" i="2" s="1"/>
  <c r="L212" i="2" s="1"/>
  <c r="I213" i="2"/>
  <c r="K213" i="2" s="1"/>
  <c r="L213" i="2" s="1"/>
  <c r="I214" i="2"/>
  <c r="K214" i="2" s="1"/>
  <c r="L214" i="2" s="1"/>
  <c r="I215" i="2"/>
  <c r="K215" i="2" s="1"/>
  <c r="L215" i="2" s="1"/>
  <c r="I216" i="2"/>
  <c r="K216" i="2" s="1"/>
  <c r="L216" i="2" s="1"/>
  <c r="I217" i="2"/>
  <c r="I218" i="2"/>
  <c r="K218" i="2" s="1"/>
  <c r="L218" i="2" s="1"/>
  <c r="I219" i="2"/>
  <c r="K219" i="2" s="1"/>
  <c r="L219" i="2" s="1"/>
  <c r="I220" i="2"/>
  <c r="K220" i="2" s="1"/>
  <c r="L220" i="2" s="1"/>
  <c r="I221" i="2"/>
  <c r="K221" i="2" s="1"/>
  <c r="L221" i="2" s="1"/>
  <c r="I222" i="2"/>
  <c r="K222" i="2" s="1"/>
  <c r="L222" i="2" s="1"/>
  <c r="I223" i="2"/>
  <c r="K223" i="2" s="1"/>
  <c r="L223" i="2" s="1"/>
  <c r="I224" i="2"/>
  <c r="K224" i="2" s="1"/>
  <c r="L224" i="2" s="1"/>
  <c r="I225" i="2"/>
  <c r="K225" i="2" s="1"/>
  <c r="L225" i="2" s="1"/>
  <c r="I226" i="2"/>
  <c r="K226" i="2" s="1"/>
  <c r="L226" i="2" s="1"/>
  <c r="I227" i="2"/>
  <c r="K227" i="2" s="1"/>
  <c r="L227" i="2" s="1"/>
  <c r="I228" i="2"/>
  <c r="K228" i="2" s="1"/>
  <c r="L228" i="2" s="1"/>
  <c r="I229" i="2"/>
  <c r="K229" i="2" s="1"/>
  <c r="L229" i="2" s="1"/>
  <c r="I230" i="2"/>
  <c r="K230" i="2" s="1"/>
  <c r="L230" i="2" s="1"/>
  <c r="I231" i="2"/>
  <c r="K231" i="2" s="1"/>
  <c r="L231" i="2" s="1"/>
  <c r="I232" i="2"/>
  <c r="K232" i="2" s="1"/>
  <c r="L232" i="2" s="1"/>
  <c r="I233" i="2"/>
  <c r="K233" i="2" s="1"/>
  <c r="L233" i="2" s="1"/>
  <c r="I234" i="2"/>
  <c r="K234" i="2" s="1"/>
  <c r="L234" i="2" s="1"/>
  <c r="I235" i="2"/>
  <c r="K235" i="2" s="1"/>
  <c r="L235" i="2" s="1"/>
  <c r="I236" i="2"/>
  <c r="K236" i="2" s="1"/>
  <c r="L236" i="2" s="1"/>
  <c r="I237" i="2"/>
  <c r="K237" i="2" s="1"/>
  <c r="L237" i="2" s="1"/>
  <c r="I238" i="2"/>
  <c r="K238" i="2" s="1"/>
  <c r="L238" i="2" s="1"/>
  <c r="I239" i="2"/>
  <c r="K239" i="2" s="1"/>
  <c r="L239" i="2" s="1"/>
  <c r="I240" i="2"/>
  <c r="K240" i="2" s="1"/>
  <c r="L240" i="2" s="1"/>
  <c r="I241" i="2"/>
  <c r="K241" i="2" s="1"/>
  <c r="L241" i="2" s="1"/>
  <c r="I242" i="2"/>
  <c r="K242" i="2" s="1"/>
  <c r="L242" i="2" s="1"/>
  <c r="I243" i="2"/>
  <c r="K243" i="2" s="1"/>
  <c r="L243" i="2" s="1"/>
  <c r="I244" i="2"/>
  <c r="K244" i="2" s="1"/>
  <c r="L244" i="2" s="1"/>
  <c r="I245" i="2"/>
  <c r="K245" i="2" s="1"/>
  <c r="L245" i="2" s="1"/>
  <c r="I246" i="2"/>
  <c r="K246" i="2" s="1"/>
  <c r="L246" i="2" s="1"/>
  <c r="I247" i="2"/>
  <c r="K247" i="2" s="1"/>
  <c r="L247" i="2" s="1"/>
  <c r="I248" i="2"/>
  <c r="K248" i="2" s="1"/>
  <c r="L248" i="2" s="1"/>
  <c r="I249" i="2"/>
  <c r="K249" i="2" s="1"/>
  <c r="L249" i="2" s="1"/>
  <c r="I250" i="2"/>
  <c r="K250" i="2" s="1"/>
  <c r="L250" i="2" s="1"/>
  <c r="I251" i="2"/>
  <c r="K251" i="2" s="1"/>
  <c r="L251" i="2" s="1"/>
  <c r="I252" i="2"/>
  <c r="K252" i="2" s="1"/>
  <c r="L252" i="2" s="1"/>
  <c r="I253" i="2"/>
  <c r="I254" i="2"/>
  <c r="I255" i="2"/>
  <c r="K255" i="2" s="1"/>
  <c r="L255" i="2" s="1"/>
  <c r="I256" i="2"/>
  <c r="K256" i="2" s="1"/>
  <c r="L256" i="2" s="1"/>
  <c r="I257" i="2"/>
  <c r="K257" i="2" s="1"/>
  <c r="L257" i="2" s="1"/>
  <c r="I258" i="2"/>
  <c r="K258" i="2" s="1"/>
  <c r="L258" i="2" s="1"/>
  <c r="I259" i="2"/>
  <c r="K259" i="2" s="1"/>
  <c r="L259" i="2" s="1"/>
  <c r="I260" i="2"/>
  <c r="K260" i="2" s="1"/>
  <c r="L260" i="2" s="1"/>
  <c r="I261" i="2"/>
  <c r="K261" i="2" s="1"/>
  <c r="L261" i="2" s="1"/>
  <c r="I262" i="2"/>
  <c r="K262" i="2" s="1"/>
  <c r="L262" i="2" s="1"/>
  <c r="I263" i="2"/>
  <c r="K263" i="2" s="1"/>
  <c r="L263" i="2" s="1"/>
  <c r="I264" i="2"/>
  <c r="K264" i="2" s="1"/>
  <c r="L264" i="2" s="1"/>
  <c r="I265" i="2"/>
  <c r="K265" i="2" s="1"/>
  <c r="L265" i="2" s="1"/>
  <c r="I266" i="2"/>
  <c r="K266" i="2" s="1"/>
  <c r="L266" i="2" s="1"/>
  <c r="I267" i="2"/>
  <c r="K267" i="2" s="1"/>
  <c r="L267" i="2" s="1"/>
  <c r="I268" i="2"/>
  <c r="K268" i="2" s="1"/>
  <c r="L268" i="2" s="1"/>
  <c r="I269" i="2"/>
  <c r="K269" i="2" s="1"/>
  <c r="L269" i="2" s="1"/>
  <c r="I270" i="2"/>
  <c r="K270" i="2" s="1"/>
  <c r="L270" i="2" s="1"/>
  <c r="I271" i="2"/>
  <c r="K271" i="2" s="1"/>
  <c r="L271" i="2" s="1"/>
  <c r="I272" i="2"/>
  <c r="K272" i="2" s="1"/>
  <c r="L272" i="2" s="1"/>
  <c r="I273" i="2"/>
  <c r="I274" i="2"/>
  <c r="K274" i="2" s="1"/>
  <c r="L274" i="2" s="1"/>
  <c r="I275" i="2"/>
  <c r="K275" i="2" s="1"/>
  <c r="L275" i="2" s="1"/>
  <c r="I276" i="2"/>
  <c r="K276" i="2" s="1"/>
  <c r="L276" i="2" s="1"/>
  <c r="I277" i="2"/>
  <c r="K277" i="2" s="1"/>
  <c r="L277" i="2" s="1"/>
  <c r="I278" i="2"/>
  <c r="K278" i="2" s="1"/>
  <c r="L278" i="2" s="1"/>
  <c r="I279" i="2"/>
  <c r="K279" i="2" s="1"/>
  <c r="L279" i="2" s="1"/>
  <c r="I280" i="2"/>
  <c r="K280" i="2" s="1"/>
  <c r="L280" i="2" s="1"/>
  <c r="I281" i="2"/>
  <c r="I282" i="2"/>
  <c r="K282" i="2" s="1"/>
  <c r="L282" i="2" s="1"/>
  <c r="I283" i="2"/>
  <c r="K283" i="2" s="1"/>
  <c r="L283" i="2" s="1"/>
  <c r="I284" i="2"/>
  <c r="K284" i="2" s="1"/>
  <c r="L284" i="2" s="1"/>
  <c r="I285" i="2"/>
  <c r="K285" i="2" s="1"/>
  <c r="L285" i="2" s="1"/>
  <c r="I286" i="2"/>
  <c r="K286" i="2" s="1"/>
  <c r="L286" i="2" s="1"/>
  <c r="I287" i="2"/>
  <c r="K287" i="2" s="1"/>
  <c r="L287" i="2" s="1"/>
  <c r="I288" i="2"/>
  <c r="K288" i="2" s="1"/>
  <c r="L288" i="2" s="1"/>
  <c r="I289" i="2"/>
  <c r="I290" i="2"/>
  <c r="K290" i="2" s="1"/>
  <c r="L290" i="2" s="1"/>
  <c r="I291" i="2"/>
  <c r="K291" i="2" s="1"/>
  <c r="L291" i="2" s="1"/>
  <c r="I292" i="2"/>
  <c r="K292" i="2" s="1"/>
  <c r="L292" i="2" s="1"/>
  <c r="I293" i="2"/>
  <c r="I294" i="2"/>
  <c r="K294" i="2" s="1"/>
  <c r="L294" i="2" s="1"/>
  <c r="I295" i="2"/>
  <c r="K295" i="2" s="1"/>
  <c r="L295" i="2" s="1"/>
  <c r="I296" i="2"/>
  <c r="K296" i="2" s="1"/>
  <c r="L296" i="2" s="1"/>
  <c r="I297" i="2"/>
  <c r="I298" i="2"/>
  <c r="K298" i="2" s="1"/>
  <c r="L298" i="2" s="1"/>
  <c r="I299" i="2"/>
  <c r="K299" i="2" s="1"/>
  <c r="L299" i="2" s="1"/>
  <c r="I300" i="2"/>
  <c r="K300" i="2" s="1"/>
  <c r="L300" i="2" s="1"/>
  <c r="I301" i="2"/>
  <c r="I302" i="2"/>
  <c r="K302" i="2" s="1"/>
  <c r="L302" i="2" s="1"/>
  <c r="I303" i="2"/>
  <c r="K303" i="2" s="1"/>
  <c r="L303" i="2" s="1"/>
  <c r="I304" i="2"/>
  <c r="K304" i="2" s="1"/>
  <c r="L304" i="2" s="1"/>
  <c r="I305" i="2"/>
  <c r="I306" i="2"/>
  <c r="I307" i="2"/>
  <c r="K307" i="2" s="1"/>
  <c r="L307" i="2" s="1"/>
  <c r="I308" i="2"/>
  <c r="K308" i="2" s="1"/>
  <c r="L308" i="2" s="1"/>
  <c r="I309" i="2"/>
  <c r="I310" i="2"/>
  <c r="K310" i="2" s="1"/>
  <c r="L310" i="2" s="1"/>
  <c r="I311" i="2"/>
  <c r="K311" i="2" s="1"/>
  <c r="L311" i="2" s="1"/>
  <c r="I312" i="2"/>
  <c r="K312" i="2" s="1"/>
  <c r="L312" i="2" s="1"/>
  <c r="I313" i="2"/>
  <c r="I314" i="2"/>
  <c r="I315" i="2"/>
  <c r="K315" i="2" s="1"/>
  <c r="L315" i="2" s="1"/>
  <c r="I316" i="2"/>
  <c r="K316" i="2" s="1"/>
  <c r="L316" i="2" s="1"/>
  <c r="I317" i="2"/>
  <c r="I318" i="2"/>
  <c r="I319" i="2"/>
  <c r="K319" i="2" s="1"/>
  <c r="L319" i="2" s="1"/>
  <c r="I320" i="2"/>
  <c r="K320" i="2" s="1"/>
  <c r="L320" i="2" s="1"/>
  <c r="I321" i="2"/>
  <c r="I322" i="2"/>
  <c r="I323" i="2"/>
  <c r="K323" i="2" s="1"/>
  <c r="L323" i="2" s="1"/>
  <c r="I324" i="2"/>
  <c r="K324" i="2" s="1"/>
  <c r="L324" i="2" s="1"/>
  <c r="I325" i="2"/>
  <c r="I326" i="2"/>
  <c r="I327" i="2"/>
  <c r="K327" i="2" s="1"/>
  <c r="L327" i="2" s="1"/>
  <c r="I328" i="2"/>
  <c r="K328" i="2" s="1"/>
  <c r="L328" i="2" s="1"/>
  <c r="I329" i="2"/>
  <c r="I330" i="2"/>
  <c r="I331" i="2"/>
  <c r="K331" i="2" s="1"/>
  <c r="L331" i="2" s="1"/>
  <c r="I332" i="2"/>
  <c r="K332" i="2" s="1"/>
  <c r="L332" i="2" s="1"/>
  <c r="I333" i="2"/>
  <c r="I334" i="2"/>
  <c r="K334" i="2" s="1"/>
  <c r="L334" i="2" s="1"/>
  <c r="I335" i="2"/>
  <c r="K335" i="2" s="1"/>
  <c r="L335" i="2" s="1"/>
  <c r="I336" i="2"/>
  <c r="K336" i="2" s="1"/>
  <c r="L336" i="2" s="1"/>
  <c r="I337" i="2"/>
  <c r="I338" i="2"/>
  <c r="K338" i="2" s="1"/>
  <c r="L338" i="2" s="1"/>
  <c r="I339" i="2"/>
  <c r="K339" i="2" s="1"/>
  <c r="L339" i="2" s="1"/>
  <c r="I340" i="2"/>
  <c r="K340" i="2" s="1"/>
  <c r="L340" i="2" s="1"/>
  <c r="I341" i="2"/>
  <c r="I342" i="2"/>
  <c r="K342" i="2" s="1"/>
  <c r="L342" i="2" s="1"/>
  <c r="I343" i="2"/>
  <c r="K343" i="2" s="1"/>
  <c r="L343" i="2" s="1"/>
  <c r="I344" i="2"/>
  <c r="K344" i="2" s="1"/>
  <c r="L344" i="2" s="1"/>
  <c r="I345" i="2"/>
  <c r="I346" i="2"/>
  <c r="K346" i="2" s="1"/>
  <c r="L346" i="2" s="1"/>
  <c r="I347" i="2"/>
  <c r="K347" i="2" s="1"/>
  <c r="L347" i="2" s="1"/>
  <c r="I348" i="2"/>
  <c r="K348" i="2" s="1"/>
  <c r="L348" i="2" s="1"/>
  <c r="I349" i="2"/>
  <c r="I350" i="2"/>
  <c r="K350" i="2" s="1"/>
  <c r="L350" i="2" s="1"/>
  <c r="I351" i="2"/>
  <c r="K351" i="2" s="1"/>
  <c r="L351" i="2" s="1"/>
  <c r="I352" i="2"/>
  <c r="K352" i="2" s="1"/>
  <c r="L352" i="2" s="1"/>
  <c r="I353" i="2"/>
  <c r="I354" i="2"/>
  <c r="K354" i="2" s="1"/>
  <c r="L354" i="2" s="1"/>
  <c r="I355" i="2"/>
  <c r="K355" i="2" s="1"/>
  <c r="L355" i="2" s="1"/>
  <c r="I356" i="2"/>
  <c r="K356" i="2" s="1"/>
  <c r="L356" i="2" s="1"/>
  <c r="I357" i="2"/>
  <c r="I358" i="2"/>
  <c r="I359" i="2"/>
  <c r="K359" i="2" s="1"/>
  <c r="L359" i="2" s="1"/>
  <c r="I360" i="2"/>
  <c r="K360" i="2" s="1"/>
  <c r="L360" i="2" s="1"/>
  <c r="I361" i="2"/>
  <c r="I362" i="2"/>
  <c r="K362" i="2" s="1"/>
  <c r="L362" i="2" s="1"/>
  <c r="I363" i="2"/>
  <c r="K363" i="2" s="1"/>
  <c r="L363" i="2" s="1"/>
  <c r="I364" i="2"/>
  <c r="K364" i="2" s="1"/>
  <c r="L364" i="2" s="1"/>
  <c r="I365" i="2"/>
  <c r="I366" i="2"/>
  <c r="I367" i="2"/>
  <c r="K367" i="2" s="1"/>
  <c r="L367" i="2" s="1"/>
  <c r="I368" i="2"/>
  <c r="K368" i="2" s="1"/>
  <c r="L368" i="2" s="1"/>
  <c r="I369" i="2"/>
  <c r="I370" i="2"/>
  <c r="K370" i="2" s="1"/>
  <c r="L370" i="2" s="1"/>
  <c r="I371" i="2"/>
  <c r="K371" i="2" s="1"/>
  <c r="L371" i="2" s="1"/>
  <c r="I372" i="2"/>
  <c r="K372" i="2" s="1"/>
  <c r="L372" i="2" s="1"/>
  <c r="I373" i="2"/>
  <c r="I374" i="2"/>
  <c r="K374" i="2" s="1"/>
  <c r="L374" i="2" s="1"/>
  <c r="I375" i="2"/>
  <c r="K375" i="2" s="1"/>
  <c r="L375" i="2" s="1"/>
  <c r="I376" i="2"/>
  <c r="K376" i="2" s="1"/>
  <c r="L376" i="2" s="1"/>
  <c r="I377" i="2"/>
  <c r="I378" i="2"/>
  <c r="K378" i="2" s="1"/>
  <c r="L378" i="2" s="1"/>
  <c r="I379" i="2"/>
  <c r="K379" i="2" s="1"/>
  <c r="L379" i="2" s="1"/>
  <c r="I380" i="2"/>
  <c r="K380" i="2" s="1"/>
  <c r="L380" i="2" s="1"/>
  <c r="I381" i="2"/>
  <c r="I382" i="2"/>
  <c r="K382" i="2" s="1"/>
  <c r="L382" i="2" s="1"/>
  <c r="I383" i="2"/>
  <c r="K383" i="2" s="1"/>
  <c r="L383" i="2" s="1"/>
  <c r="I384" i="2"/>
  <c r="K384" i="2" s="1"/>
  <c r="L384" i="2" s="1"/>
  <c r="I385" i="2"/>
  <c r="I386" i="2"/>
  <c r="I387" i="2"/>
  <c r="K387" i="2" s="1"/>
  <c r="L387" i="2" s="1"/>
  <c r="I388" i="2"/>
  <c r="K388" i="2" s="1"/>
  <c r="L388" i="2" s="1"/>
  <c r="I389" i="2"/>
  <c r="I390" i="2"/>
  <c r="K390" i="2" s="1"/>
  <c r="L390" i="2" s="1"/>
  <c r="I391" i="2"/>
  <c r="K391" i="2" s="1"/>
  <c r="L391" i="2" s="1"/>
  <c r="I392" i="2"/>
  <c r="K392" i="2" s="1"/>
  <c r="L392" i="2" s="1"/>
  <c r="I393" i="2"/>
  <c r="I394" i="2"/>
  <c r="I395" i="2"/>
  <c r="K395" i="2" s="1"/>
  <c r="L395" i="2" s="1"/>
  <c r="I396" i="2"/>
  <c r="K396" i="2" s="1"/>
  <c r="L396" i="2" s="1"/>
  <c r="I397" i="2"/>
  <c r="I398" i="2"/>
  <c r="K398" i="2" s="1"/>
  <c r="L398" i="2" s="1"/>
  <c r="I399" i="2"/>
  <c r="K399" i="2" s="1"/>
  <c r="L399" i="2" s="1"/>
  <c r="I400" i="2"/>
  <c r="K400" i="2" s="1"/>
  <c r="L400" i="2" s="1"/>
  <c r="I401" i="2"/>
  <c r="I402" i="2"/>
  <c r="K402" i="2" s="1"/>
  <c r="L402" i="2" s="1"/>
  <c r="I403" i="2"/>
  <c r="K403" i="2" s="1"/>
  <c r="L403" i="2" s="1"/>
  <c r="I404" i="2"/>
  <c r="K404" i="2" s="1"/>
  <c r="L404" i="2" s="1"/>
  <c r="I405" i="2"/>
  <c r="I406" i="2"/>
  <c r="K406" i="2" s="1"/>
  <c r="L406" i="2" s="1"/>
  <c r="I407" i="2"/>
  <c r="K407" i="2" s="1"/>
  <c r="L407" i="2" s="1"/>
  <c r="I408" i="2"/>
  <c r="K408" i="2" s="1"/>
  <c r="L408" i="2" s="1"/>
  <c r="I409" i="2"/>
  <c r="I410" i="2"/>
  <c r="K410" i="2" s="1"/>
  <c r="L410" i="2" s="1"/>
  <c r="I411" i="2"/>
  <c r="K411" i="2" s="1"/>
  <c r="L411" i="2" s="1"/>
  <c r="I412" i="2"/>
  <c r="K412" i="2" s="1"/>
  <c r="L412" i="2" s="1"/>
  <c r="I413" i="2"/>
  <c r="I414" i="2"/>
  <c r="K414" i="2" s="1"/>
  <c r="L414" i="2" s="1"/>
  <c r="I415" i="2"/>
  <c r="K415" i="2" s="1"/>
  <c r="L415" i="2" s="1"/>
  <c r="I416" i="2"/>
  <c r="K416" i="2" s="1"/>
  <c r="L416" i="2" s="1"/>
  <c r="I417" i="2"/>
  <c r="I418" i="2"/>
  <c r="K418" i="2" s="1"/>
  <c r="L418" i="2" s="1"/>
  <c r="I419" i="2"/>
  <c r="K419" i="2" s="1"/>
  <c r="L419" i="2" s="1"/>
  <c r="I420" i="2"/>
  <c r="K420" i="2" s="1"/>
  <c r="L420" i="2" s="1"/>
  <c r="I421" i="2"/>
  <c r="I422" i="2"/>
  <c r="I423" i="2"/>
  <c r="K423" i="2" s="1"/>
  <c r="L423" i="2" s="1"/>
  <c r="I424" i="2"/>
  <c r="K424" i="2" s="1"/>
  <c r="L424" i="2" s="1"/>
  <c r="I425" i="2"/>
  <c r="I426" i="2"/>
  <c r="K426" i="2" s="1"/>
  <c r="L426" i="2" s="1"/>
  <c r="I427" i="2"/>
  <c r="K427" i="2" s="1"/>
  <c r="L427" i="2" s="1"/>
  <c r="I428" i="2"/>
  <c r="K428" i="2" s="1"/>
  <c r="L428" i="2" s="1"/>
  <c r="I429" i="2"/>
  <c r="I430" i="2"/>
  <c r="I431" i="2"/>
  <c r="K431" i="2" s="1"/>
  <c r="L431" i="2" s="1"/>
  <c r="I432" i="2"/>
  <c r="K432" i="2" s="1"/>
  <c r="L432" i="2" s="1"/>
  <c r="I433" i="2"/>
  <c r="I434" i="2"/>
  <c r="K434" i="2" s="1"/>
  <c r="L434" i="2" s="1"/>
  <c r="I435" i="2"/>
  <c r="K435" i="2" s="1"/>
  <c r="L435" i="2" s="1"/>
  <c r="I436" i="2"/>
  <c r="K436" i="2" s="1"/>
  <c r="L436" i="2" s="1"/>
  <c r="I437" i="2"/>
  <c r="I438" i="2"/>
  <c r="K438" i="2" s="1"/>
  <c r="L438" i="2" s="1"/>
  <c r="I439" i="2"/>
  <c r="K439" i="2" s="1"/>
  <c r="L439" i="2" s="1"/>
  <c r="I440" i="2"/>
  <c r="K440" i="2" s="1"/>
  <c r="L440" i="2" s="1"/>
  <c r="I441" i="2"/>
  <c r="I442" i="2"/>
  <c r="K442" i="2" s="1"/>
  <c r="L442" i="2" s="1"/>
  <c r="I443" i="2"/>
  <c r="K443" i="2" s="1"/>
  <c r="L443" i="2" s="1"/>
  <c r="I444" i="2"/>
  <c r="K444" i="2" s="1"/>
  <c r="L444" i="2" s="1"/>
  <c r="I445" i="2"/>
  <c r="I446" i="2"/>
  <c r="K446" i="2" s="1"/>
  <c r="L446" i="2" s="1"/>
  <c r="I447" i="2"/>
  <c r="K447" i="2" s="1"/>
  <c r="L447" i="2" s="1"/>
  <c r="I448" i="2"/>
  <c r="K448" i="2" s="1"/>
  <c r="L448" i="2" s="1"/>
  <c r="I449" i="2"/>
  <c r="I450" i="2"/>
  <c r="I451" i="2"/>
  <c r="K451" i="2" s="1"/>
  <c r="L451" i="2" s="1"/>
  <c r="I452" i="2"/>
  <c r="K452" i="2" s="1"/>
  <c r="L452" i="2" s="1"/>
  <c r="I453" i="2"/>
  <c r="I454" i="2"/>
  <c r="K454" i="2" s="1"/>
  <c r="L454" i="2" s="1"/>
  <c r="I455" i="2"/>
  <c r="K455" i="2" s="1"/>
  <c r="L455" i="2" s="1"/>
  <c r="I456" i="2"/>
  <c r="K456" i="2" s="1"/>
  <c r="L456" i="2" s="1"/>
  <c r="I457" i="2"/>
  <c r="I458" i="2"/>
  <c r="K458" i="2" s="1"/>
  <c r="L458" i="2" s="1"/>
  <c r="I459" i="2"/>
  <c r="I460" i="2"/>
  <c r="K460" i="2" s="1"/>
  <c r="L460" i="2" s="1"/>
  <c r="I461" i="2"/>
  <c r="I462" i="2"/>
  <c r="K462" i="2" s="1"/>
  <c r="L462" i="2" s="1"/>
  <c r="I463" i="2"/>
  <c r="K463" i="2" s="1"/>
  <c r="L463" i="2" s="1"/>
  <c r="I464" i="2"/>
  <c r="K464" i="2" s="1"/>
  <c r="L464" i="2" s="1"/>
  <c r="I465" i="2"/>
  <c r="I466" i="2"/>
  <c r="K466" i="2" s="1"/>
  <c r="L466" i="2" s="1"/>
  <c r="I467" i="2"/>
  <c r="K467" i="2" s="1"/>
  <c r="L467" i="2" s="1"/>
  <c r="I468" i="2"/>
  <c r="K468" i="2" s="1"/>
  <c r="L468" i="2" s="1"/>
  <c r="I469" i="2"/>
  <c r="I470" i="2"/>
  <c r="K470" i="2" s="1"/>
  <c r="L470" i="2" s="1"/>
  <c r="I471" i="2"/>
  <c r="K471" i="2" s="1"/>
  <c r="L471" i="2" s="1"/>
  <c r="I472" i="2"/>
  <c r="K472" i="2" s="1"/>
  <c r="L472" i="2" s="1"/>
  <c r="I473" i="2"/>
  <c r="I474" i="2"/>
  <c r="K474" i="2" s="1"/>
  <c r="L474" i="2" s="1"/>
  <c r="I475" i="2"/>
  <c r="K475" i="2" s="1"/>
  <c r="L475" i="2" s="1"/>
  <c r="I476" i="2"/>
  <c r="K476" i="2" s="1"/>
  <c r="L476" i="2" s="1"/>
  <c r="I477" i="2"/>
  <c r="I478" i="2"/>
  <c r="K478" i="2" s="1"/>
  <c r="L478" i="2" s="1"/>
  <c r="I479" i="2"/>
  <c r="K479" i="2" s="1"/>
  <c r="L479" i="2" s="1"/>
  <c r="I480" i="2"/>
  <c r="K480" i="2" s="1"/>
  <c r="L480" i="2" s="1"/>
  <c r="I481" i="2"/>
  <c r="I482" i="2"/>
  <c r="K482" i="2" s="1"/>
  <c r="L482" i="2" s="1"/>
  <c r="I483" i="2"/>
  <c r="K483" i="2" s="1"/>
  <c r="L483" i="2" s="1"/>
  <c r="I484" i="2"/>
  <c r="K484" i="2" s="1"/>
  <c r="L484" i="2" s="1"/>
  <c r="I485" i="2"/>
  <c r="I486" i="2"/>
  <c r="K486" i="2" s="1"/>
  <c r="L486" i="2" s="1"/>
  <c r="I487" i="2"/>
  <c r="K487" i="2" s="1"/>
  <c r="L487" i="2" s="1"/>
  <c r="I488" i="2"/>
  <c r="K488" i="2" s="1"/>
  <c r="L488" i="2" s="1"/>
  <c r="I489" i="2"/>
  <c r="I490" i="2"/>
  <c r="K490" i="2" s="1"/>
  <c r="L490" i="2" s="1"/>
  <c r="I491" i="2"/>
  <c r="K491" i="2" s="1"/>
  <c r="L491" i="2" s="1"/>
  <c r="I492" i="2"/>
  <c r="K492" i="2" s="1"/>
  <c r="L492" i="2" s="1"/>
  <c r="I493" i="2"/>
  <c r="I494" i="2"/>
  <c r="K494" i="2" s="1"/>
  <c r="L494" i="2" s="1"/>
  <c r="I495" i="2"/>
  <c r="K495" i="2" s="1"/>
  <c r="L495" i="2" s="1"/>
  <c r="I496" i="2"/>
  <c r="K496" i="2" s="1"/>
  <c r="L496" i="2" s="1"/>
  <c r="I497" i="2"/>
  <c r="I498" i="2"/>
  <c r="K498" i="2" s="1"/>
  <c r="L498" i="2" s="1"/>
  <c r="I499" i="2"/>
  <c r="K499" i="2" s="1"/>
  <c r="L499" i="2" s="1"/>
  <c r="I500" i="2"/>
  <c r="K500" i="2" s="1"/>
  <c r="L500" i="2" s="1"/>
  <c r="I501" i="2"/>
  <c r="I502" i="2"/>
  <c r="K502" i="2" s="1"/>
  <c r="L502" i="2" s="1"/>
  <c r="I503" i="2"/>
  <c r="K503" i="2" s="1"/>
  <c r="L503" i="2" s="1"/>
  <c r="I504" i="2"/>
  <c r="K504" i="2" s="1"/>
  <c r="L504" i="2" s="1"/>
  <c r="I505" i="2"/>
  <c r="I506" i="2"/>
  <c r="K506" i="2" s="1"/>
  <c r="L506" i="2" s="1"/>
  <c r="I507" i="2"/>
  <c r="K507" i="2" s="1"/>
  <c r="L507" i="2" s="1"/>
  <c r="I508" i="2"/>
  <c r="K508" i="2" s="1"/>
  <c r="L508" i="2" s="1"/>
  <c r="I509" i="2"/>
  <c r="I510" i="2"/>
  <c r="K510" i="2" s="1"/>
  <c r="L510" i="2" s="1"/>
  <c r="I511" i="2"/>
  <c r="K511" i="2" s="1"/>
  <c r="L511" i="2" s="1"/>
  <c r="I512" i="2"/>
  <c r="K512" i="2" s="1"/>
  <c r="L512" i="2" s="1"/>
  <c r="I513" i="2"/>
  <c r="I514" i="2"/>
  <c r="K514" i="2" s="1"/>
  <c r="L514" i="2" s="1"/>
  <c r="I515" i="2"/>
  <c r="K515" i="2" s="1"/>
  <c r="L515" i="2" s="1"/>
  <c r="I516" i="2"/>
  <c r="K516" i="2" s="1"/>
  <c r="L516" i="2" s="1"/>
  <c r="I517" i="2"/>
  <c r="I518" i="2"/>
  <c r="I519" i="2"/>
  <c r="K519" i="2" s="1"/>
  <c r="L519" i="2" s="1"/>
  <c r="I520" i="2"/>
  <c r="K520" i="2" s="1"/>
  <c r="L520" i="2" s="1"/>
  <c r="I521" i="2"/>
  <c r="I522" i="2"/>
  <c r="K522" i="2" s="1"/>
  <c r="L522" i="2" s="1"/>
  <c r="I523" i="2"/>
  <c r="K523" i="2" s="1"/>
  <c r="L523" i="2" s="1"/>
  <c r="I524" i="2"/>
  <c r="K524" i="2" s="1"/>
  <c r="L524" i="2" s="1"/>
  <c r="I525" i="2"/>
  <c r="I526" i="2"/>
  <c r="I527" i="2"/>
  <c r="K527" i="2" s="1"/>
  <c r="L527" i="2" s="1"/>
  <c r="I528" i="2"/>
  <c r="K528" i="2" s="1"/>
  <c r="L528" i="2" s="1"/>
  <c r="I529" i="2"/>
  <c r="I530" i="2"/>
  <c r="K530" i="2" s="1"/>
  <c r="L530" i="2" s="1"/>
  <c r="I531" i="2"/>
  <c r="K531" i="2" s="1"/>
  <c r="L531" i="2" s="1"/>
  <c r="I532" i="2"/>
  <c r="K532" i="2" s="1"/>
  <c r="L532" i="2" s="1"/>
  <c r="I533" i="2"/>
  <c r="I534" i="2"/>
  <c r="I535" i="2"/>
  <c r="K535" i="2" s="1"/>
  <c r="L535" i="2" s="1"/>
  <c r="I536" i="2"/>
  <c r="K536" i="2" s="1"/>
  <c r="L536" i="2" s="1"/>
  <c r="I537" i="2"/>
  <c r="I538" i="2"/>
  <c r="K538" i="2" s="1"/>
  <c r="L538" i="2" s="1"/>
  <c r="I539" i="2"/>
  <c r="K539" i="2" s="1"/>
  <c r="L539" i="2" s="1"/>
  <c r="I540" i="2"/>
  <c r="K540" i="2" s="1"/>
  <c r="L540" i="2" s="1"/>
  <c r="I541" i="2"/>
  <c r="I542" i="2"/>
  <c r="I543" i="2"/>
  <c r="K543" i="2" s="1"/>
  <c r="L543" i="2" s="1"/>
  <c r="I544" i="2"/>
  <c r="K544" i="2" s="1"/>
  <c r="L544" i="2" s="1"/>
  <c r="I545" i="2"/>
  <c r="I546" i="2"/>
  <c r="K546" i="2" s="1"/>
  <c r="L546" i="2" s="1"/>
  <c r="I547" i="2"/>
  <c r="K547" i="2" s="1"/>
  <c r="L547" i="2" s="1"/>
  <c r="I548" i="2"/>
  <c r="K548" i="2" s="1"/>
  <c r="L548" i="2" s="1"/>
  <c r="I549" i="2"/>
  <c r="I550" i="2"/>
  <c r="I551" i="2"/>
  <c r="K551" i="2" s="1"/>
  <c r="L551" i="2" s="1"/>
  <c r="I552" i="2"/>
  <c r="K552" i="2" s="1"/>
  <c r="L552" i="2" s="1"/>
  <c r="I553" i="2"/>
  <c r="I554" i="2"/>
  <c r="K554" i="2" s="1"/>
  <c r="L554" i="2" s="1"/>
  <c r="I555" i="2"/>
  <c r="K555" i="2" s="1"/>
  <c r="L555" i="2" s="1"/>
  <c r="I556" i="2"/>
  <c r="K556" i="2" s="1"/>
  <c r="L556" i="2" s="1"/>
  <c r="I557" i="2"/>
  <c r="I558" i="2"/>
  <c r="I559" i="2"/>
  <c r="K559" i="2" s="1"/>
  <c r="L559" i="2" s="1"/>
  <c r="I560" i="2"/>
  <c r="K560" i="2" s="1"/>
  <c r="L560" i="2" s="1"/>
  <c r="I561" i="2"/>
  <c r="I562" i="2"/>
  <c r="K562" i="2" s="1"/>
  <c r="L562" i="2" s="1"/>
  <c r="I563" i="2"/>
  <c r="K563" i="2" s="1"/>
  <c r="L563" i="2" s="1"/>
  <c r="I564" i="2"/>
  <c r="K564" i="2" s="1"/>
  <c r="L564" i="2" s="1"/>
  <c r="I565" i="2"/>
  <c r="I566" i="2"/>
  <c r="I567" i="2"/>
  <c r="K567" i="2" s="1"/>
  <c r="L567" i="2" s="1"/>
  <c r="I568" i="2"/>
  <c r="K568" i="2" s="1"/>
  <c r="L568" i="2" s="1"/>
  <c r="I569" i="2"/>
  <c r="I570" i="2"/>
  <c r="K570" i="2" s="1"/>
  <c r="L570" i="2" s="1"/>
  <c r="I571" i="2"/>
  <c r="K571" i="2" s="1"/>
  <c r="L571" i="2" s="1"/>
  <c r="I572" i="2"/>
  <c r="K572" i="2" s="1"/>
  <c r="L572" i="2" s="1"/>
  <c r="I573" i="2"/>
  <c r="I574" i="2"/>
  <c r="I575" i="2"/>
  <c r="K575" i="2" s="1"/>
  <c r="L575" i="2" s="1"/>
  <c r="I576" i="2"/>
  <c r="K576" i="2" s="1"/>
  <c r="L576" i="2" s="1"/>
  <c r="I577" i="2"/>
  <c r="I578" i="2"/>
  <c r="K578" i="2" s="1"/>
  <c r="L578" i="2" s="1"/>
  <c r="I579" i="2"/>
  <c r="K579" i="2" s="1"/>
  <c r="L579" i="2" s="1"/>
  <c r="I580" i="2"/>
  <c r="K580" i="2" s="1"/>
  <c r="L580" i="2" s="1"/>
  <c r="I581" i="2"/>
  <c r="I582" i="2"/>
  <c r="I583" i="2"/>
  <c r="K583" i="2" s="1"/>
  <c r="L583" i="2" s="1"/>
  <c r="I584" i="2"/>
  <c r="K584" i="2" s="1"/>
  <c r="L584" i="2" s="1"/>
  <c r="I585" i="2"/>
  <c r="I586" i="2"/>
  <c r="K586" i="2" s="1"/>
  <c r="L586" i="2" s="1"/>
  <c r="I587" i="2"/>
  <c r="K587" i="2" s="1"/>
  <c r="L587" i="2" s="1"/>
  <c r="I588" i="2"/>
  <c r="K588" i="2" s="1"/>
  <c r="L588" i="2" s="1"/>
  <c r="I589" i="2"/>
  <c r="I590" i="2"/>
  <c r="I591" i="2"/>
  <c r="K591" i="2" s="1"/>
  <c r="L591" i="2" s="1"/>
  <c r="I592" i="2"/>
  <c r="K592" i="2" s="1"/>
  <c r="L592" i="2" s="1"/>
  <c r="I593" i="2"/>
  <c r="I594" i="2"/>
  <c r="K594" i="2" s="1"/>
  <c r="L594" i="2" s="1"/>
  <c r="I595" i="2"/>
  <c r="K595" i="2" s="1"/>
  <c r="L595" i="2" s="1"/>
  <c r="I596" i="2"/>
  <c r="K596" i="2" s="1"/>
  <c r="L596" i="2" s="1"/>
  <c r="I597" i="2"/>
  <c r="I598" i="2"/>
  <c r="I599" i="2"/>
  <c r="K599" i="2" s="1"/>
  <c r="L599" i="2" s="1"/>
  <c r="I600" i="2"/>
  <c r="K600" i="2" s="1"/>
  <c r="L600" i="2" s="1"/>
  <c r="I601" i="2"/>
  <c r="I602" i="2"/>
  <c r="K602" i="2" s="1"/>
  <c r="L602" i="2" s="1"/>
  <c r="I603" i="2"/>
  <c r="K603" i="2" s="1"/>
  <c r="L603" i="2" s="1"/>
  <c r="I604" i="2"/>
  <c r="K604" i="2" s="1"/>
  <c r="L604" i="2" s="1"/>
  <c r="I605" i="2"/>
  <c r="I606" i="2"/>
  <c r="I607" i="2"/>
  <c r="K607" i="2" s="1"/>
  <c r="L607" i="2" s="1"/>
  <c r="I608" i="2"/>
  <c r="K608" i="2" s="1"/>
  <c r="L608" i="2" s="1"/>
  <c r="I609" i="2"/>
  <c r="I610" i="2"/>
  <c r="K610" i="2" s="1"/>
  <c r="L610" i="2" s="1"/>
  <c r="I611" i="2"/>
  <c r="K611" i="2" s="1"/>
  <c r="L611" i="2" s="1"/>
  <c r="I612" i="2"/>
  <c r="K612" i="2" s="1"/>
  <c r="L612" i="2" s="1"/>
  <c r="I613" i="2"/>
  <c r="I614" i="2"/>
  <c r="I615" i="2"/>
  <c r="K615" i="2" s="1"/>
  <c r="L615" i="2" s="1"/>
  <c r="I616" i="2"/>
  <c r="K616" i="2" s="1"/>
  <c r="L616" i="2" s="1"/>
  <c r="I617" i="2"/>
  <c r="I618" i="2"/>
  <c r="K618" i="2" s="1"/>
  <c r="L618" i="2" s="1"/>
  <c r="I619" i="2"/>
  <c r="K619" i="2" s="1"/>
  <c r="L619" i="2" s="1"/>
  <c r="I620" i="2"/>
  <c r="K620" i="2" s="1"/>
  <c r="L620" i="2" s="1"/>
  <c r="I621" i="2"/>
  <c r="I622" i="2"/>
  <c r="I623" i="2"/>
  <c r="K623" i="2" s="1"/>
  <c r="L623" i="2" s="1"/>
  <c r="I624" i="2"/>
  <c r="K624" i="2" s="1"/>
  <c r="L624" i="2" s="1"/>
  <c r="I625" i="2"/>
  <c r="I626" i="2"/>
  <c r="K626" i="2" s="1"/>
  <c r="L626" i="2" s="1"/>
  <c r="I627" i="2"/>
  <c r="K627" i="2" s="1"/>
  <c r="L627" i="2" s="1"/>
  <c r="I628" i="2"/>
  <c r="K628" i="2" s="1"/>
  <c r="L628" i="2" s="1"/>
  <c r="I629" i="2"/>
  <c r="I630" i="2"/>
  <c r="I631" i="2"/>
  <c r="K631" i="2" s="1"/>
  <c r="L631" i="2" s="1"/>
  <c r="I632" i="2"/>
  <c r="K632" i="2" s="1"/>
  <c r="L632" i="2" s="1"/>
  <c r="I633" i="2"/>
  <c r="I634" i="2"/>
  <c r="K634" i="2" s="1"/>
  <c r="L634" i="2" s="1"/>
  <c r="I635" i="2"/>
  <c r="K635" i="2" s="1"/>
  <c r="L635" i="2" s="1"/>
  <c r="I636" i="2"/>
  <c r="K636" i="2" s="1"/>
  <c r="L636" i="2" s="1"/>
  <c r="I637" i="2"/>
  <c r="I638" i="2"/>
  <c r="I639" i="2"/>
  <c r="K639" i="2" s="1"/>
  <c r="L639" i="2" s="1"/>
  <c r="I640" i="2"/>
  <c r="K640" i="2" s="1"/>
  <c r="L640" i="2" s="1"/>
  <c r="I641" i="2"/>
  <c r="I642" i="2"/>
  <c r="K642" i="2" s="1"/>
  <c r="L642" i="2" s="1"/>
  <c r="I643" i="2"/>
  <c r="K643" i="2" s="1"/>
  <c r="L643" i="2" s="1"/>
  <c r="I644" i="2"/>
  <c r="K644" i="2" s="1"/>
  <c r="L644" i="2" s="1"/>
  <c r="I645" i="2"/>
  <c r="I646" i="2"/>
  <c r="I647" i="2"/>
  <c r="K647" i="2" s="1"/>
  <c r="L647" i="2" s="1"/>
  <c r="I648" i="2"/>
  <c r="K648" i="2" s="1"/>
  <c r="L648" i="2" s="1"/>
  <c r="I649" i="2"/>
  <c r="I650" i="2"/>
  <c r="K650" i="2" s="1"/>
  <c r="L650" i="2" s="1"/>
  <c r="I651" i="2"/>
  <c r="K651" i="2" s="1"/>
  <c r="L651" i="2" s="1"/>
  <c r="I652" i="2"/>
  <c r="K652" i="2" s="1"/>
  <c r="L652" i="2" s="1"/>
  <c r="I653" i="2"/>
  <c r="I654" i="2"/>
  <c r="I655" i="2"/>
  <c r="I656" i="2"/>
  <c r="K656" i="2" s="1"/>
  <c r="L656" i="2" s="1"/>
  <c r="I657" i="2"/>
  <c r="I658" i="2"/>
  <c r="I659" i="2"/>
  <c r="K659" i="2" s="1"/>
  <c r="L659" i="2" s="1"/>
  <c r="I660" i="2"/>
  <c r="K660" i="2" s="1"/>
  <c r="L660" i="2" s="1"/>
  <c r="I661" i="2"/>
  <c r="I662" i="2"/>
  <c r="I663" i="2"/>
  <c r="K663" i="2" s="1"/>
  <c r="L663" i="2" s="1"/>
  <c r="I664" i="2"/>
  <c r="K664" i="2" s="1"/>
  <c r="L664" i="2" s="1"/>
  <c r="I665" i="2"/>
  <c r="I666" i="2"/>
  <c r="I667" i="2"/>
  <c r="I668" i="2"/>
  <c r="K668" i="2" s="1"/>
  <c r="L668" i="2" s="1"/>
  <c r="I669" i="2"/>
  <c r="I670" i="2"/>
  <c r="K670" i="2" s="1"/>
  <c r="L670" i="2" s="1"/>
  <c r="I671" i="2"/>
  <c r="K671" i="2" s="1"/>
  <c r="L671" i="2" s="1"/>
  <c r="I672" i="2"/>
  <c r="K672" i="2" s="1"/>
  <c r="L672" i="2" s="1"/>
  <c r="I673" i="2"/>
  <c r="I674" i="2"/>
  <c r="I675" i="2"/>
  <c r="K675" i="2" s="1"/>
  <c r="L675" i="2" s="1"/>
  <c r="I676" i="2"/>
  <c r="K676" i="2" s="1"/>
  <c r="L676" i="2" s="1"/>
  <c r="I677" i="2"/>
  <c r="I678" i="2"/>
  <c r="K678" i="2" s="1"/>
  <c r="L678" i="2" s="1"/>
  <c r="I679" i="2"/>
  <c r="K679" i="2" s="1"/>
  <c r="L679" i="2" s="1"/>
  <c r="I680" i="2"/>
  <c r="K680" i="2" s="1"/>
  <c r="L680" i="2" s="1"/>
  <c r="I681" i="2"/>
  <c r="I682" i="2"/>
  <c r="I683" i="2"/>
  <c r="K683" i="2" s="1"/>
  <c r="L683" i="2" s="1"/>
  <c r="I684" i="2"/>
  <c r="K684" i="2" s="1"/>
  <c r="L684" i="2" s="1"/>
  <c r="I685" i="2"/>
  <c r="I686" i="2"/>
  <c r="K686" i="2" s="1"/>
  <c r="L686" i="2" s="1"/>
  <c r="I687" i="2"/>
  <c r="K687" i="2" s="1"/>
  <c r="L687" i="2" s="1"/>
  <c r="I688" i="2"/>
  <c r="K688" i="2" s="1"/>
  <c r="L688" i="2" s="1"/>
  <c r="I689" i="2"/>
  <c r="I690" i="2"/>
  <c r="I691" i="2"/>
  <c r="K691" i="2" s="1"/>
  <c r="L691" i="2" s="1"/>
  <c r="I692" i="2"/>
  <c r="K692" i="2" s="1"/>
  <c r="L692" i="2" s="1"/>
  <c r="I693" i="2"/>
  <c r="I694" i="2"/>
  <c r="K694" i="2" s="1"/>
  <c r="L694" i="2" s="1"/>
  <c r="I695" i="2"/>
  <c r="K695" i="2" s="1"/>
  <c r="L695" i="2" s="1"/>
  <c r="I696" i="2"/>
  <c r="K696" i="2" s="1"/>
  <c r="L696" i="2" s="1"/>
  <c r="I697" i="2"/>
  <c r="I698" i="2"/>
  <c r="I699" i="2"/>
  <c r="K699" i="2" s="1"/>
  <c r="L699" i="2" s="1"/>
  <c r="I700" i="2"/>
  <c r="K700" i="2" s="1"/>
  <c r="L700" i="2" s="1"/>
  <c r="I701" i="2"/>
  <c r="I702" i="2"/>
  <c r="K702" i="2" s="1"/>
  <c r="L702" i="2" s="1"/>
  <c r="I703" i="2"/>
  <c r="K703" i="2" s="1"/>
  <c r="L703" i="2" s="1"/>
  <c r="I704" i="2"/>
  <c r="K704" i="2" s="1"/>
  <c r="L704" i="2" s="1"/>
  <c r="I705" i="2"/>
  <c r="I706" i="2"/>
  <c r="I707" i="2"/>
  <c r="K707" i="2" s="1"/>
  <c r="L707" i="2" s="1"/>
  <c r="I708" i="2"/>
  <c r="K708" i="2" s="1"/>
  <c r="L708" i="2" s="1"/>
  <c r="I709" i="2"/>
  <c r="I710" i="2"/>
  <c r="K710" i="2" s="1"/>
  <c r="L710" i="2" s="1"/>
  <c r="I711" i="2"/>
  <c r="K711" i="2" s="1"/>
  <c r="L711" i="2" s="1"/>
  <c r="I712" i="2"/>
  <c r="K712" i="2" s="1"/>
  <c r="L712" i="2" s="1"/>
  <c r="I713" i="2"/>
  <c r="I714" i="2"/>
  <c r="I715" i="2"/>
  <c r="K715" i="2" s="1"/>
  <c r="L715" i="2" s="1"/>
  <c r="I716" i="2"/>
  <c r="K716" i="2" s="1"/>
  <c r="L716" i="2" s="1"/>
  <c r="I717" i="2"/>
  <c r="I718" i="2"/>
  <c r="K718" i="2" s="1"/>
  <c r="L718" i="2" s="1"/>
  <c r="I719" i="2"/>
  <c r="K719" i="2" s="1"/>
  <c r="L719" i="2" s="1"/>
  <c r="I720" i="2"/>
  <c r="K720" i="2" s="1"/>
  <c r="L720" i="2" s="1"/>
  <c r="I721" i="2"/>
  <c r="I722" i="2"/>
  <c r="I723" i="2"/>
  <c r="K723" i="2" s="1"/>
  <c r="L723" i="2" s="1"/>
  <c r="I724" i="2"/>
  <c r="K724" i="2" s="1"/>
  <c r="L724" i="2" s="1"/>
  <c r="I725" i="2"/>
  <c r="I726" i="2"/>
  <c r="K726" i="2" s="1"/>
  <c r="L726" i="2" s="1"/>
  <c r="I727" i="2"/>
  <c r="K727" i="2" s="1"/>
  <c r="L727" i="2" s="1"/>
  <c r="I728" i="2"/>
  <c r="K728" i="2" s="1"/>
  <c r="L728" i="2" s="1"/>
  <c r="I729" i="2"/>
  <c r="I730" i="2"/>
  <c r="I731" i="2"/>
  <c r="K731" i="2" s="1"/>
  <c r="L731" i="2" s="1"/>
  <c r="I732" i="2"/>
  <c r="K732" i="2" s="1"/>
  <c r="L732" i="2" s="1"/>
  <c r="I733" i="2"/>
  <c r="I734" i="2"/>
  <c r="K734" i="2" s="1"/>
  <c r="L734" i="2" s="1"/>
  <c r="I735" i="2"/>
  <c r="K735" i="2" s="1"/>
  <c r="L735" i="2" s="1"/>
  <c r="I736" i="2"/>
  <c r="K736" i="2" s="1"/>
  <c r="L736" i="2" s="1"/>
  <c r="I737" i="2"/>
  <c r="I738" i="2"/>
  <c r="I739" i="2"/>
  <c r="K739" i="2" s="1"/>
  <c r="L739" i="2" s="1"/>
  <c r="I740" i="2"/>
  <c r="K740" i="2" s="1"/>
  <c r="L740" i="2" s="1"/>
  <c r="I741" i="2"/>
  <c r="I742" i="2"/>
  <c r="K742" i="2" s="1"/>
  <c r="L742" i="2" s="1"/>
  <c r="I743" i="2"/>
  <c r="K743" i="2" s="1"/>
  <c r="L743" i="2" s="1"/>
  <c r="I744" i="2"/>
  <c r="K744" i="2" s="1"/>
  <c r="L744" i="2" s="1"/>
  <c r="I745" i="2"/>
  <c r="I746" i="2"/>
  <c r="I747" i="2"/>
  <c r="K747" i="2" s="1"/>
  <c r="L747" i="2" s="1"/>
  <c r="I748" i="2"/>
  <c r="K748" i="2" s="1"/>
  <c r="L748" i="2" s="1"/>
  <c r="I749" i="2"/>
  <c r="I750" i="2"/>
  <c r="K750" i="2" s="1"/>
  <c r="L750" i="2" s="1"/>
  <c r="I751" i="2"/>
  <c r="K751" i="2" s="1"/>
  <c r="L751" i="2" s="1"/>
  <c r="I752" i="2"/>
  <c r="K752" i="2" s="1"/>
  <c r="L752" i="2" s="1"/>
  <c r="I753" i="2"/>
  <c r="I754" i="2"/>
  <c r="I755" i="2"/>
  <c r="K755" i="2" s="1"/>
  <c r="L755" i="2" s="1"/>
  <c r="I756" i="2"/>
  <c r="K756" i="2" s="1"/>
  <c r="L756" i="2" s="1"/>
  <c r="I757" i="2"/>
  <c r="I758" i="2"/>
  <c r="K758" i="2" s="1"/>
  <c r="L758" i="2" s="1"/>
  <c r="I759" i="2"/>
  <c r="K759" i="2" s="1"/>
  <c r="L759" i="2" s="1"/>
  <c r="I760" i="2"/>
  <c r="K760" i="2" s="1"/>
  <c r="L760" i="2" s="1"/>
  <c r="I761" i="2"/>
  <c r="I762" i="2"/>
  <c r="I763" i="2"/>
  <c r="K763" i="2" s="1"/>
  <c r="L763" i="2" s="1"/>
  <c r="I764" i="2"/>
  <c r="K764" i="2" s="1"/>
  <c r="L764" i="2" s="1"/>
  <c r="I765" i="2"/>
  <c r="I766" i="2"/>
  <c r="K766" i="2" s="1"/>
  <c r="L766" i="2" s="1"/>
  <c r="I767" i="2"/>
  <c r="K767" i="2" s="1"/>
  <c r="L767" i="2" s="1"/>
  <c r="I768" i="2"/>
  <c r="K768" i="2" s="1"/>
  <c r="L768" i="2" s="1"/>
  <c r="I769" i="2"/>
  <c r="I770" i="2"/>
  <c r="K770" i="2" s="1"/>
  <c r="L770" i="2" s="1"/>
  <c r="I771" i="2"/>
  <c r="K771" i="2" s="1"/>
  <c r="L771" i="2" s="1"/>
  <c r="I772" i="2"/>
  <c r="K772" i="2" s="1"/>
  <c r="L772" i="2" s="1"/>
  <c r="I773" i="2"/>
  <c r="I774" i="2"/>
  <c r="I775" i="2"/>
  <c r="K775" i="2" s="1"/>
  <c r="L775" i="2" s="1"/>
  <c r="I776" i="2"/>
  <c r="K776" i="2" s="1"/>
  <c r="L776" i="2" s="1"/>
  <c r="I777" i="2"/>
  <c r="I778" i="2"/>
  <c r="I779" i="2"/>
  <c r="K779" i="2" s="1"/>
  <c r="L779" i="2" s="1"/>
  <c r="I780" i="2"/>
  <c r="K780" i="2" s="1"/>
  <c r="L780" i="2" s="1"/>
  <c r="I781" i="2"/>
  <c r="I782" i="2"/>
  <c r="K782" i="2" s="1"/>
  <c r="L782" i="2" s="1"/>
  <c r="I783" i="2"/>
  <c r="K783" i="2" s="1"/>
  <c r="L783" i="2" s="1"/>
  <c r="I784" i="2"/>
  <c r="K784" i="2" s="1"/>
  <c r="L784" i="2" s="1"/>
  <c r="I785" i="2"/>
  <c r="I786" i="2"/>
  <c r="I787" i="2"/>
  <c r="K787" i="2" s="1"/>
  <c r="L787" i="2" s="1"/>
  <c r="I788" i="2"/>
  <c r="K788" i="2" s="1"/>
  <c r="L788" i="2" s="1"/>
  <c r="I789" i="2"/>
  <c r="I790" i="2"/>
  <c r="I791" i="2"/>
  <c r="K791" i="2" s="1"/>
  <c r="L791" i="2" s="1"/>
  <c r="I792" i="2"/>
  <c r="K792" i="2" s="1"/>
  <c r="L792" i="2" s="1"/>
  <c r="I793" i="2"/>
  <c r="I794" i="2"/>
  <c r="I795" i="2"/>
  <c r="K795" i="2" s="1"/>
  <c r="L795" i="2" s="1"/>
  <c r="I796" i="2"/>
  <c r="K796" i="2" s="1"/>
  <c r="L796" i="2" s="1"/>
  <c r="I797" i="2"/>
  <c r="I798" i="2"/>
  <c r="I799" i="2"/>
  <c r="K799" i="2" s="1"/>
  <c r="L799" i="2" s="1"/>
  <c r="I800" i="2"/>
  <c r="K800" i="2" s="1"/>
  <c r="L800" i="2" s="1"/>
  <c r="I801" i="2"/>
  <c r="I802" i="2"/>
  <c r="I803" i="2"/>
  <c r="K803" i="2" s="1"/>
  <c r="L803" i="2" s="1"/>
  <c r="I804" i="2"/>
  <c r="K804" i="2" s="1"/>
  <c r="L804" i="2" s="1"/>
  <c r="I805" i="2"/>
  <c r="I806" i="2"/>
  <c r="I807" i="2"/>
  <c r="K807" i="2" s="1"/>
  <c r="L807" i="2" s="1"/>
  <c r="I808" i="2"/>
  <c r="K808" i="2" s="1"/>
  <c r="L808" i="2" s="1"/>
  <c r="I809" i="2"/>
  <c r="I810" i="2"/>
  <c r="I811" i="2"/>
  <c r="K811" i="2" s="1"/>
  <c r="L811" i="2" s="1"/>
  <c r="I812" i="2"/>
  <c r="K812" i="2" s="1"/>
  <c r="L812" i="2" s="1"/>
  <c r="I813" i="2"/>
  <c r="I814" i="2"/>
  <c r="I815" i="2"/>
  <c r="K815" i="2" s="1"/>
  <c r="L815" i="2" s="1"/>
  <c r="I816" i="2"/>
  <c r="K816" i="2" s="1"/>
  <c r="L816" i="2" s="1"/>
  <c r="I817" i="2"/>
  <c r="I818" i="2"/>
  <c r="I819" i="2"/>
  <c r="K819" i="2" s="1"/>
  <c r="L819" i="2" s="1"/>
  <c r="I820" i="2"/>
  <c r="K820" i="2" s="1"/>
  <c r="L820" i="2" s="1"/>
  <c r="I821" i="2"/>
  <c r="I822" i="2"/>
  <c r="I823" i="2"/>
  <c r="K823" i="2" s="1"/>
  <c r="L823" i="2" s="1"/>
  <c r="I824" i="2"/>
  <c r="K824" i="2" s="1"/>
  <c r="L824" i="2" s="1"/>
  <c r="I825" i="2"/>
  <c r="I826" i="2"/>
  <c r="I827" i="2"/>
  <c r="K827" i="2" s="1"/>
  <c r="L827" i="2" s="1"/>
  <c r="I828" i="2"/>
  <c r="K828" i="2" s="1"/>
  <c r="L828" i="2" s="1"/>
  <c r="I829" i="2"/>
  <c r="I830" i="2"/>
  <c r="I831" i="2"/>
  <c r="K831" i="2" s="1"/>
  <c r="L831" i="2" s="1"/>
  <c r="I832" i="2"/>
  <c r="K832" i="2" s="1"/>
  <c r="L832" i="2" s="1"/>
  <c r="I833" i="2"/>
  <c r="I834" i="2"/>
  <c r="I835" i="2"/>
  <c r="K835" i="2" s="1"/>
  <c r="L835" i="2" s="1"/>
  <c r="I836" i="2"/>
  <c r="K836" i="2" s="1"/>
  <c r="L836" i="2" s="1"/>
  <c r="I837" i="2"/>
  <c r="I838" i="2"/>
  <c r="I839" i="2"/>
  <c r="K839" i="2" s="1"/>
  <c r="L839" i="2" s="1"/>
  <c r="I840" i="2"/>
  <c r="K840" i="2" s="1"/>
  <c r="L840" i="2" s="1"/>
  <c r="I841" i="2"/>
  <c r="I842" i="2"/>
  <c r="I843" i="2"/>
  <c r="K843" i="2" s="1"/>
  <c r="L843" i="2" s="1"/>
  <c r="I844" i="2"/>
  <c r="K844" i="2" s="1"/>
  <c r="L844" i="2" s="1"/>
  <c r="I845" i="2"/>
  <c r="I846" i="2"/>
  <c r="I847" i="2"/>
  <c r="K847" i="2" s="1"/>
  <c r="L847" i="2" s="1"/>
  <c r="I848" i="2"/>
  <c r="K848" i="2" s="1"/>
  <c r="L848" i="2" s="1"/>
  <c r="I849" i="2"/>
  <c r="I850" i="2"/>
  <c r="I851" i="2"/>
  <c r="K851" i="2" s="1"/>
  <c r="L851" i="2" s="1"/>
  <c r="I852" i="2"/>
  <c r="K852" i="2" s="1"/>
  <c r="L852" i="2" s="1"/>
  <c r="I853" i="2"/>
  <c r="I854" i="2"/>
  <c r="I855" i="2"/>
  <c r="K855" i="2" s="1"/>
  <c r="L855" i="2" s="1"/>
  <c r="I856" i="2"/>
  <c r="K856" i="2" s="1"/>
  <c r="L856" i="2" s="1"/>
  <c r="I857" i="2"/>
  <c r="I858" i="2"/>
  <c r="I859" i="2"/>
  <c r="K859" i="2" s="1"/>
  <c r="L859" i="2" s="1"/>
  <c r="I860" i="2"/>
  <c r="K860" i="2" s="1"/>
  <c r="L860" i="2" s="1"/>
  <c r="I861" i="2"/>
  <c r="I862" i="2"/>
  <c r="I863" i="2"/>
  <c r="K863" i="2" s="1"/>
  <c r="L863" i="2" s="1"/>
  <c r="I864" i="2"/>
  <c r="K864" i="2" s="1"/>
  <c r="L864" i="2" s="1"/>
  <c r="I865" i="2"/>
  <c r="I866" i="2"/>
  <c r="I867" i="2"/>
  <c r="K867" i="2" s="1"/>
  <c r="L867" i="2" s="1"/>
  <c r="I868" i="2"/>
  <c r="K868" i="2" s="1"/>
  <c r="L868" i="2" s="1"/>
  <c r="I869" i="2"/>
  <c r="I870" i="2"/>
  <c r="I871" i="2"/>
  <c r="K871" i="2" s="1"/>
  <c r="L871" i="2" s="1"/>
  <c r="I872" i="2"/>
  <c r="K872" i="2" s="1"/>
  <c r="L872" i="2" s="1"/>
  <c r="I873" i="2"/>
  <c r="I874" i="2"/>
  <c r="I875" i="2"/>
  <c r="K875" i="2" s="1"/>
  <c r="L875" i="2" s="1"/>
  <c r="I876" i="2"/>
  <c r="K876" i="2" s="1"/>
  <c r="L876" i="2" s="1"/>
  <c r="I877" i="2"/>
  <c r="I878" i="2"/>
  <c r="I879" i="2"/>
  <c r="K879" i="2" s="1"/>
  <c r="L879" i="2" s="1"/>
  <c r="I880" i="2"/>
  <c r="K880" i="2" s="1"/>
  <c r="L880" i="2" s="1"/>
  <c r="I881" i="2"/>
  <c r="I882" i="2"/>
  <c r="I883" i="2"/>
  <c r="K883" i="2" s="1"/>
  <c r="L883" i="2" s="1"/>
  <c r="I884" i="2"/>
  <c r="K884" i="2" s="1"/>
  <c r="L884" i="2" s="1"/>
  <c r="I885" i="2"/>
  <c r="I886" i="2"/>
  <c r="I887" i="2"/>
  <c r="K887" i="2" s="1"/>
  <c r="L887" i="2" s="1"/>
  <c r="I888" i="2"/>
  <c r="K888" i="2" s="1"/>
  <c r="L888" i="2" s="1"/>
  <c r="I889" i="2"/>
  <c r="I890" i="2"/>
  <c r="I891" i="2"/>
  <c r="K891" i="2" s="1"/>
  <c r="L891" i="2" s="1"/>
  <c r="I892" i="2"/>
  <c r="K892" i="2" s="1"/>
  <c r="L892" i="2" s="1"/>
  <c r="I893" i="2"/>
  <c r="I894" i="2"/>
  <c r="I895" i="2"/>
  <c r="K895" i="2" s="1"/>
  <c r="L895" i="2" s="1"/>
  <c r="I896" i="2"/>
  <c r="K896" i="2" s="1"/>
  <c r="L896" i="2" s="1"/>
  <c r="I897" i="2"/>
  <c r="I898" i="2"/>
  <c r="I899" i="2"/>
  <c r="K899" i="2" s="1"/>
  <c r="L899" i="2" s="1"/>
  <c r="I900" i="2"/>
  <c r="K900" i="2" s="1"/>
  <c r="L900" i="2" s="1"/>
  <c r="I901" i="2"/>
  <c r="I902" i="2"/>
  <c r="I903" i="2"/>
  <c r="K903" i="2" s="1"/>
  <c r="L903" i="2" s="1"/>
  <c r="I904" i="2"/>
  <c r="K904" i="2" s="1"/>
  <c r="L904" i="2" s="1"/>
  <c r="I905" i="2"/>
  <c r="I906" i="2"/>
  <c r="I907" i="2"/>
  <c r="K907" i="2" s="1"/>
  <c r="L907" i="2" s="1"/>
  <c r="I908" i="2"/>
  <c r="K908" i="2" s="1"/>
  <c r="L908" i="2" s="1"/>
  <c r="I909" i="2"/>
  <c r="I910" i="2"/>
  <c r="I911" i="2"/>
  <c r="K911" i="2" s="1"/>
  <c r="L911" i="2" s="1"/>
  <c r="I912" i="2"/>
  <c r="K912" i="2" s="1"/>
  <c r="L912" i="2" s="1"/>
  <c r="I913" i="2"/>
  <c r="I914" i="2"/>
  <c r="I915" i="2"/>
  <c r="K915" i="2" s="1"/>
  <c r="L915" i="2" s="1"/>
  <c r="I916" i="2"/>
  <c r="K916" i="2" s="1"/>
  <c r="L916" i="2" s="1"/>
  <c r="I917" i="2"/>
  <c r="I918" i="2"/>
  <c r="I919" i="2"/>
  <c r="K919" i="2" s="1"/>
  <c r="L919" i="2" s="1"/>
  <c r="I920" i="2"/>
  <c r="K920" i="2" s="1"/>
  <c r="L920" i="2" s="1"/>
  <c r="I921" i="2"/>
  <c r="I922" i="2"/>
  <c r="I923" i="2"/>
  <c r="K923" i="2" s="1"/>
  <c r="L923" i="2" s="1"/>
  <c r="I924" i="2"/>
  <c r="K924" i="2" s="1"/>
  <c r="L924" i="2" s="1"/>
  <c r="I925" i="2"/>
  <c r="I926" i="2"/>
  <c r="I927" i="2"/>
  <c r="K927" i="2" s="1"/>
  <c r="L927" i="2" s="1"/>
  <c r="I928" i="2"/>
  <c r="K928" i="2" s="1"/>
  <c r="L928" i="2" s="1"/>
  <c r="I929" i="2"/>
  <c r="I930" i="2"/>
  <c r="I931" i="2"/>
  <c r="K931" i="2" s="1"/>
  <c r="L931" i="2" s="1"/>
  <c r="I932" i="2"/>
  <c r="K932" i="2" s="1"/>
  <c r="L932" i="2" s="1"/>
  <c r="I933" i="2"/>
  <c r="I934" i="2"/>
  <c r="K934" i="2" s="1"/>
  <c r="L934" i="2" s="1"/>
  <c r="I935" i="2"/>
  <c r="K935" i="2" s="1"/>
  <c r="L935" i="2" s="1"/>
  <c r="I936" i="2"/>
  <c r="K936" i="2" s="1"/>
  <c r="L936" i="2" s="1"/>
  <c r="I937" i="2"/>
  <c r="I938" i="2"/>
  <c r="I939" i="2"/>
  <c r="K939" i="2" s="1"/>
  <c r="L939" i="2" s="1"/>
  <c r="I940" i="2"/>
  <c r="K940" i="2" s="1"/>
  <c r="L940" i="2" s="1"/>
  <c r="I941" i="2"/>
  <c r="I942" i="2"/>
  <c r="I943" i="2"/>
  <c r="K943" i="2" s="1"/>
  <c r="L943" i="2" s="1"/>
  <c r="I944" i="2"/>
  <c r="K944" i="2" s="1"/>
  <c r="L944" i="2" s="1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2109" i="2"/>
  <c r="I2110" i="2"/>
  <c r="I2111" i="2"/>
  <c r="I2112" i="2"/>
  <c r="I2113" i="2"/>
  <c r="I2114" i="2"/>
  <c r="I2115" i="2"/>
  <c r="I2116" i="2"/>
  <c r="I2117" i="2"/>
  <c r="I2118" i="2"/>
  <c r="I2119" i="2"/>
  <c r="I2120" i="2"/>
  <c r="I2121" i="2"/>
  <c r="I2122" i="2"/>
  <c r="I2123" i="2"/>
  <c r="I2124" i="2"/>
  <c r="I2125" i="2"/>
  <c r="I2126" i="2"/>
  <c r="I2127" i="2"/>
  <c r="I2128" i="2"/>
  <c r="I2129" i="2"/>
  <c r="I2130" i="2"/>
  <c r="I2131" i="2"/>
  <c r="I2132" i="2"/>
  <c r="I2133" i="2"/>
  <c r="I2134" i="2"/>
  <c r="I2135" i="2"/>
  <c r="I2136" i="2"/>
  <c r="I2137" i="2"/>
  <c r="I2138" i="2"/>
  <c r="I2139" i="2"/>
  <c r="I2140" i="2"/>
  <c r="I2141" i="2"/>
  <c r="I2142" i="2"/>
  <c r="I2143" i="2"/>
  <c r="I2144" i="2"/>
  <c r="I2145" i="2"/>
  <c r="I2146" i="2"/>
  <c r="I2147" i="2"/>
  <c r="I2148" i="2"/>
  <c r="I2149" i="2"/>
  <c r="I2150" i="2"/>
  <c r="I2151" i="2"/>
  <c r="I2152" i="2"/>
  <c r="I2153" i="2"/>
  <c r="I2154" i="2"/>
  <c r="I2155" i="2"/>
  <c r="I2156" i="2"/>
  <c r="I2157" i="2"/>
  <c r="I2158" i="2"/>
  <c r="I2159" i="2"/>
  <c r="I2160" i="2"/>
  <c r="I2161" i="2"/>
  <c r="I2162" i="2"/>
  <c r="I2163" i="2"/>
  <c r="I2164" i="2"/>
  <c r="I2165" i="2"/>
  <c r="I2166" i="2"/>
  <c r="I2167" i="2"/>
  <c r="I2168" i="2"/>
  <c r="I2169" i="2"/>
  <c r="I2170" i="2"/>
  <c r="I2171" i="2"/>
  <c r="I2172" i="2"/>
  <c r="I2173" i="2"/>
  <c r="I2174" i="2"/>
  <c r="I2175" i="2"/>
  <c r="I2176" i="2"/>
  <c r="I2177" i="2"/>
  <c r="I2178" i="2"/>
  <c r="I2179" i="2"/>
  <c r="I2180" i="2"/>
  <c r="I2181" i="2"/>
  <c r="I2182" i="2"/>
  <c r="I2183" i="2"/>
  <c r="I2184" i="2"/>
  <c r="I2185" i="2"/>
  <c r="I2186" i="2"/>
  <c r="I2187" i="2"/>
  <c r="I2188" i="2"/>
  <c r="I2189" i="2"/>
  <c r="I2190" i="2"/>
  <c r="I2191" i="2"/>
  <c r="I2192" i="2"/>
  <c r="I2193" i="2"/>
  <c r="I2194" i="2"/>
  <c r="I2195" i="2"/>
  <c r="I2196" i="2"/>
  <c r="I2197" i="2"/>
  <c r="I2198" i="2"/>
  <c r="I2199" i="2"/>
  <c r="I2200" i="2"/>
  <c r="I2201" i="2"/>
  <c r="I2202" i="2"/>
  <c r="I2203" i="2"/>
  <c r="I2204" i="2"/>
  <c r="I2205" i="2"/>
  <c r="I2206" i="2"/>
  <c r="I2207" i="2"/>
  <c r="I2208" i="2"/>
  <c r="I2209" i="2"/>
  <c r="I2210" i="2"/>
  <c r="I2211" i="2"/>
  <c r="I2212" i="2"/>
  <c r="I2213" i="2"/>
  <c r="I2214" i="2"/>
  <c r="I2215" i="2"/>
  <c r="I2216" i="2"/>
  <c r="I2217" i="2"/>
  <c r="I2218" i="2"/>
  <c r="I2219" i="2"/>
  <c r="I2220" i="2"/>
  <c r="I2221" i="2"/>
  <c r="I2222" i="2"/>
  <c r="I2223" i="2"/>
  <c r="I2224" i="2"/>
  <c r="I2225" i="2"/>
  <c r="I2226" i="2"/>
  <c r="I2227" i="2"/>
  <c r="I2228" i="2"/>
  <c r="I2229" i="2"/>
  <c r="I2230" i="2"/>
  <c r="I2231" i="2"/>
  <c r="I2232" i="2"/>
  <c r="I2233" i="2"/>
  <c r="I2234" i="2"/>
  <c r="I2235" i="2"/>
  <c r="I2236" i="2"/>
  <c r="I2237" i="2"/>
  <c r="I2238" i="2"/>
  <c r="I2239" i="2"/>
  <c r="I2240" i="2"/>
  <c r="I2241" i="2"/>
  <c r="I2242" i="2"/>
  <c r="I2243" i="2"/>
  <c r="I2244" i="2"/>
  <c r="I2245" i="2"/>
  <c r="I2246" i="2"/>
  <c r="I2247" i="2"/>
  <c r="I2248" i="2"/>
  <c r="I2249" i="2"/>
  <c r="I2250" i="2"/>
  <c r="I2251" i="2"/>
  <c r="I2252" i="2"/>
  <c r="I2253" i="2"/>
  <c r="I2254" i="2"/>
  <c r="I2255" i="2"/>
  <c r="I2256" i="2"/>
  <c r="I2257" i="2"/>
  <c r="I2258" i="2"/>
  <c r="I2259" i="2"/>
  <c r="I2260" i="2"/>
  <c r="I2261" i="2"/>
  <c r="I2262" i="2"/>
  <c r="I2263" i="2"/>
  <c r="I2264" i="2"/>
  <c r="I2265" i="2"/>
  <c r="I2266" i="2"/>
  <c r="I2267" i="2"/>
  <c r="I2268" i="2"/>
  <c r="I2269" i="2"/>
  <c r="I2270" i="2"/>
  <c r="I2271" i="2"/>
  <c r="I2272" i="2"/>
  <c r="I2273" i="2"/>
  <c r="I2274" i="2"/>
  <c r="I2275" i="2"/>
  <c r="I2276" i="2"/>
  <c r="I2277" i="2"/>
  <c r="I2278" i="2"/>
  <c r="I2279" i="2"/>
  <c r="I2280" i="2"/>
  <c r="I2281" i="2"/>
  <c r="I2282" i="2"/>
  <c r="I2283" i="2"/>
  <c r="I2284" i="2"/>
  <c r="K2284" i="2" s="1"/>
  <c r="L2284" i="2" s="1"/>
  <c r="I2285" i="2"/>
  <c r="I2286" i="2"/>
  <c r="I2287" i="2"/>
  <c r="I2288" i="2"/>
  <c r="K2288" i="2" s="1"/>
  <c r="L2288" i="2" s="1"/>
  <c r="I2289" i="2"/>
  <c r="I2290" i="2"/>
  <c r="I2291" i="2"/>
  <c r="I2292" i="2"/>
  <c r="K2292" i="2" s="1"/>
  <c r="L2292" i="2" s="1"/>
  <c r="I2293" i="2"/>
  <c r="I2294" i="2"/>
  <c r="I2295" i="2"/>
  <c r="I2296" i="2"/>
  <c r="K2296" i="2" s="1"/>
  <c r="L2296" i="2" s="1"/>
  <c r="I2297" i="2"/>
  <c r="I2298" i="2"/>
  <c r="I2299" i="2"/>
  <c r="I2300" i="2"/>
  <c r="K2300" i="2" s="1"/>
  <c r="L2300" i="2" s="1"/>
  <c r="I2301" i="2"/>
  <c r="I2302" i="2"/>
  <c r="I2303" i="2"/>
  <c r="I2304" i="2"/>
  <c r="K2304" i="2" s="1"/>
  <c r="L2304" i="2" s="1"/>
  <c r="I2305" i="2"/>
  <c r="I2306" i="2"/>
  <c r="I2307" i="2"/>
  <c r="I2308" i="2"/>
  <c r="K2308" i="2" s="1"/>
  <c r="L2308" i="2" s="1"/>
  <c r="I2309" i="2"/>
  <c r="I2310" i="2"/>
  <c r="I2311" i="2"/>
  <c r="I2312" i="2"/>
  <c r="K2312" i="2" s="1"/>
  <c r="L2312" i="2" s="1"/>
  <c r="I2313" i="2"/>
  <c r="I2314" i="2"/>
  <c r="I2315" i="2"/>
  <c r="I2316" i="2"/>
  <c r="K2316" i="2" s="1"/>
  <c r="L2316" i="2" s="1"/>
  <c r="I2317" i="2"/>
  <c r="I2318" i="2"/>
  <c r="I2319" i="2"/>
  <c r="I2320" i="2"/>
  <c r="K2320" i="2" s="1"/>
  <c r="L2320" i="2" s="1"/>
  <c r="I2321" i="2"/>
  <c r="I2322" i="2"/>
  <c r="I2323" i="2"/>
  <c r="I2324" i="2"/>
  <c r="K2324" i="2" s="1"/>
  <c r="L2324" i="2" s="1"/>
  <c r="I2325" i="2"/>
  <c r="I2326" i="2"/>
  <c r="I2327" i="2"/>
  <c r="I2328" i="2"/>
  <c r="K2328" i="2" s="1"/>
  <c r="L2328" i="2" s="1"/>
  <c r="I2329" i="2"/>
  <c r="I2330" i="2"/>
  <c r="I2331" i="2"/>
  <c r="I2332" i="2"/>
  <c r="K2332" i="2" s="1"/>
  <c r="L2332" i="2" s="1"/>
  <c r="I2333" i="2"/>
  <c r="I2334" i="2"/>
  <c r="I2335" i="2"/>
  <c r="I2336" i="2"/>
  <c r="K2336" i="2" s="1"/>
  <c r="L2336" i="2" s="1"/>
  <c r="I2337" i="2"/>
  <c r="I2338" i="2"/>
  <c r="I2339" i="2"/>
  <c r="I2340" i="2"/>
  <c r="K2340" i="2" s="1"/>
  <c r="L2340" i="2" s="1"/>
  <c r="I2341" i="2"/>
  <c r="I2342" i="2"/>
  <c r="I2343" i="2"/>
  <c r="I2344" i="2"/>
  <c r="K2344" i="2" s="1"/>
  <c r="L2344" i="2" s="1"/>
  <c r="I2345" i="2"/>
  <c r="I2346" i="2"/>
  <c r="I2347" i="2"/>
  <c r="I2348" i="2"/>
  <c r="K2348" i="2" s="1"/>
  <c r="L2348" i="2" s="1"/>
  <c r="I2349" i="2"/>
  <c r="I2350" i="2"/>
  <c r="I2351" i="2"/>
  <c r="I2352" i="2"/>
  <c r="K2352" i="2" s="1"/>
  <c r="L2352" i="2" s="1"/>
  <c r="I2353" i="2"/>
  <c r="I2354" i="2"/>
  <c r="I2355" i="2"/>
  <c r="I2356" i="2"/>
  <c r="K2356" i="2" s="1"/>
  <c r="L2356" i="2" s="1"/>
  <c r="I2357" i="2"/>
  <c r="I2358" i="2"/>
  <c r="I2359" i="2"/>
  <c r="I2360" i="2"/>
  <c r="K2360" i="2" s="1"/>
  <c r="L2360" i="2" s="1"/>
  <c r="I2361" i="2"/>
  <c r="I2362" i="2"/>
  <c r="I2363" i="2"/>
  <c r="I2364" i="2"/>
  <c r="K2364" i="2" s="1"/>
  <c r="L2364" i="2" s="1"/>
  <c r="I2365" i="2"/>
  <c r="I2366" i="2"/>
  <c r="I2367" i="2"/>
  <c r="I2368" i="2"/>
  <c r="K2368" i="2" s="1"/>
  <c r="L2368" i="2" s="1"/>
  <c r="I2369" i="2"/>
  <c r="I2370" i="2"/>
  <c r="I2371" i="2"/>
  <c r="I2372" i="2"/>
  <c r="K2372" i="2" s="1"/>
  <c r="L2372" i="2" s="1"/>
  <c r="I2373" i="2"/>
  <c r="I2374" i="2"/>
  <c r="I2375" i="2"/>
  <c r="I2376" i="2"/>
  <c r="K2376" i="2" s="1"/>
  <c r="L2376" i="2" s="1"/>
  <c r="I2377" i="2"/>
  <c r="I2378" i="2"/>
  <c r="I2379" i="2"/>
  <c r="I2380" i="2"/>
  <c r="K2380" i="2" s="1"/>
  <c r="L2380" i="2" s="1"/>
  <c r="I2381" i="2"/>
  <c r="I2382" i="2"/>
  <c r="I2383" i="2"/>
  <c r="I2384" i="2"/>
  <c r="K2384" i="2" s="1"/>
  <c r="L2384" i="2" s="1"/>
  <c r="I2385" i="2"/>
  <c r="I2386" i="2"/>
  <c r="I2387" i="2"/>
  <c r="I2388" i="2"/>
  <c r="K2388" i="2" s="1"/>
  <c r="L2388" i="2" s="1"/>
  <c r="I2389" i="2"/>
  <c r="I2390" i="2"/>
  <c r="I2391" i="2"/>
  <c r="I2392" i="2"/>
  <c r="K2392" i="2" s="1"/>
  <c r="L2392" i="2" s="1"/>
  <c r="I2393" i="2"/>
  <c r="I2394" i="2"/>
  <c r="I2395" i="2"/>
  <c r="I2396" i="2"/>
  <c r="K2396" i="2" s="1"/>
  <c r="L2396" i="2" s="1"/>
  <c r="I2397" i="2"/>
  <c r="I2398" i="2"/>
  <c r="I2399" i="2"/>
  <c r="I2400" i="2"/>
  <c r="K2400" i="2" s="1"/>
  <c r="L2400" i="2" s="1"/>
  <c r="I2401" i="2"/>
  <c r="I2402" i="2"/>
  <c r="I2403" i="2"/>
  <c r="I2404" i="2"/>
  <c r="K2404" i="2" s="1"/>
  <c r="L2404" i="2" s="1"/>
  <c r="I2405" i="2"/>
  <c r="I2406" i="2"/>
  <c r="I2407" i="2"/>
  <c r="I2408" i="2"/>
  <c r="K2408" i="2" s="1"/>
  <c r="L2408" i="2" s="1"/>
  <c r="I2409" i="2"/>
  <c r="I2410" i="2"/>
  <c r="I2411" i="2"/>
  <c r="I2412" i="2"/>
  <c r="K2412" i="2" s="1"/>
  <c r="L2412" i="2" s="1"/>
  <c r="I2413" i="2"/>
  <c r="I2414" i="2"/>
  <c r="I2415" i="2"/>
  <c r="I2416" i="2"/>
  <c r="K2416" i="2" s="1"/>
  <c r="L2416" i="2" s="1"/>
  <c r="I2417" i="2"/>
  <c r="I2418" i="2"/>
  <c r="I2419" i="2"/>
  <c r="I2420" i="2"/>
  <c r="K2420" i="2" s="1"/>
  <c r="L2420" i="2" s="1"/>
  <c r="I2421" i="2"/>
  <c r="I2422" i="2"/>
  <c r="I2423" i="2"/>
  <c r="I2424" i="2"/>
  <c r="K2424" i="2" s="1"/>
  <c r="L2424" i="2" s="1"/>
  <c r="I2425" i="2"/>
  <c r="I2426" i="2"/>
  <c r="I2427" i="2"/>
  <c r="I2428" i="2"/>
  <c r="K2428" i="2" s="1"/>
  <c r="L2428" i="2" s="1"/>
  <c r="I2429" i="2"/>
  <c r="I2430" i="2"/>
  <c r="I2431" i="2"/>
  <c r="I2432" i="2"/>
  <c r="K2432" i="2" s="1"/>
  <c r="L2432" i="2" s="1"/>
  <c r="I2433" i="2"/>
  <c r="I2434" i="2"/>
  <c r="I2435" i="2"/>
  <c r="I2436" i="2"/>
  <c r="K2436" i="2" s="1"/>
  <c r="L2436" i="2" s="1"/>
  <c r="I2437" i="2"/>
  <c r="I2438" i="2"/>
  <c r="I2439" i="2"/>
  <c r="I2440" i="2"/>
  <c r="K2440" i="2" s="1"/>
  <c r="L2440" i="2" s="1"/>
  <c r="I2441" i="2"/>
  <c r="I2442" i="2"/>
  <c r="I2443" i="2"/>
  <c r="I2444" i="2"/>
  <c r="K2444" i="2" s="1"/>
  <c r="L2444" i="2" s="1"/>
  <c r="I2445" i="2"/>
  <c r="I2446" i="2"/>
  <c r="I2447" i="2"/>
  <c r="I2448" i="2"/>
  <c r="K2448" i="2" s="1"/>
  <c r="L2448" i="2" s="1"/>
  <c r="I2449" i="2"/>
  <c r="I2450" i="2"/>
  <c r="I2451" i="2"/>
  <c r="I2452" i="2"/>
  <c r="K2452" i="2" s="1"/>
  <c r="L2452" i="2" s="1"/>
  <c r="I2453" i="2"/>
  <c r="I2454" i="2"/>
  <c r="I2455" i="2"/>
  <c r="I2456" i="2"/>
  <c r="K2456" i="2" s="1"/>
  <c r="L2456" i="2" s="1"/>
  <c r="I2457" i="2"/>
  <c r="I2458" i="2"/>
  <c r="I2459" i="2"/>
  <c r="I2460" i="2"/>
  <c r="K2460" i="2" s="1"/>
  <c r="L2460" i="2" s="1"/>
  <c r="I2461" i="2"/>
  <c r="I2462" i="2"/>
  <c r="I2463" i="2"/>
  <c r="I2464" i="2"/>
  <c r="K2464" i="2" s="1"/>
  <c r="L2464" i="2" s="1"/>
  <c r="I2465" i="2"/>
  <c r="I2466" i="2"/>
  <c r="I2467" i="2"/>
  <c r="I2468" i="2"/>
  <c r="K2468" i="2" s="1"/>
  <c r="L2468" i="2" s="1"/>
  <c r="I2469" i="2"/>
  <c r="I2470" i="2"/>
  <c r="I2471" i="2"/>
  <c r="I2472" i="2"/>
  <c r="K2472" i="2" s="1"/>
  <c r="L2472" i="2" s="1"/>
  <c r="I2473" i="2"/>
  <c r="I2474" i="2"/>
  <c r="I2475" i="2"/>
  <c r="I2476" i="2"/>
  <c r="K2476" i="2" s="1"/>
  <c r="L2476" i="2" s="1"/>
  <c r="I2477" i="2"/>
  <c r="I2478" i="2"/>
  <c r="I2479" i="2"/>
  <c r="I2480" i="2"/>
  <c r="K2480" i="2" s="1"/>
  <c r="L2480" i="2" s="1"/>
  <c r="I2481" i="2"/>
  <c r="I2482" i="2"/>
  <c r="I2483" i="2"/>
  <c r="I2484" i="2"/>
  <c r="K2484" i="2" s="1"/>
  <c r="L2484" i="2" s="1"/>
  <c r="I2485" i="2"/>
  <c r="I2486" i="2"/>
  <c r="I2487" i="2"/>
  <c r="I2488" i="2"/>
  <c r="K2488" i="2" s="1"/>
  <c r="L2488" i="2" s="1"/>
  <c r="I2489" i="2"/>
  <c r="I2490" i="2"/>
  <c r="I2491" i="2"/>
  <c r="I2492" i="2"/>
  <c r="K2492" i="2" s="1"/>
  <c r="L2492" i="2" s="1"/>
  <c r="I2493" i="2"/>
  <c r="I2494" i="2"/>
  <c r="I2495" i="2"/>
  <c r="I2496" i="2"/>
  <c r="K2496" i="2" s="1"/>
  <c r="L2496" i="2" s="1"/>
  <c r="I2497" i="2"/>
  <c r="I2498" i="2"/>
  <c r="I2499" i="2"/>
  <c r="I2500" i="2"/>
  <c r="K2500" i="2" s="1"/>
  <c r="L2500" i="2" s="1"/>
  <c r="I2501" i="2"/>
  <c r="I2502" i="2"/>
  <c r="I2503" i="2"/>
  <c r="I2504" i="2"/>
  <c r="K2504" i="2" s="1"/>
  <c r="L2504" i="2" s="1"/>
  <c r="I2505" i="2"/>
  <c r="I2506" i="2"/>
  <c r="I2507" i="2"/>
  <c r="I2508" i="2"/>
  <c r="K2508" i="2" s="1"/>
  <c r="L2508" i="2" s="1"/>
  <c r="I2509" i="2"/>
  <c r="I2510" i="2"/>
  <c r="I2511" i="2"/>
  <c r="I2512" i="2"/>
  <c r="K2512" i="2" s="1"/>
  <c r="L2512" i="2" s="1"/>
  <c r="I2513" i="2"/>
  <c r="I2514" i="2"/>
  <c r="I2515" i="2"/>
  <c r="I2516" i="2"/>
  <c r="K2516" i="2" s="1"/>
  <c r="L2516" i="2" s="1"/>
  <c r="I2517" i="2"/>
  <c r="I2518" i="2"/>
  <c r="I2519" i="2"/>
  <c r="I2520" i="2"/>
  <c r="K2520" i="2" s="1"/>
  <c r="L2520" i="2" s="1"/>
  <c r="I2521" i="2"/>
  <c r="I2522" i="2"/>
  <c r="I2523" i="2"/>
  <c r="I2524" i="2"/>
  <c r="K2524" i="2" s="1"/>
  <c r="L2524" i="2" s="1"/>
  <c r="I2525" i="2"/>
  <c r="I2526" i="2"/>
  <c r="I2527" i="2"/>
  <c r="I2528" i="2"/>
  <c r="K2528" i="2" s="1"/>
  <c r="L2528" i="2" s="1"/>
  <c r="I2529" i="2"/>
  <c r="I2530" i="2"/>
  <c r="I2531" i="2"/>
  <c r="I2532" i="2"/>
  <c r="K2532" i="2" s="1"/>
  <c r="L2532" i="2" s="1"/>
  <c r="I2533" i="2"/>
  <c r="I2534" i="2"/>
  <c r="I2535" i="2"/>
  <c r="I2536" i="2"/>
  <c r="K2536" i="2" s="1"/>
  <c r="L2536" i="2" s="1"/>
  <c r="I2537" i="2"/>
  <c r="I2538" i="2"/>
  <c r="I2539" i="2"/>
  <c r="I2540" i="2"/>
  <c r="K2540" i="2" s="1"/>
  <c r="L2540" i="2" s="1"/>
  <c r="I2541" i="2"/>
  <c r="I2542" i="2"/>
  <c r="I2543" i="2"/>
  <c r="I2544" i="2"/>
  <c r="K2544" i="2" s="1"/>
  <c r="L2544" i="2" s="1"/>
  <c r="I2545" i="2"/>
  <c r="I2546" i="2"/>
  <c r="I2547" i="2"/>
  <c r="I2548" i="2"/>
  <c r="K2548" i="2" s="1"/>
  <c r="L2548" i="2" s="1"/>
  <c r="I2549" i="2"/>
  <c r="I2550" i="2"/>
  <c r="I2551" i="2"/>
  <c r="I2552" i="2"/>
  <c r="K2552" i="2" s="1"/>
  <c r="L2552" i="2" s="1"/>
  <c r="I2553" i="2"/>
  <c r="I2554" i="2"/>
  <c r="I2555" i="2"/>
  <c r="I2556" i="2"/>
  <c r="K2556" i="2" s="1"/>
  <c r="L2556" i="2" s="1"/>
  <c r="I2557" i="2"/>
  <c r="I2558" i="2"/>
  <c r="I2559" i="2"/>
  <c r="I2560" i="2"/>
  <c r="K2560" i="2" s="1"/>
  <c r="L2560" i="2" s="1"/>
  <c r="I2561" i="2"/>
  <c r="I2562" i="2"/>
  <c r="I2563" i="2"/>
  <c r="I2564" i="2"/>
  <c r="K2564" i="2" s="1"/>
  <c r="L2564" i="2" s="1"/>
  <c r="I2565" i="2"/>
  <c r="I2566" i="2"/>
  <c r="I2567" i="2"/>
  <c r="I2568" i="2"/>
  <c r="K2568" i="2" s="1"/>
  <c r="L2568" i="2" s="1"/>
  <c r="I2569" i="2"/>
  <c r="I2570" i="2"/>
  <c r="I2571" i="2"/>
  <c r="I2572" i="2"/>
  <c r="K2572" i="2" s="1"/>
  <c r="L2572" i="2" s="1"/>
  <c r="I2573" i="2"/>
  <c r="I2574" i="2"/>
  <c r="I2575" i="2"/>
  <c r="I2576" i="2"/>
  <c r="K2576" i="2" s="1"/>
  <c r="L2576" i="2" s="1"/>
  <c r="I2577" i="2"/>
  <c r="I2578" i="2"/>
  <c r="I2579" i="2"/>
  <c r="I2580" i="2"/>
  <c r="K2580" i="2" s="1"/>
  <c r="L2580" i="2" s="1"/>
  <c r="I2581" i="2"/>
  <c r="I2582" i="2"/>
  <c r="I2583" i="2"/>
  <c r="I2584" i="2"/>
  <c r="K2584" i="2" s="1"/>
  <c r="L2584" i="2" s="1"/>
  <c r="I2585" i="2"/>
  <c r="I2586" i="2"/>
  <c r="I2587" i="2"/>
  <c r="I2588" i="2"/>
  <c r="K2588" i="2" s="1"/>
  <c r="L2588" i="2" s="1"/>
  <c r="I2589" i="2"/>
  <c r="I2590" i="2"/>
  <c r="I2591" i="2"/>
  <c r="I2592" i="2"/>
  <c r="K2592" i="2" s="1"/>
  <c r="L2592" i="2" s="1"/>
  <c r="I2593" i="2"/>
  <c r="I2594" i="2"/>
  <c r="I2595" i="2"/>
  <c r="I2596" i="2"/>
  <c r="K2596" i="2" s="1"/>
  <c r="L2596" i="2" s="1"/>
  <c r="I2597" i="2"/>
  <c r="I2598" i="2"/>
  <c r="I2599" i="2"/>
  <c r="I2600" i="2"/>
  <c r="K2600" i="2" s="1"/>
  <c r="L2600" i="2" s="1"/>
  <c r="I2601" i="2"/>
  <c r="I2602" i="2"/>
  <c r="I2603" i="2"/>
  <c r="I2604" i="2"/>
  <c r="K2604" i="2" s="1"/>
  <c r="L2604" i="2" s="1"/>
  <c r="I2605" i="2"/>
  <c r="I2606" i="2"/>
  <c r="I2607" i="2"/>
  <c r="I2608" i="2"/>
  <c r="K2608" i="2" s="1"/>
  <c r="L2608" i="2" s="1"/>
  <c r="I2609" i="2"/>
  <c r="I2610" i="2"/>
  <c r="I2611" i="2"/>
  <c r="I2612" i="2"/>
  <c r="K2612" i="2" s="1"/>
  <c r="L2612" i="2" s="1"/>
  <c r="I2613" i="2"/>
  <c r="I2614" i="2"/>
  <c r="I2615" i="2"/>
  <c r="I2616" i="2"/>
  <c r="K2616" i="2" s="1"/>
  <c r="L2616" i="2" s="1"/>
  <c r="I2617" i="2"/>
  <c r="I2618" i="2"/>
  <c r="I2619" i="2"/>
  <c r="I2620" i="2"/>
  <c r="K2620" i="2" s="1"/>
  <c r="L2620" i="2" s="1"/>
  <c r="I2621" i="2"/>
  <c r="I2622" i="2"/>
  <c r="I2623" i="2"/>
  <c r="I2624" i="2"/>
  <c r="K2624" i="2" s="1"/>
  <c r="L2624" i="2" s="1"/>
  <c r="I2625" i="2"/>
  <c r="I2626" i="2"/>
  <c r="I2627" i="2"/>
  <c r="I2628" i="2"/>
  <c r="K2628" i="2" s="1"/>
  <c r="L2628" i="2" s="1"/>
  <c r="I2629" i="2"/>
  <c r="I2630" i="2"/>
  <c r="I2631" i="2"/>
  <c r="I2632" i="2"/>
  <c r="K2632" i="2" s="1"/>
  <c r="L2632" i="2" s="1"/>
  <c r="I2633" i="2"/>
  <c r="I2634" i="2"/>
  <c r="I2635" i="2"/>
  <c r="I2636" i="2"/>
  <c r="K2636" i="2" s="1"/>
  <c r="L2636" i="2" s="1"/>
  <c r="I2637" i="2"/>
  <c r="I2638" i="2"/>
  <c r="I2639" i="2"/>
  <c r="I2640" i="2"/>
  <c r="K2640" i="2" s="1"/>
  <c r="L2640" i="2" s="1"/>
  <c r="I2641" i="2"/>
  <c r="I2642" i="2"/>
  <c r="I2643" i="2"/>
  <c r="I2644" i="2"/>
  <c r="K2644" i="2" s="1"/>
  <c r="L2644" i="2" s="1"/>
  <c r="I2645" i="2"/>
  <c r="I2646" i="2"/>
  <c r="I2647" i="2"/>
  <c r="I2648" i="2"/>
  <c r="K2648" i="2" s="1"/>
  <c r="L2648" i="2" s="1"/>
  <c r="I2649" i="2"/>
  <c r="I2650" i="2"/>
  <c r="I2651" i="2"/>
  <c r="I2652" i="2"/>
  <c r="K2652" i="2" s="1"/>
  <c r="L2652" i="2" s="1"/>
  <c r="I2653" i="2"/>
  <c r="I2654" i="2"/>
  <c r="I2655" i="2"/>
  <c r="I2656" i="2"/>
  <c r="K2656" i="2" s="1"/>
  <c r="L2656" i="2" s="1"/>
  <c r="I2657" i="2"/>
  <c r="I2658" i="2"/>
  <c r="I2659" i="2"/>
  <c r="I2660" i="2"/>
  <c r="K2660" i="2" s="1"/>
  <c r="L2660" i="2" s="1"/>
  <c r="I2661" i="2"/>
  <c r="I2662" i="2"/>
  <c r="I2663" i="2"/>
  <c r="I2664" i="2"/>
  <c r="K2664" i="2" s="1"/>
  <c r="L2664" i="2" s="1"/>
  <c r="I2665" i="2"/>
  <c r="I2666" i="2"/>
  <c r="I2667" i="2"/>
  <c r="I2668" i="2"/>
  <c r="I2669" i="2"/>
  <c r="I2670" i="2"/>
  <c r="I2671" i="2"/>
  <c r="I2672" i="2"/>
  <c r="I2673" i="2"/>
  <c r="I2674" i="2"/>
  <c r="I2675" i="2"/>
  <c r="I2676" i="2"/>
  <c r="I2677" i="2"/>
  <c r="I2678" i="2"/>
  <c r="I2679" i="2"/>
  <c r="I2680" i="2"/>
  <c r="I2681" i="2"/>
  <c r="I2682" i="2"/>
  <c r="I2683" i="2"/>
  <c r="I2684" i="2"/>
  <c r="I2685" i="2"/>
  <c r="I2686" i="2"/>
  <c r="I2687" i="2"/>
  <c r="I2688" i="2"/>
  <c r="I2689" i="2"/>
  <c r="I2690" i="2"/>
  <c r="I2691" i="2"/>
  <c r="I2692" i="2"/>
  <c r="I2693" i="2"/>
  <c r="I2694" i="2"/>
  <c r="I2695" i="2"/>
  <c r="I2696" i="2"/>
  <c r="I2697" i="2"/>
  <c r="I2698" i="2"/>
  <c r="I2699" i="2"/>
  <c r="I2700" i="2"/>
  <c r="I2701" i="2"/>
  <c r="I2702" i="2"/>
  <c r="I2703" i="2"/>
  <c r="I2704" i="2"/>
  <c r="I2705" i="2"/>
  <c r="I2706" i="2"/>
  <c r="I2707" i="2"/>
  <c r="I2708" i="2"/>
  <c r="I2709" i="2"/>
  <c r="I2710" i="2"/>
  <c r="I2711" i="2"/>
  <c r="I2712" i="2"/>
  <c r="I2713" i="2"/>
  <c r="I2714" i="2"/>
  <c r="I2715" i="2"/>
  <c r="I2716" i="2"/>
  <c r="I2717" i="2"/>
  <c r="I2718" i="2"/>
  <c r="I2719" i="2"/>
  <c r="I2720" i="2"/>
  <c r="I2721" i="2"/>
  <c r="I2722" i="2"/>
  <c r="I2723" i="2"/>
  <c r="I2724" i="2"/>
  <c r="I2725" i="2"/>
  <c r="I2726" i="2"/>
  <c r="I2727" i="2"/>
  <c r="I2728" i="2"/>
  <c r="I2729" i="2"/>
  <c r="I2730" i="2"/>
  <c r="I2731" i="2"/>
  <c r="I2732" i="2"/>
  <c r="I2733" i="2"/>
  <c r="I2734" i="2"/>
  <c r="I2735" i="2"/>
  <c r="I2736" i="2"/>
  <c r="I2737" i="2"/>
  <c r="I2738" i="2"/>
  <c r="I2739" i="2"/>
  <c r="I2740" i="2"/>
  <c r="I2741" i="2"/>
  <c r="I2742" i="2"/>
  <c r="I2743" i="2"/>
  <c r="I2744" i="2"/>
  <c r="I2745" i="2"/>
  <c r="I2746" i="2"/>
  <c r="I2747" i="2"/>
  <c r="I2748" i="2"/>
  <c r="I2749" i="2"/>
  <c r="I2750" i="2"/>
  <c r="I2751" i="2"/>
  <c r="I2752" i="2"/>
  <c r="I2753" i="2"/>
  <c r="I2754" i="2"/>
  <c r="I2755" i="2"/>
  <c r="I2756" i="2"/>
  <c r="I2757" i="2"/>
  <c r="I2758" i="2"/>
  <c r="I2759" i="2"/>
  <c r="I2760" i="2"/>
  <c r="I2761" i="2"/>
  <c r="I2762" i="2"/>
  <c r="I2763" i="2"/>
  <c r="I2764" i="2"/>
  <c r="I2765" i="2"/>
  <c r="I2766" i="2"/>
  <c r="I2767" i="2"/>
  <c r="I2768" i="2"/>
  <c r="I2769" i="2"/>
  <c r="I2770" i="2"/>
  <c r="I2771" i="2"/>
  <c r="I2772" i="2"/>
  <c r="I2773" i="2"/>
  <c r="I2774" i="2"/>
  <c r="I2775" i="2"/>
  <c r="I2776" i="2"/>
  <c r="I2777" i="2"/>
  <c r="I2778" i="2"/>
  <c r="I2779" i="2"/>
  <c r="I2780" i="2"/>
  <c r="I2781" i="2"/>
  <c r="I2782" i="2"/>
  <c r="I2783" i="2"/>
  <c r="I2784" i="2"/>
  <c r="I2785" i="2"/>
  <c r="I2786" i="2"/>
  <c r="I2787" i="2"/>
  <c r="I2788" i="2"/>
  <c r="I2789" i="2"/>
  <c r="I2790" i="2"/>
  <c r="I2791" i="2"/>
  <c r="I2792" i="2"/>
  <c r="I2793" i="2"/>
  <c r="I2794" i="2"/>
  <c r="I2795" i="2"/>
  <c r="I2796" i="2"/>
  <c r="I2797" i="2"/>
  <c r="I2798" i="2"/>
  <c r="I2799" i="2"/>
  <c r="I2800" i="2"/>
  <c r="I2801" i="2"/>
  <c r="I2802" i="2"/>
  <c r="I2803" i="2"/>
  <c r="I2804" i="2"/>
  <c r="I2805" i="2"/>
  <c r="I2806" i="2"/>
  <c r="I2807" i="2"/>
  <c r="I2808" i="2"/>
  <c r="I2809" i="2"/>
  <c r="I2810" i="2"/>
  <c r="I2811" i="2"/>
  <c r="I2812" i="2"/>
  <c r="I2813" i="2"/>
  <c r="I2814" i="2"/>
  <c r="I2815" i="2"/>
  <c r="I2816" i="2"/>
  <c r="I2817" i="2"/>
  <c r="I2818" i="2"/>
  <c r="I2819" i="2"/>
  <c r="I2820" i="2"/>
  <c r="I2821" i="2"/>
  <c r="I2822" i="2"/>
  <c r="I2823" i="2"/>
  <c r="I2824" i="2"/>
  <c r="I2825" i="2"/>
  <c r="I2826" i="2"/>
  <c r="I2827" i="2"/>
  <c r="I2828" i="2"/>
  <c r="I2829" i="2"/>
  <c r="I2830" i="2"/>
  <c r="I2831" i="2"/>
  <c r="I2832" i="2"/>
  <c r="I2833" i="2"/>
  <c r="I2834" i="2"/>
  <c r="I2835" i="2"/>
  <c r="I2836" i="2"/>
  <c r="I2837" i="2"/>
  <c r="I2838" i="2"/>
  <c r="I2839" i="2"/>
  <c r="I2840" i="2"/>
  <c r="I2841" i="2"/>
  <c r="I2842" i="2"/>
  <c r="I2843" i="2"/>
  <c r="I2844" i="2"/>
  <c r="I2845" i="2"/>
  <c r="I2846" i="2"/>
  <c r="I2847" i="2"/>
  <c r="I2848" i="2"/>
  <c r="I2849" i="2"/>
  <c r="I2850" i="2"/>
  <c r="I2851" i="2"/>
  <c r="I2852" i="2"/>
  <c r="I2853" i="2"/>
  <c r="I2854" i="2"/>
  <c r="I2855" i="2"/>
  <c r="I2856" i="2"/>
  <c r="I2857" i="2"/>
  <c r="I2858" i="2"/>
  <c r="I2859" i="2"/>
  <c r="I2860" i="2"/>
  <c r="I2861" i="2"/>
  <c r="I2862" i="2"/>
  <c r="I2863" i="2"/>
  <c r="I2864" i="2"/>
  <c r="I2865" i="2"/>
  <c r="I2866" i="2"/>
  <c r="I2867" i="2"/>
  <c r="I2868" i="2"/>
  <c r="I2869" i="2"/>
  <c r="I2870" i="2"/>
  <c r="I2871" i="2"/>
  <c r="I2872" i="2"/>
  <c r="I2873" i="2"/>
  <c r="I2874" i="2"/>
  <c r="I2875" i="2"/>
  <c r="I2876" i="2"/>
  <c r="I2877" i="2"/>
  <c r="I2878" i="2"/>
  <c r="I2879" i="2"/>
  <c r="I2880" i="2"/>
  <c r="I2881" i="2"/>
  <c r="I2882" i="2"/>
  <c r="I2883" i="2"/>
  <c r="I2884" i="2"/>
  <c r="I2885" i="2"/>
  <c r="I2886" i="2"/>
  <c r="I2887" i="2"/>
  <c r="I2888" i="2"/>
  <c r="I2889" i="2"/>
  <c r="I2890" i="2"/>
  <c r="I2891" i="2"/>
  <c r="I2892" i="2"/>
  <c r="I2893" i="2"/>
  <c r="I2894" i="2"/>
  <c r="I2895" i="2"/>
  <c r="I2896" i="2"/>
  <c r="I2897" i="2"/>
  <c r="I2898" i="2"/>
  <c r="I2899" i="2"/>
  <c r="I2900" i="2"/>
  <c r="I2901" i="2"/>
  <c r="I2902" i="2"/>
  <c r="I2903" i="2"/>
  <c r="I2904" i="2"/>
  <c r="I2905" i="2"/>
  <c r="I2906" i="2"/>
  <c r="I2907" i="2"/>
  <c r="I2908" i="2"/>
  <c r="I2909" i="2"/>
  <c r="I2910" i="2"/>
  <c r="I2911" i="2"/>
  <c r="I2912" i="2"/>
  <c r="I2913" i="2"/>
  <c r="I2914" i="2"/>
  <c r="I2915" i="2"/>
  <c r="I2916" i="2"/>
  <c r="I2917" i="2"/>
  <c r="I2918" i="2"/>
  <c r="I2919" i="2"/>
  <c r="I2920" i="2"/>
  <c r="I2921" i="2"/>
  <c r="I2922" i="2"/>
  <c r="I2923" i="2"/>
  <c r="I2924" i="2"/>
  <c r="I2925" i="2"/>
  <c r="I2926" i="2"/>
  <c r="I2927" i="2"/>
  <c r="I2928" i="2"/>
  <c r="I2929" i="2"/>
  <c r="I2930" i="2"/>
  <c r="I2931" i="2"/>
  <c r="I2932" i="2"/>
  <c r="I2933" i="2"/>
  <c r="I2934" i="2"/>
  <c r="I2935" i="2"/>
  <c r="I2936" i="2"/>
  <c r="I2937" i="2"/>
  <c r="I2938" i="2"/>
  <c r="I2939" i="2"/>
  <c r="I2940" i="2"/>
  <c r="I2941" i="2"/>
  <c r="I2942" i="2"/>
  <c r="I2943" i="2"/>
  <c r="I2944" i="2"/>
  <c r="I2945" i="2"/>
  <c r="I2946" i="2"/>
  <c r="I2947" i="2"/>
  <c r="I2948" i="2"/>
  <c r="I2949" i="2"/>
  <c r="I2950" i="2"/>
  <c r="I2951" i="2"/>
  <c r="I2952" i="2"/>
  <c r="I2953" i="2"/>
  <c r="I2954" i="2"/>
  <c r="I2955" i="2"/>
  <c r="I2956" i="2"/>
  <c r="I2957" i="2"/>
  <c r="I2958" i="2"/>
  <c r="I2959" i="2"/>
  <c r="I2960" i="2"/>
  <c r="I2961" i="2"/>
  <c r="I2962" i="2"/>
  <c r="I2963" i="2"/>
  <c r="I2964" i="2"/>
  <c r="I2965" i="2"/>
  <c r="I2966" i="2"/>
  <c r="I2967" i="2"/>
  <c r="I2968" i="2"/>
  <c r="I2969" i="2"/>
  <c r="I2970" i="2"/>
  <c r="I2971" i="2"/>
  <c r="I2972" i="2"/>
  <c r="I2973" i="2"/>
  <c r="I2974" i="2"/>
  <c r="I2975" i="2"/>
  <c r="I2976" i="2"/>
  <c r="I2977" i="2"/>
  <c r="I2978" i="2"/>
  <c r="I2979" i="2"/>
  <c r="I2980" i="2"/>
  <c r="I2981" i="2"/>
  <c r="I2982" i="2"/>
  <c r="I2983" i="2"/>
  <c r="I2984" i="2"/>
  <c r="I2985" i="2"/>
  <c r="I2986" i="2"/>
  <c r="I2987" i="2"/>
  <c r="I2988" i="2"/>
  <c r="I2989" i="2"/>
  <c r="I2990" i="2"/>
  <c r="I2991" i="2"/>
  <c r="I2992" i="2"/>
  <c r="I2993" i="2"/>
  <c r="I2994" i="2"/>
  <c r="I2995" i="2"/>
  <c r="I2996" i="2"/>
  <c r="I2997" i="2"/>
  <c r="I2998" i="2"/>
  <c r="I2999" i="2"/>
  <c r="I3000" i="2"/>
  <c r="I3001" i="2"/>
  <c r="I3002" i="2"/>
  <c r="I3003" i="2"/>
  <c r="I3004" i="2"/>
  <c r="I3005" i="2"/>
  <c r="I3006" i="2"/>
  <c r="I3007" i="2"/>
  <c r="I3008" i="2"/>
  <c r="I3009" i="2"/>
  <c r="I3010" i="2"/>
  <c r="I3011" i="2"/>
  <c r="I3012" i="2"/>
  <c r="I3013" i="2"/>
  <c r="I3014" i="2"/>
  <c r="I3015" i="2"/>
  <c r="I3016" i="2"/>
  <c r="I3017" i="2"/>
  <c r="I3018" i="2"/>
  <c r="I3019" i="2"/>
  <c r="I3020" i="2"/>
  <c r="I3021" i="2"/>
  <c r="I3022" i="2"/>
  <c r="I3023" i="2"/>
  <c r="I3024" i="2"/>
  <c r="I3025" i="2"/>
  <c r="I3026" i="2"/>
  <c r="I3027" i="2"/>
  <c r="I3028" i="2"/>
  <c r="I3029" i="2"/>
  <c r="I3030" i="2"/>
  <c r="I3031" i="2"/>
  <c r="I3032" i="2"/>
  <c r="I3033" i="2"/>
  <c r="I3034" i="2"/>
  <c r="I3035" i="2"/>
  <c r="I3036" i="2"/>
  <c r="I3037" i="2"/>
  <c r="I3038" i="2"/>
  <c r="I3039" i="2"/>
  <c r="I3040" i="2"/>
  <c r="I3041" i="2"/>
  <c r="I3042" i="2"/>
  <c r="I3043" i="2"/>
  <c r="I3044" i="2"/>
  <c r="I3045" i="2"/>
  <c r="I3046" i="2"/>
  <c r="I3047" i="2"/>
  <c r="I3048" i="2"/>
  <c r="I3049" i="2"/>
  <c r="I3050" i="2"/>
  <c r="I3051" i="2"/>
  <c r="I3052" i="2"/>
  <c r="I3053" i="2"/>
  <c r="I3054" i="2"/>
  <c r="I3055" i="2"/>
  <c r="I3056" i="2"/>
  <c r="I3057" i="2"/>
  <c r="I3058" i="2"/>
  <c r="I3059" i="2"/>
  <c r="I3060" i="2"/>
  <c r="I3061" i="2"/>
  <c r="I3062" i="2"/>
  <c r="I3063" i="2"/>
  <c r="I3064" i="2"/>
  <c r="I3065" i="2"/>
  <c r="I3066" i="2"/>
  <c r="I3067" i="2"/>
  <c r="I3068" i="2"/>
  <c r="I3069" i="2"/>
  <c r="I3070" i="2"/>
  <c r="I3071" i="2"/>
  <c r="I3072" i="2"/>
  <c r="I3073" i="2"/>
  <c r="I3074" i="2"/>
  <c r="I3075" i="2"/>
  <c r="I3076" i="2"/>
  <c r="I3077" i="2"/>
  <c r="I3078" i="2"/>
  <c r="I3079" i="2"/>
  <c r="I3080" i="2"/>
  <c r="I3081" i="2"/>
  <c r="I3082" i="2"/>
  <c r="I3083" i="2"/>
  <c r="I3084" i="2"/>
  <c r="I3085" i="2"/>
  <c r="I3086" i="2"/>
  <c r="I3087" i="2"/>
  <c r="I3088" i="2"/>
  <c r="I3089" i="2"/>
  <c r="I3090" i="2"/>
  <c r="I3091" i="2"/>
  <c r="I3092" i="2"/>
  <c r="I3093" i="2"/>
  <c r="I3094" i="2"/>
  <c r="I3095" i="2"/>
  <c r="I3096" i="2"/>
  <c r="I3097" i="2"/>
  <c r="I3098" i="2"/>
  <c r="I3099" i="2"/>
  <c r="I3100" i="2"/>
  <c r="I3101" i="2"/>
  <c r="I3102" i="2"/>
  <c r="I3103" i="2"/>
  <c r="I3104" i="2"/>
  <c r="I3105" i="2"/>
  <c r="I3106" i="2"/>
  <c r="I3107" i="2"/>
  <c r="I3108" i="2"/>
  <c r="I3109" i="2"/>
  <c r="I3110" i="2"/>
  <c r="I3111" i="2"/>
  <c r="I3112" i="2"/>
  <c r="I3113" i="2"/>
  <c r="I3114" i="2"/>
  <c r="I3115" i="2"/>
  <c r="I3116" i="2"/>
  <c r="I3117" i="2"/>
  <c r="I3118" i="2"/>
  <c r="I3119" i="2"/>
  <c r="I3120" i="2"/>
  <c r="I3121" i="2"/>
  <c r="I3122" i="2"/>
  <c r="I3123" i="2"/>
  <c r="I3124" i="2"/>
  <c r="I3125" i="2"/>
  <c r="I3126" i="2"/>
  <c r="I3127" i="2"/>
  <c r="I3128" i="2"/>
  <c r="I3129" i="2"/>
  <c r="I3130" i="2"/>
  <c r="I3131" i="2"/>
  <c r="I3132" i="2"/>
  <c r="I3133" i="2"/>
  <c r="I3134" i="2"/>
  <c r="I3135" i="2"/>
  <c r="I3136" i="2"/>
  <c r="I3137" i="2"/>
  <c r="I3138" i="2"/>
  <c r="I3139" i="2"/>
  <c r="I3140" i="2"/>
  <c r="I3141" i="2"/>
  <c r="I3142" i="2"/>
  <c r="I3143" i="2"/>
  <c r="I3144" i="2"/>
  <c r="I3145" i="2"/>
  <c r="I3146" i="2"/>
  <c r="I3147" i="2"/>
  <c r="I3148" i="2"/>
  <c r="I3149" i="2"/>
  <c r="I3150" i="2"/>
  <c r="I3151" i="2"/>
  <c r="I3152" i="2"/>
  <c r="I3153" i="2"/>
  <c r="I3154" i="2"/>
  <c r="I3155" i="2"/>
  <c r="I3156" i="2"/>
  <c r="I3157" i="2"/>
  <c r="I3158" i="2"/>
  <c r="I3159" i="2"/>
  <c r="I3160" i="2"/>
  <c r="I3161" i="2"/>
  <c r="I3162" i="2"/>
  <c r="I3163" i="2"/>
  <c r="I3164" i="2"/>
  <c r="I3165" i="2"/>
  <c r="I3166" i="2"/>
  <c r="I3167" i="2"/>
  <c r="I3168" i="2"/>
  <c r="I3169" i="2"/>
  <c r="I3170" i="2"/>
  <c r="I3171" i="2"/>
  <c r="I3172" i="2"/>
  <c r="I3173" i="2"/>
  <c r="I3174" i="2"/>
  <c r="I3175" i="2"/>
  <c r="I3176" i="2"/>
  <c r="I3177" i="2"/>
  <c r="I3178" i="2"/>
  <c r="I3179" i="2"/>
  <c r="I3180" i="2"/>
  <c r="I3181" i="2"/>
  <c r="I3182" i="2"/>
  <c r="I3183" i="2"/>
  <c r="I3184" i="2"/>
  <c r="I3185" i="2"/>
  <c r="I3186" i="2"/>
  <c r="I3187" i="2"/>
  <c r="I3188" i="2"/>
  <c r="I3189" i="2"/>
  <c r="I3190" i="2"/>
  <c r="I3191" i="2"/>
  <c r="I3192" i="2"/>
  <c r="I3193" i="2"/>
  <c r="I3194" i="2"/>
  <c r="I3195" i="2"/>
  <c r="I3196" i="2"/>
  <c r="I3197" i="2"/>
  <c r="I3198" i="2"/>
  <c r="I3199" i="2"/>
  <c r="I3200" i="2"/>
  <c r="I3201" i="2"/>
  <c r="I3202" i="2"/>
  <c r="I3203" i="2"/>
  <c r="I3204" i="2"/>
  <c r="I3205" i="2"/>
  <c r="I3206" i="2"/>
  <c r="I3207" i="2"/>
  <c r="I3208" i="2"/>
  <c r="I3209" i="2"/>
  <c r="I3210" i="2"/>
  <c r="I3211" i="2"/>
  <c r="I3212" i="2"/>
  <c r="I3213" i="2"/>
  <c r="I3214" i="2"/>
  <c r="I3215" i="2"/>
  <c r="I3216" i="2"/>
  <c r="I3217" i="2"/>
  <c r="I3218" i="2"/>
  <c r="I3219" i="2"/>
  <c r="I3220" i="2"/>
  <c r="I3221" i="2"/>
  <c r="I3222" i="2"/>
  <c r="I3223" i="2"/>
  <c r="I3224" i="2"/>
  <c r="I3225" i="2"/>
  <c r="I3226" i="2"/>
  <c r="I3227" i="2"/>
  <c r="I3228" i="2"/>
  <c r="I3229" i="2"/>
  <c r="I3230" i="2"/>
  <c r="I3231" i="2"/>
  <c r="I3232" i="2"/>
  <c r="I3233" i="2"/>
  <c r="I3234" i="2"/>
  <c r="I3235" i="2"/>
  <c r="I3236" i="2"/>
  <c r="I3237" i="2"/>
  <c r="I3238" i="2"/>
  <c r="I3239" i="2"/>
  <c r="I3240" i="2"/>
  <c r="I3241" i="2"/>
  <c r="I3242" i="2"/>
  <c r="I3243" i="2"/>
  <c r="I3244" i="2"/>
  <c r="I3245" i="2"/>
  <c r="I3246" i="2"/>
  <c r="I3247" i="2"/>
  <c r="I3248" i="2"/>
  <c r="I3249" i="2"/>
  <c r="I3250" i="2"/>
  <c r="I3251" i="2"/>
  <c r="I3252" i="2"/>
  <c r="I3253" i="2"/>
  <c r="I3254" i="2"/>
  <c r="I3255" i="2"/>
  <c r="I3256" i="2"/>
  <c r="I3257" i="2"/>
  <c r="I3258" i="2"/>
  <c r="I3259" i="2"/>
  <c r="I3260" i="2"/>
  <c r="I3261" i="2"/>
  <c r="I3262" i="2"/>
  <c r="I3263" i="2"/>
  <c r="I3264" i="2"/>
  <c r="I3265" i="2"/>
  <c r="I3266" i="2"/>
  <c r="I3267" i="2"/>
  <c r="I3268" i="2"/>
  <c r="I3269" i="2"/>
  <c r="I3270" i="2"/>
  <c r="I3271" i="2"/>
  <c r="I3272" i="2"/>
  <c r="I3273" i="2"/>
  <c r="I3274" i="2"/>
  <c r="I3275" i="2"/>
  <c r="I3276" i="2"/>
  <c r="I3277" i="2"/>
  <c r="I3278" i="2"/>
  <c r="I3279" i="2"/>
  <c r="I3280" i="2"/>
  <c r="I3281" i="2"/>
  <c r="I3282" i="2"/>
  <c r="I3283" i="2"/>
  <c r="I3284" i="2"/>
  <c r="I3285" i="2"/>
  <c r="I3286" i="2"/>
  <c r="I3287" i="2"/>
  <c r="I3288" i="2"/>
  <c r="I3289" i="2"/>
  <c r="I3290" i="2"/>
  <c r="I3291" i="2"/>
  <c r="I3292" i="2"/>
  <c r="I3293" i="2"/>
  <c r="I3294" i="2"/>
  <c r="I3295" i="2"/>
  <c r="I3296" i="2"/>
  <c r="I3297" i="2"/>
  <c r="I3298" i="2"/>
  <c r="I3299" i="2"/>
  <c r="I3300" i="2"/>
  <c r="I3301" i="2"/>
  <c r="I3302" i="2"/>
  <c r="I3303" i="2"/>
  <c r="I3304" i="2"/>
  <c r="I3305" i="2"/>
  <c r="I3306" i="2"/>
  <c r="I3307" i="2"/>
  <c r="I3308" i="2"/>
  <c r="I3309" i="2"/>
  <c r="I3310" i="2"/>
  <c r="I3311" i="2"/>
  <c r="I3312" i="2"/>
  <c r="I3313" i="2"/>
  <c r="I3314" i="2"/>
  <c r="I3315" i="2"/>
  <c r="I3316" i="2"/>
  <c r="I3317" i="2"/>
  <c r="I3318" i="2"/>
  <c r="I3319" i="2"/>
  <c r="I3320" i="2"/>
  <c r="I3321" i="2"/>
  <c r="I3322" i="2"/>
  <c r="I3323" i="2"/>
  <c r="I3324" i="2"/>
  <c r="I3325" i="2"/>
  <c r="I3326" i="2"/>
  <c r="I3327" i="2"/>
  <c r="I3328" i="2"/>
  <c r="I3329" i="2"/>
  <c r="I3330" i="2"/>
  <c r="I3331" i="2"/>
  <c r="I3332" i="2"/>
  <c r="I3333" i="2"/>
  <c r="I3334" i="2"/>
  <c r="I3335" i="2"/>
  <c r="I3336" i="2"/>
  <c r="I3337" i="2"/>
  <c r="I3338" i="2"/>
  <c r="I3339" i="2"/>
  <c r="I3340" i="2"/>
  <c r="I3341" i="2"/>
  <c r="I3342" i="2"/>
  <c r="I3343" i="2"/>
  <c r="I3344" i="2"/>
  <c r="I3345" i="2"/>
  <c r="I3346" i="2"/>
  <c r="I3347" i="2"/>
  <c r="I3348" i="2"/>
  <c r="I3349" i="2"/>
  <c r="I3350" i="2"/>
  <c r="I3351" i="2"/>
  <c r="I3352" i="2"/>
  <c r="I3353" i="2"/>
  <c r="I3354" i="2"/>
  <c r="I3355" i="2"/>
  <c r="I3356" i="2"/>
  <c r="I3357" i="2"/>
  <c r="I3358" i="2"/>
  <c r="I3359" i="2"/>
  <c r="I3360" i="2"/>
  <c r="I3361" i="2"/>
  <c r="I3362" i="2"/>
  <c r="I3363" i="2"/>
  <c r="I3364" i="2"/>
  <c r="I3365" i="2"/>
  <c r="I3366" i="2"/>
  <c r="I3367" i="2"/>
  <c r="I3368" i="2"/>
  <c r="I3369" i="2"/>
  <c r="I3370" i="2"/>
  <c r="I3371" i="2"/>
  <c r="I3372" i="2"/>
  <c r="I3373" i="2"/>
  <c r="I3374" i="2"/>
  <c r="I3375" i="2"/>
  <c r="I3376" i="2"/>
  <c r="I3377" i="2"/>
  <c r="I3378" i="2"/>
  <c r="I3379" i="2"/>
  <c r="I3380" i="2"/>
  <c r="I3381" i="2"/>
  <c r="I3382" i="2"/>
  <c r="I3383" i="2"/>
  <c r="I3384" i="2"/>
  <c r="I3385" i="2"/>
  <c r="I3386" i="2"/>
  <c r="I3387" i="2"/>
  <c r="I3388" i="2"/>
  <c r="I3389" i="2"/>
  <c r="I3390" i="2"/>
  <c r="I3391" i="2"/>
  <c r="I3392" i="2"/>
  <c r="I3393" i="2"/>
  <c r="I3394" i="2"/>
  <c r="I3395" i="2"/>
  <c r="I3396" i="2"/>
  <c r="I3397" i="2"/>
  <c r="I3398" i="2"/>
  <c r="I3399" i="2"/>
  <c r="I3400" i="2"/>
  <c r="I3401" i="2"/>
  <c r="I3402" i="2"/>
  <c r="I3403" i="2"/>
  <c r="I3404" i="2"/>
  <c r="I3405" i="2"/>
  <c r="I3406" i="2"/>
  <c r="I3407" i="2"/>
  <c r="I3408" i="2"/>
  <c r="I3409" i="2"/>
  <c r="I3410" i="2"/>
  <c r="I3411" i="2"/>
  <c r="I3412" i="2"/>
  <c r="I3413" i="2"/>
  <c r="I3414" i="2"/>
  <c r="I3415" i="2"/>
  <c r="I3416" i="2"/>
  <c r="I3417" i="2"/>
  <c r="I3418" i="2"/>
  <c r="I3419" i="2"/>
  <c r="I3420" i="2"/>
  <c r="I3421" i="2"/>
  <c r="I3422" i="2"/>
  <c r="I3423" i="2"/>
  <c r="I3424" i="2"/>
  <c r="I3425" i="2"/>
  <c r="I3426" i="2"/>
  <c r="I3427" i="2"/>
  <c r="I3428" i="2"/>
  <c r="I3429" i="2"/>
  <c r="I3430" i="2"/>
  <c r="I3431" i="2"/>
  <c r="I3432" i="2"/>
  <c r="I3433" i="2"/>
  <c r="I3434" i="2"/>
  <c r="I3435" i="2"/>
  <c r="I3436" i="2"/>
  <c r="I3437" i="2"/>
  <c r="I3438" i="2"/>
  <c r="I3439" i="2"/>
  <c r="I3440" i="2"/>
  <c r="I3441" i="2"/>
  <c r="I3442" i="2"/>
  <c r="I3443" i="2"/>
  <c r="I3444" i="2"/>
  <c r="I3445" i="2"/>
  <c r="I3446" i="2"/>
  <c r="I3447" i="2"/>
  <c r="I3448" i="2"/>
  <c r="I3449" i="2"/>
  <c r="I3450" i="2"/>
  <c r="I3451" i="2"/>
  <c r="I3452" i="2"/>
  <c r="I3453" i="2"/>
  <c r="I3454" i="2"/>
  <c r="I3455" i="2"/>
  <c r="I3456" i="2"/>
  <c r="I3457" i="2"/>
  <c r="I3458" i="2"/>
  <c r="I3459" i="2"/>
  <c r="I3460" i="2"/>
  <c r="I3461" i="2"/>
  <c r="I3462" i="2"/>
  <c r="I3463" i="2"/>
  <c r="I3464" i="2"/>
  <c r="I3465" i="2"/>
  <c r="I3466" i="2"/>
  <c r="I3467" i="2"/>
  <c r="I3468" i="2"/>
  <c r="I3469" i="2"/>
  <c r="I3470" i="2"/>
  <c r="I3471" i="2"/>
  <c r="I3472" i="2"/>
  <c r="I3473" i="2"/>
  <c r="I3474" i="2"/>
  <c r="I3475" i="2"/>
  <c r="I3476" i="2"/>
  <c r="I3477" i="2"/>
  <c r="I3478" i="2"/>
  <c r="I3479" i="2"/>
  <c r="I3480" i="2"/>
  <c r="I3481" i="2"/>
  <c r="I3482" i="2"/>
  <c r="I3483" i="2"/>
  <c r="I3484" i="2"/>
  <c r="I3485" i="2"/>
  <c r="I3486" i="2"/>
  <c r="I3487" i="2"/>
  <c r="I3488" i="2"/>
  <c r="I3489" i="2"/>
  <c r="I3490" i="2"/>
  <c r="I3491" i="2"/>
  <c r="I3492" i="2"/>
  <c r="I3493" i="2"/>
  <c r="I3494" i="2"/>
  <c r="I3495" i="2"/>
  <c r="I3496" i="2"/>
  <c r="I3497" i="2"/>
  <c r="I3498" i="2"/>
  <c r="I3499" i="2"/>
  <c r="I3500" i="2"/>
  <c r="I3501" i="2"/>
  <c r="I3502" i="2"/>
  <c r="I3503" i="2"/>
  <c r="I3504" i="2"/>
  <c r="I3505" i="2"/>
  <c r="I3506" i="2"/>
  <c r="I3507" i="2"/>
  <c r="I3508" i="2"/>
  <c r="I3509" i="2"/>
  <c r="I3510" i="2"/>
  <c r="I3511" i="2"/>
  <c r="I3512" i="2"/>
  <c r="I3513" i="2"/>
  <c r="I3514" i="2"/>
  <c r="I3515" i="2"/>
  <c r="I3516" i="2"/>
  <c r="I3517" i="2"/>
  <c r="I3518" i="2"/>
  <c r="I3519" i="2"/>
  <c r="I3520" i="2"/>
  <c r="I3521" i="2"/>
  <c r="I3522" i="2"/>
  <c r="I3523" i="2"/>
  <c r="I3524" i="2"/>
  <c r="I3525" i="2"/>
  <c r="I3526" i="2"/>
  <c r="I3527" i="2"/>
  <c r="I3528" i="2"/>
  <c r="I3529" i="2"/>
  <c r="I3530" i="2"/>
  <c r="I3531" i="2"/>
  <c r="I3532" i="2"/>
  <c r="I3533" i="2"/>
  <c r="I3534" i="2"/>
  <c r="I3535" i="2"/>
  <c r="I3536" i="2"/>
  <c r="I3537" i="2"/>
  <c r="I3538" i="2"/>
  <c r="I3539" i="2"/>
  <c r="I3540" i="2"/>
  <c r="I3541" i="2"/>
  <c r="I3542" i="2"/>
  <c r="I3543" i="2"/>
  <c r="I3544" i="2"/>
  <c r="I3545" i="2"/>
  <c r="I3546" i="2"/>
  <c r="I3547" i="2"/>
  <c r="I3548" i="2"/>
  <c r="I3549" i="2"/>
  <c r="I3550" i="2"/>
  <c r="I3551" i="2"/>
  <c r="I3552" i="2"/>
  <c r="I3553" i="2"/>
  <c r="I3554" i="2"/>
  <c r="I3555" i="2"/>
  <c r="I3556" i="2"/>
  <c r="I3557" i="2"/>
  <c r="I3558" i="2"/>
  <c r="I3559" i="2"/>
  <c r="I3560" i="2"/>
  <c r="I3561" i="2"/>
  <c r="I3562" i="2"/>
  <c r="I3563" i="2"/>
  <c r="I3564" i="2"/>
  <c r="I3565" i="2"/>
  <c r="I3566" i="2"/>
  <c r="I3567" i="2"/>
  <c r="I3568" i="2"/>
  <c r="I3569" i="2"/>
  <c r="I3570" i="2"/>
  <c r="I3571" i="2"/>
  <c r="I3572" i="2"/>
  <c r="I3573" i="2"/>
  <c r="I3574" i="2"/>
  <c r="I3575" i="2"/>
  <c r="I3576" i="2"/>
  <c r="I3577" i="2"/>
  <c r="I3578" i="2"/>
  <c r="I3579" i="2"/>
  <c r="I3580" i="2"/>
  <c r="I3581" i="2"/>
  <c r="I3582" i="2"/>
  <c r="I3583" i="2"/>
  <c r="I3584" i="2"/>
  <c r="I3585" i="2"/>
  <c r="I3586" i="2"/>
  <c r="I3587" i="2"/>
  <c r="I3588" i="2"/>
  <c r="I3589" i="2"/>
  <c r="I3590" i="2"/>
  <c r="I3591" i="2"/>
  <c r="I3592" i="2"/>
  <c r="I3593" i="2"/>
  <c r="I3594" i="2"/>
  <c r="I3595" i="2"/>
  <c r="I3596" i="2"/>
  <c r="I3597" i="2"/>
  <c r="I3598" i="2"/>
  <c r="I3599" i="2"/>
  <c r="I3600" i="2"/>
  <c r="I3601" i="2"/>
  <c r="I3602" i="2"/>
  <c r="I3603" i="2"/>
  <c r="I3604" i="2"/>
  <c r="I3605" i="2"/>
  <c r="I3606" i="2"/>
  <c r="I3607" i="2"/>
  <c r="I3608" i="2"/>
  <c r="I3609" i="2"/>
  <c r="I3610" i="2"/>
  <c r="I3611" i="2"/>
  <c r="I3612" i="2"/>
  <c r="I3613" i="2"/>
  <c r="I3614" i="2"/>
  <c r="I3615" i="2"/>
  <c r="I3616" i="2"/>
  <c r="I3617" i="2"/>
  <c r="I3618" i="2"/>
  <c r="I3619" i="2"/>
  <c r="I3620" i="2"/>
  <c r="I3621" i="2"/>
  <c r="I3622" i="2"/>
  <c r="I3623" i="2"/>
  <c r="I3624" i="2"/>
  <c r="I3625" i="2"/>
  <c r="I3626" i="2"/>
  <c r="I3627" i="2"/>
  <c r="I3628" i="2"/>
  <c r="I3629" i="2"/>
  <c r="I3630" i="2"/>
  <c r="I3631" i="2"/>
  <c r="I3632" i="2"/>
  <c r="I3633" i="2"/>
  <c r="I3634" i="2"/>
  <c r="I3635" i="2"/>
  <c r="I3636" i="2"/>
  <c r="I3637" i="2"/>
  <c r="I3638" i="2"/>
  <c r="I3639" i="2"/>
  <c r="I3640" i="2"/>
  <c r="I3641" i="2"/>
  <c r="I3642" i="2"/>
  <c r="I3643" i="2"/>
  <c r="I3644" i="2"/>
  <c r="I3645" i="2"/>
  <c r="I3646" i="2"/>
  <c r="I3647" i="2"/>
  <c r="I3648" i="2"/>
  <c r="I3649" i="2"/>
  <c r="I3650" i="2"/>
  <c r="I3651" i="2"/>
  <c r="I3652" i="2"/>
  <c r="I3653" i="2"/>
  <c r="I3654" i="2"/>
  <c r="I3655" i="2"/>
  <c r="I3656" i="2"/>
  <c r="I3657" i="2"/>
  <c r="I3658" i="2"/>
  <c r="I3659" i="2"/>
  <c r="I3660" i="2"/>
  <c r="I3661" i="2"/>
  <c r="I3662" i="2"/>
  <c r="I3663" i="2"/>
  <c r="I3664" i="2"/>
  <c r="I3665" i="2"/>
  <c r="I3666" i="2"/>
  <c r="I3667" i="2"/>
  <c r="I3668" i="2"/>
  <c r="I3669" i="2"/>
  <c r="I3670" i="2"/>
  <c r="I3671" i="2"/>
  <c r="I3672" i="2"/>
  <c r="I3673" i="2"/>
  <c r="I3674" i="2"/>
  <c r="I3675" i="2"/>
  <c r="I3676" i="2"/>
  <c r="I3677" i="2"/>
  <c r="I3678" i="2"/>
  <c r="I3679" i="2"/>
  <c r="I3680" i="2"/>
  <c r="I3681" i="2"/>
  <c r="I3682" i="2"/>
  <c r="I3683" i="2"/>
  <c r="I3684" i="2"/>
  <c r="I3685" i="2"/>
  <c r="I3686" i="2"/>
  <c r="I3687" i="2"/>
  <c r="I3688" i="2"/>
  <c r="I3689" i="2"/>
  <c r="I3690" i="2"/>
  <c r="I3691" i="2"/>
  <c r="I3692" i="2"/>
  <c r="I3693" i="2"/>
  <c r="I3694" i="2"/>
  <c r="I3695" i="2"/>
  <c r="I3696" i="2"/>
  <c r="I3697" i="2"/>
  <c r="I3698" i="2"/>
  <c r="I3699" i="2"/>
  <c r="I3700" i="2"/>
  <c r="I3701" i="2"/>
  <c r="I3702" i="2"/>
  <c r="I3703" i="2"/>
  <c r="I3704" i="2"/>
  <c r="I3705" i="2"/>
  <c r="I3706" i="2"/>
  <c r="I3707" i="2"/>
  <c r="I3708" i="2"/>
  <c r="I3709" i="2"/>
  <c r="I3710" i="2"/>
  <c r="I3711" i="2"/>
  <c r="I3712" i="2"/>
  <c r="I3713" i="2"/>
  <c r="I3714" i="2"/>
  <c r="I3715" i="2"/>
  <c r="I3716" i="2"/>
  <c r="I3717" i="2"/>
  <c r="I3718" i="2"/>
  <c r="I3719" i="2"/>
  <c r="I3720" i="2"/>
  <c r="I3721" i="2"/>
  <c r="I3722" i="2"/>
  <c r="I3723" i="2"/>
  <c r="I3724" i="2"/>
  <c r="I3725" i="2"/>
  <c r="I3726" i="2"/>
  <c r="I3727" i="2"/>
  <c r="I3728" i="2"/>
  <c r="I3729" i="2"/>
  <c r="I3730" i="2"/>
  <c r="I3731" i="2"/>
  <c r="I3732" i="2"/>
  <c r="I3733" i="2"/>
  <c r="I3734" i="2"/>
  <c r="I3735" i="2"/>
  <c r="I3736" i="2"/>
  <c r="I3737" i="2"/>
  <c r="I3738" i="2"/>
  <c r="I3739" i="2"/>
  <c r="I3740" i="2"/>
  <c r="I3741" i="2"/>
  <c r="I3742" i="2"/>
  <c r="I3743" i="2"/>
  <c r="I3744" i="2"/>
  <c r="I3745" i="2"/>
  <c r="I3746" i="2"/>
  <c r="I3747" i="2"/>
  <c r="I3748" i="2"/>
  <c r="I3749" i="2"/>
  <c r="I3750" i="2"/>
  <c r="I3751" i="2"/>
  <c r="I3752" i="2"/>
  <c r="I3753" i="2"/>
  <c r="I3754" i="2"/>
  <c r="I3755" i="2"/>
  <c r="I3756" i="2"/>
  <c r="I3757" i="2"/>
  <c r="I3758" i="2"/>
  <c r="I3759" i="2"/>
  <c r="I3760" i="2"/>
  <c r="I3761" i="2"/>
  <c r="I3762" i="2"/>
  <c r="I3763" i="2"/>
  <c r="I3764" i="2"/>
  <c r="I3765" i="2"/>
  <c r="I3766" i="2"/>
  <c r="I3767" i="2"/>
  <c r="I3768" i="2"/>
  <c r="I3769" i="2"/>
  <c r="I3770" i="2"/>
  <c r="I3771" i="2"/>
  <c r="I3772" i="2"/>
  <c r="I3773" i="2"/>
  <c r="I3774" i="2"/>
  <c r="I3775" i="2"/>
  <c r="I3776" i="2"/>
  <c r="I3777" i="2"/>
  <c r="I3778" i="2"/>
  <c r="I3779" i="2"/>
  <c r="I3780" i="2"/>
  <c r="I3781" i="2"/>
  <c r="I3782" i="2"/>
  <c r="I3783" i="2"/>
  <c r="I3784" i="2"/>
  <c r="I3785" i="2"/>
  <c r="I3786" i="2"/>
  <c r="I3787" i="2"/>
  <c r="I3788" i="2"/>
  <c r="I3789" i="2"/>
  <c r="I3790" i="2"/>
  <c r="I3791" i="2"/>
  <c r="I3792" i="2"/>
  <c r="I3793" i="2"/>
  <c r="I3794" i="2"/>
  <c r="I3795" i="2"/>
  <c r="I3796" i="2"/>
  <c r="I3797" i="2"/>
  <c r="I3798" i="2"/>
  <c r="I3799" i="2"/>
  <c r="I3800" i="2"/>
  <c r="I3801" i="2"/>
  <c r="I3802" i="2"/>
  <c r="I3803" i="2"/>
  <c r="I3804" i="2"/>
  <c r="I3805" i="2"/>
  <c r="I3806" i="2"/>
  <c r="I3807" i="2"/>
  <c r="I3808" i="2"/>
  <c r="I3809" i="2"/>
  <c r="I3810" i="2"/>
  <c r="I3811" i="2"/>
  <c r="I3812" i="2"/>
  <c r="I3813" i="2"/>
  <c r="I3814" i="2"/>
  <c r="I3815" i="2"/>
  <c r="I3816" i="2"/>
  <c r="I3817" i="2"/>
  <c r="I3818" i="2"/>
  <c r="I3819" i="2"/>
  <c r="I3820" i="2"/>
  <c r="I3821" i="2"/>
  <c r="I3822" i="2"/>
  <c r="I3823" i="2"/>
  <c r="I3824" i="2"/>
  <c r="I3825" i="2"/>
  <c r="I3826" i="2"/>
  <c r="I3827" i="2"/>
  <c r="I3828" i="2"/>
  <c r="I3829" i="2"/>
  <c r="I3830" i="2"/>
  <c r="I3831" i="2"/>
  <c r="I3832" i="2"/>
  <c r="I3833" i="2"/>
  <c r="I3834" i="2"/>
  <c r="I3835" i="2"/>
  <c r="I3836" i="2"/>
  <c r="I3837" i="2"/>
  <c r="I3838" i="2"/>
  <c r="I3839" i="2"/>
  <c r="I3840" i="2"/>
  <c r="I3841" i="2"/>
  <c r="I3842" i="2"/>
  <c r="I3843" i="2"/>
  <c r="I3844" i="2"/>
  <c r="I3845" i="2"/>
  <c r="I3846" i="2"/>
  <c r="I3847" i="2"/>
  <c r="I3848" i="2"/>
  <c r="I3849" i="2"/>
  <c r="I3850" i="2"/>
  <c r="I3851" i="2"/>
  <c r="I3852" i="2"/>
  <c r="I3853" i="2"/>
  <c r="I3854" i="2"/>
  <c r="I3855" i="2"/>
  <c r="I3856" i="2"/>
  <c r="I3857" i="2"/>
  <c r="I3858" i="2"/>
  <c r="I3859" i="2"/>
  <c r="I3860" i="2"/>
  <c r="I3861" i="2"/>
  <c r="I3862" i="2"/>
  <c r="I3863" i="2"/>
  <c r="I3864" i="2"/>
  <c r="I3865" i="2"/>
  <c r="I3866" i="2"/>
  <c r="I3867" i="2"/>
  <c r="I3868" i="2"/>
  <c r="I3869" i="2"/>
  <c r="I3870" i="2"/>
  <c r="I3871" i="2"/>
  <c r="I3872" i="2"/>
  <c r="I3873" i="2"/>
  <c r="I3874" i="2"/>
  <c r="I3875" i="2"/>
  <c r="I3876" i="2"/>
  <c r="I3877" i="2"/>
  <c r="I3878" i="2"/>
  <c r="I3879" i="2"/>
  <c r="I3880" i="2"/>
  <c r="I3881" i="2"/>
  <c r="I3882" i="2"/>
  <c r="I3883" i="2"/>
  <c r="I3884" i="2"/>
  <c r="I3885" i="2"/>
  <c r="I3886" i="2"/>
  <c r="I3887" i="2"/>
  <c r="I3888" i="2"/>
  <c r="I3889" i="2"/>
  <c r="I3890" i="2"/>
  <c r="I3891" i="2"/>
  <c r="I3892" i="2"/>
  <c r="I3893" i="2"/>
  <c r="I3894" i="2"/>
  <c r="I3895" i="2"/>
  <c r="I3896" i="2"/>
  <c r="I3897" i="2"/>
  <c r="I3898" i="2"/>
  <c r="I3899" i="2"/>
  <c r="I3900" i="2"/>
  <c r="I3901" i="2"/>
  <c r="I3902" i="2"/>
  <c r="I3903" i="2"/>
  <c r="I3904" i="2"/>
  <c r="I3905" i="2"/>
  <c r="I3906" i="2"/>
  <c r="I3907" i="2"/>
  <c r="I3908" i="2"/>
  <c r="I3909" i="2"/>
  <c r="I3910" i="2"/>
  <c r="I3911" i="2"/>
  <c r="I3912" i="2"/>
  <c r="I3913" i="2"/>
  <c r="I3914" i="2"/>
  <c r="I3915" i="2"/>
  <c r="I3916" i="2"/>
  <c r="I3917" i="2"/>
  <c r="I3918" i="2"/>
  <c r="I3919" i="2"/>
  <c r="I3920" i="2"/>
  <c r="I3921" i="2"/>
  <c r="I3922" i="2"/>
  <c r="I3923" i="2"/>
  <c r="I3924" i="2"/>
  <c r="I3925" i="2"/>
  <c r="I3926" i="2"/>
  <c r="I3927" i="2"/>
  <c r="I3928" i="2"/>
  <c r="I3929" i="2"/>
  <c r="I3930" i="2"/>
  <c r="I3931" i="2"/>
  <c r="I3932" i="2"/>
  <c r="I3933" i="2"/>
  <c r="I3934" i="2"/>
  <c r="I3935" i="2"/>
  <c r="I3936" i="2"/>
  <c r="I3937" i="2"/>
  <c r="I3938" i="2"/>
  <c r="I3939" i="2"/>
  <c r="I3940" i="2"/>
  <c r="I3941" i="2"/>
  <c r="I3942" i="2"/>
  <c r="I3943" i="2"/>
  <c r="I3944" i="2"/>
  <c r="I3945" i="2"/>
  <c r="I3946" i="2"/>
  <c r="I3947" i="2"/>
  <c r="I3948" i="2"/>
  <c r="I3949" i="2"/>
  <c r="I3950" i="2"/>
  <c r="I3951" i="2"/>
  <c r="I3952" i="2"/>
  <c r="I3953" i="2"/>
  <c r="I3954" i="2"/>
  <c r="I3955" i="2"/>
  <c r="I3956" i="2"/>
  <c r="I3957" i="2"/>
  <c r="I3958" i="2"/>
  <c r="I3959" i="2"/>
  <c r="I3960" i="2"/>
  <c r="I3961" i="2"/>
  <c r="I3962" i="2"/>
  <c r="I3963" i="2"/>
  <c r="I3964" i="2"/>
  <c r="I3965" i="2"/>
  <c r="I3966" i="2"/>
  <c r="I3967" i="2"/>
  <c r="I3968" i="2"/>
  <c r="I3969" i="2"/>
  <c r="I3970" i="2"/>
  <c r="I3971" i="2"/>
  <c r="I3972" i="2"/>
  <c r="I3973" i="2"/>
  <c r="I3974" i="2"/>
  <c r="I3975" i="2"/>
  <c r="I3976" i="2"/>
  <c r="I3977" i="2"/>
  <c r="I3978" i="2"/>
  <c r="I3979" i="2"/>
  <c r="I3980" i="2"/>
  <c r="I3981" i="2"/>
  <c r="I3982" i="2"/>
  <c r="I3983" i="2"/>
  <c r="I3984" i="2"/>
  <c r="I3985" i="2"/>
  <c r="I3986" i="2"/>
  <c r="I3987" i="2"/>
  <c r="I3988" i="2"/>
  <c r="I3989" i="2"/>
  <c r="I3990" i="2"/>
  <c r="I3991" i="2"/>
  <c r="I3992" i="2"/>
  <c r="I3993" i="2"/>
  <c r="I3994" i="2"/>
  <c r="I3995" i="2"/>
  <c r="I3996" i="2"/>
  <c r="I3997" i="2"/>
  <c r="I3998" i="2"/>
  <c r="I3999" i="2"/>
  <c r="I4000" i="2"/>
  <c r="I4001" i="2"/>
  <c r="I4002" i="2"/>
  <c r="I4003" i="2"/>
  <c r="I4004" i="2"/>
  <c r="I4005" i="2"/>
  <c r="I4006" i="2"/>
  <c r="I4007" i="2"/>
  <c r="I4008" i="2"/>
  <c r="I4009" i="2"/>
  <c r="I4010" i="2"/>
  <c r="I4011" i="2"/>
  <c r="I4012" i="2"/>
  <c r="I4013" i="2"/>
  <c r="I4014" i="2"/>
  <c r="I4015" i="2"/>
  <c r="I4016" i="2"/>
  <c r="I4017" i="2"/>
  <c r="I4018" i="2"/>
  <c r="I4019" i="2"/>
  <c r="I4020" i="2"/>
  <c r="I4021" i="2"/>
  <c r="I4022" i="2"/>
  <c r="I4023" i="2"/>
  <c r="I4024" i="2"/>
  <c r="I4025" i="2"/>
  <c r="I4026" i="2"/>
  <c r="I4027" i="2"/>
  <c r="I4028" i="2"/>
  <c r="I4029" i="2"/>
  <c r="I4030" i="2"/>
  <c r="I4031" i="2"/>
  <c r="I4032" i="2"/>
  <c r="I4033" i="2"/>
  <c r="I4034" i="2"/>
  <c r="I4035" i="2"/>
  <c r="I4036" i="2"/>
  <c r="I4037" i="2"/>
  <c r="I4038" i="2"/>
  <c r="I4039" i="2"/>
  <c r="I4040" i="2"/>
  <c r="I4041" i="2"/>
  <c r="I4042" i="2"/>
  <c r="I4043" i="2"/>
  <c r="I4044" i="2"/>
  <c r="I4045" i="2"/>
  <c r="I4046" i="2"/>
  <c r="I4047" i="2"/>
  <c r="I4048" i="2"/>
  <c r="I4049" i="2"/>
  <c r="I4050" i="2"/>
  <c r="I4051" i="2"/>
  <c r="I4052" i="2"/>
  <c r="I4053" i="2"/>
  <c r="I4054" i="2"/>
  <c r="I4055" i="2"/>
  <c r="I4056" i="2"/>
  <c r="I4057" i="2"/>
  <c r="I4058" i="2"/>
  <c r="I4059" i="2"/>
  <c r="I4060" i="2"/>
  <c r="I4061" i="2"/>
  <c r="I4062" i="2"/>
  <c r="I4063" i="2"/>
  <c r="I4064" i="2"/>
  <c r="I4065" i="2"/>
  <c r="I4066" i="2"/>
  <c r="I4067" i="2"/>
  <c r="I4068" i="2"/>
  <c r="I4069" i="2"/>
  <c r="I4070" i="2"/>
  <c r="I4071" i="2"/>
  <c r="I4072" i="2"/>
  <c r="I4073" i="2"/>
  <c r="I4074" i="2"/>
  <c r="I4075" i="2"/>
  <c r="I4076" i="2"/>
  <c r="I4077" i="2"/>
  <c r="I4078" i="2"/>
  <c r="I4079" i="2"/>
  <c r="I4080" i="2"/>
  <c r="I4081" i="2"/>
  <c r="I4082" i="2"/>
  <c r="I4083" i="2"/>
  <c r="I4084" i="2"/>
  <c r="I4085" i="2"/>
  <c r="I4086" i="2"/>
  <c r="I4087" i="2"/>
  <c r="I4088" i="2"/>
  <c r="I4089" i="2"/>
  <c r="I4090" i="2"/>
  <c r="I4091" i="2"/>
  <c r="I4092" i="2"/>
  <c r="I4093" i="2"/>
  <c r="I4094" i="2"/>
  <c r="I4095" i="2"/>
  <c r="I4096" i="2"/>
  <c r="I4097" i="2"/>
  <c r="I4098" i="2"/>
  <c r="I4099" i="2"/>
  <c r="I4100" i="2"/>
  <c r="I4101" i="2"/>
  <c r="I4102" i="2"/>
  <c r="I4103" i="2"/>
  <c r="I4104" i="2"/>
  <c r="I4105" i="2"/>
  <c r="I4106" i="2"/>
  <c r="I4107" i="2"/>
  <c r="I4108" i="2"/>
  <c r="I4109" i="2"/>
  <c r="I4110" i="2"/>
  <c r="I4111" i="2"/>
  <c r="I4112" i="2"/>
  <c r="I4113" i="2"/>
  <c r="I4114" i="2"/>
  <c r="I4115" i="2"/>
  <c r="I4116" i="2"/>
  <c r="I4117" i="2"/>
  <c r="I4118" i="2"/>
  <c r="I4119" i="2"/>
  <c r="I4120" i="2"/>
  <c r="I4121" i="2"/>
  <c r="I4122" i="2"/>
  <c r="I4123" i="2"/>
  <c r="I4124" i="2"/>
  <c r="I4125" i="2"/>
  <c r="I4126" i="2"/>
  <c r="I4127" i="2"/>
  <c r="I4128" i="2"/>
  <c r="I4129" i="2"/>
  <c r="I4130" i="2"/>
  <c r="I4131" i="2"/>
  <c r="I4132" i="2"/>
  <c r="I4133" i="2"/>
  <c r="I4134" i="2"/>
  <c r="I4135" i="2"/>
  <c r="I4136" i="2"/>
  <c r="I4137" i="2"/>
  <c r="I4138" i="2"/>
  <c r="I4139" i="2"/>
  <c r="I4140" i="2"/>
  <c r="I4141" i="2"/>
  <c r="I4142" i="2"/>
  <c r="I4143" i="2"/>
  <c r="I4144" i="2"/>
  <c r="I4145" i="2"/>
  <c r="I4146" i="2"/>
  <c r="I4147" i="2"/>
  <c r="I4148" i="2"/>
  <c r="I4149" i="2"/>
  <c r="I4150" i="2"/>
  <c r="I4151" i="2"/>
  <c r="I4152" i="2"/>
  <c r="I4153" i="2"/>
  <c r="I4154" i="2"/>
  <c r="I4155" i="2"/>
  <c r="I4156" i="2"/>
  <c r="I4157" i="2"/>
  <c r="I4158" i="2"/>
  <c r="I4159" i="2"/>
  <c r="I4160" i="2"/>
  <c r="I4161" i="2"/>
  <c r="I4162" i="2"/>
  <c r="I4163" i="2"/>
  <c r="I4164" i="2"/>
  <c r="I4165" i="2"/>
  <c r="I4166" i="2"/>
  <c r="I4167" i="2"/>
  <c r="I4168" i="2"/>
  <c r="I4169" i="2"/>
  <c r="I4170" i="2"/>
  <c r="I4171" i="2"/>
  <c r="I4172" i="2"/>
  <c r="I4173" i="2"/>
  <c r="I4174" i="2"/>
  <c r="I4175" i="2"/>
  <c r="I4176" i="2"/>
  <c r="I4177" i="2"/>
  <c r="I4178" i="2"/>
  <c r="I4179" i="2"/>
  <c r="I4180" i="2"/>
  <c r="I4181" i="2"/>
  <c r="I4182" i="2"/>
  <c r="I4183" i="2"/>
  <c r="I4184" i="2"/>
  <c r="I4185" i="2"/>
  <c r="I4186" i="2"/>
  <c r="I4187" i="2"/>
  <c r="I4188" i="2"/>
  <c r="I4189" i="2"/>
  <c r="I4190" i="2"/>
  <c r="I4191" i="2"/>
  <c r="I4192" i="2"/>
  <c r="I4193" i="2"/>
  <c r="I4194" i="2"/>
  <c r="I4195" i="2"/>
  <c r="I4196" i="2"/>
  <c r="I4197" i="2"/>
  <c r="I4198" i="2"/>
  <c r="I4199" i="2"/>
  <c r="I4200" i="2"/>
  <c r="I4201" i="2"/>
  <c r="I4202" i="2"/>
  <c r="I4203" i="2"/>
  <c r="I4204" i="2"/>
  <c r="I4205" i="2"/>
  <c r="I4206" i="2"/>
  <c r="I4207" i="2"/>
  <c r="I4208" i="2"/>
  <c r="I4209" i="2"/>
  <c r="I4210" i="2"/>
  <c r="I4211" i="2"/>
  <c r="I4212" i="2"/>
  <c r="I4213" i="2"/>
  <c r="I4214" i="2"/>
  <c r="I4215" i="2"/>
  <c r="I4216" i="2"/>
  <c r="I4217" i="2"/>
  <c r="I4218" i="2"/>
  <c r="I4219" i="2"/>
  <c r="I4220" i="2"/>
  <c r="I4221" i="2"/>
  <c r="I4222" i="2"/>
  <c r="I4223" i="2"/>
  <c r="I4224" i="2"/>
  <c r="I4225" i="2"/>
  <c r="I4226" i="2"/>
  <c r="I4227" i="2"/>
  <c r="I4228" i="2"/>
  <c r="I4229" i="2"/>
  <c r="I4230" i="2"/>
  <c r="I4231" i="2"/>
  <c r="I4232" i="2"/>
  <c r="I4233" i="2"/>
  <c r="I4234" i="2"/>
  <c r="I4235" i="2"/>
  <c r="I4236" i="2"/>
  <c r="I4237" i="2"/>
  <c r="I4238" i="2"/>
  <c r="I4239" i="2"/>
  <c r="I4240" i="2"/>
  <c r="I4241" i="2"/>
  <c r="I4242" i="2"/>
  <c r="I4243" i="2"/>
  <c r="I4244" i="2"/>
  <c r="I4245" i="2"/>
  <c r="I4246" i="2"/>
  <c r="I4247" i="2"/>
  <c r="I4248" i="2"/>
  <c r="I4249" i="2"/>
  <c r="I4250" i="2"/>
  <c r="I4251" i="2"/>
  <c r="I4252" i="2"/>
  <c r="I4253" i="2"/>
  <c r="I4254" i="2"/>
  <c r="I4255" i="2"/>
  <c r="I4256" i="2"/>
  <c r="I4257" i="2"/>
  <c r="I4258" i="2"/>
  <c r="I4259" i="2"/>
  <c r="I4260" i="2"/>
  <c r="I4261" i="2"/>
  <c r="I4262" i="2"/>
  <c r="I4263" i="2"/>
  <c r="I4264" i="2"/>
  <c r="I4265" i="2"/>
  <c r="I4266" i="2"/>
  <c r="I4267" i="2"/>
  <c r="I4268" i="2"/>
  <c r="I4269" i="2"/>
  <c r="I4270" i="2"/>
  <c r="I4271" i="2"/>
  <c r="I4272" i="2"/>
  <c r="I4273" i="2"/>
  <c r="I4274" i="2"/>
  <c r="I4275" i="2"/>
  <c r="I4276" i="2"/>
  <c r="I4277" i="2"/>
  <c r="I4278" i="2"/>
  <c r="I4279" i="2"/>
  <c r="I4280" i="2"/>
  <c r="I4281" i="2"/>
  <c r="I4282" i="2"/>
  <c r="I4283" i="2"/>
  <c r="I4284" i="2"/>
  <c r="I4285" i="2"/>
  <c r="I4286" i="2"/>
  <c r="I4287" i="2"/>
  <c r="I4288" i="2"/>
  <c r="I4289" i="2"/>
  <c r="I4290" i="2"/>
  <c r="I4291" i="2"/>
  <c r="I4292" i="2"/>
  <c r="I4293" i="2"/>
  <c r="I4294" i="2"/>
  <c r="I4295" i="2"/>
  <c r="I4296" i="2"/>
  <c r="I4297" i="2"/>
  <c r="I4298" i="2"/>
  <c r="I4299" i="2"/>
  <c r="I4300" i="2"/>
  <c r="I4301" i="2"/>
  <c r="I4302" i="2"/>
  <c r="I4303" i="2"/>
  <c r="I4304" i="2"/>
  <c r="I4305" i="2"/>
  <c r="I4306" i="2"/>
  <c r="I4307" i="2"/>
  <c r="I4308" i="2"/>
  <c r="I4309" i="2"/>
  <c r="I4310" i="2"/>
  <c r="I4311" i="2"/>
  <c r="I4312" i="2"/>
  <c r="I4313" i="2"/>
  <c r="I4314" i="2"/>
  <c r="I4315" i="2"/>
  <c r="I4316" i="2"/>
  <c r="I4317" i="2"/>
  <c r="I4318" i="2"/>
  <c r="I4319" i="2"/>
  <c r="I4320" i="2"/>
  <c r="I4321" i="2"/>
  <c r="I4322" i="2"/>
  <c r="I4323" i="2"/>
  <c r="I4324" i="2"/>
  <c r="I4325" i="2"/>
  <c r="I4326" i="2"/>
  <c r="I4327" i="2"/>
  <c r="I4328" i="2"/>
  <c r="I4329" i="2"/>
  <c r="I4330" i="2"/>
  <c r="I4331" i="2"/>
  <c r="I4332" i="2"/>
  <c r="I4333" i="2"/>
  <c r="I4334" i="2"/>
  <c r="I4335" i="2"/>
  <c r="I4336" i="2"/>
  <c r="I4337" i="2"/>
  <c r="I4338" i="2"/>
  <c r="I4339" i="2"/>
  <c r="I4340" i="2"/>
  <c r="I4341" i="2"/>
  <c r="I4342" i="2"/>
  <c r="I4343" i="2"/>
  <c r="I4344" i="2"/>
  <c r="I4345" i="2"/>
  <c r="I4346" i="2"/>
  <c r="I4347" i="2"/>
  <c r="I4348" i="2"/>
  <c r="I4349" i="2"/>
  <c r="I4350" i="2"/>
  <c r="I4351" i="2"/>
  <c r="I4352" i="2"/>
  <c r="I4353" i="2"/>
  <c r="I4354" i="2"/>
  <c r="I4355" i="2"/>
  <c r="I4356" i="2"/>
  <c r="I4357" i="2"/>
  <c r="I4358" i="2"/>
  <c r="I4359" i="2"/>
  <c r="I4360" i="2"/>
  <c r="I4361" i="2"/>
  <c r="I4362" i="2"/>
  <c r="I4363" i="2"/>
  <c r="I4364" i="2"/>
  <c r="I4365" i="2"/>
  <c r="I4366" i="2"/>
  <c r="I4367" i="2"/>
  <c r="I4368" i="2"/>
  <c r="I4369" i="2"/>
  <c r="I4370" i="2"/>
  <c r="I4371" i="2"/>
  <c r="I4372" i="2"/>
  <c r="I4373" i="2"/>
  <c r="I4374" i="2"/>
  <c r="I4375" i="2"/>
  <c r="I4376" i="2"/>
  <c r="I4377" i="2"/>
  <c r="I4378" i="2"/>
  <c r="I4379" i="2"/>
  <c r="I4380" i="2"/>
  <c r="I4381" i="2"/>
  <c r="I4382" i="2"/>
  <c r="I4383" i="2"/>
  <c r="I4384" i="2"/>
  <c r="I4385" i="2"/>
  <c r="I4386" i="2"/>
  <c r="I4387" i="2"/>
  <c r="I4388" i="2"/>
  <c r="I4389" i="2"/>
  <c r="I4390" i="2"/>
  <c r="I4391" i="2"/>
  <c r="I4392" i="2"/>
  <c r="I4393" i="2"/>
  <c r="I4394" i="2"/>
  <c r="I4395" i="2"/>
  <c r="I4396" i="2"/>
  <c r="I4397" i="2"/>
  <c r="I4398" i="2"/>
  <c r="I4399" i="2"/>
  <c r="I4400" i="2"/>
  <c r="I4401" i="2"/>
  <c r="I4402" i="2"/>
  <c r="I4403" i="2"/>
  <c r="I4404" i="2"/>
  <c r="I4405" i="2"/>
  <c r="I4406" i="2"/>
  <c r="I4407" i="2"/>
  <c r="I4408" i="2"/>
  <c r="I4409" i="2"/>
  <c r="I4410" i="2"/>
  <c r="I4411" i="2"/>
  <c r="I4412" i="2"/>
  <c r="I4413" i="2"/>
  <c r="I4414" i="2"/>
  <c r="I4415" i="2"/>
  <c r="I4416" i="2"/>
  <c r="I4417" i="2"/>
  <c r="I4418" i="2"/>
  <c r="I4419" i="2"/>
  <c r="I4420" i="2"/>
  <c r="I4421" i="2"/>
  <c r="I4422" i="2"/>
  <c r="I4423" i="2"/>
  <c r="I4424" i="2"/>
  <c r="I4425" i="2"/>
  <c r="I4426" i="2"/>
  <c r="I4427" i="2"/>
  <c r="I4428" i="2"/>
  <c r="I4429" i="2"/>
  <c r="I4430" i="2"/>
  <c r="I4431" i="2"/>
  <c r="I4432" i="2"/>
  <c r="I4433" i="2"/>
  <c r="I4434" i="2"/>
  <c r="I4435" i="2"/>
  <c r="I4436" i="2"/>
  <c r="I4437" i="2"/>
  <c r="I4438" i="2"/>
  <c r="I4439" i="2"/>
  <c r="I4440" i="2"/>
  <c r="I4441" i="2"/>
  <c r="I4442" i="2"/>
  <c r="I4443" i="2"/>
  <c r="I4444" i="2"/>
  <c r="I4445" i="2"/>
  <c r="I4446" i="2"/>
  <c r="I4447" i="2"/>
  <c r="I4448" i="2"/>
  <c r="I4449" i="2"/>
  <c r="I4450" i="2"/>
  <c r="I4451" i="2"/>
  <c r="I4452" i="2"/>
  <c r="I4453" i="2"/>
  <c r="I4454" i="2"/>
  <c r="I4455" i="2"/>
  <c r="I4456" i="2"/>
  <c r="I4457" i="2"/>
  <c r="I4458" i="2"/>
  <c r="I4459" i="2"/>
  <c r="I4460" i="2"/>
  <c r="I4461" i="2"/>
  <c r="I4462" i="2"/>
  <c r="I4463" i="2"/>
  <c r="I4464" i="2"/>
  <c r="I4465" i="2"/>
  <c r="I4466" i="2"/>
  <c r="I4467" i="2"/>
  <c r="I4468" i="2"/>
  <c r="I4469" i="2"/>
  <c r="I4470" i="2"/>
  <c r="I4471" i="2"/>
  <c r="I4472" i="2"/>
  <c r="I4473" i="2"/>
  <c r="I4474" i="2"/>
  <c r="I4475" i="2"/>
  <c r="I4476" i="2"/>
  <c r="I4477" i="2"/>
  <c r="I4478" i="2"/>
  <c r="I4479" i="2"/>
  <c r="I4480" i="2"/>
  <c r="I4481" i="2"/>
  <c r="I4482" i="2"/>
  <c r="I4483" i="2"/>
  <c r="I4484" i="2"/>
  <c r="I4485" i="2"/>
  <c r="I4486" i="2"/>
  <c r="I4487" i="2"/>
  <c r="I4488" i="2"/>
  <c r="I4489" i="2"/>
  <c r="I4490" i="2"/>
  <c r="I4491" i="2"/>
  <c r="I4492" i="2"/>
  <c r="I4493" i="2"/>
  <c r="I4494" i="2"/>
  <c r="I4495" i="2"/>
  <c r="I4496" i="2"/>
  <c r="I4497" i="2"/>
  <c r="I4498" i="2"/>
  <c r="I4499" i="2"/>
  <c r="I4500" i="2"/>
  <c r="I4501" i="2"/>
  <c r="I4502" i="2"/>
  <c r="I4503" i="2"/>
  <c r="I4504" i="2"/>
  <c r="I4505" i="2"/>
  <c r="I4506" i="2"/>
  <c r="I4507" i="2"/>
  <c r="I4508" i="2"/>
  <c r="I4509" i="2"/>
  <c r="I4510" i="2"/>
  <c r="I4511" i="2"/>
  <c r="I4512" i="2"/>
  <c r="I4513" i="2"/>
  <c r="I4514" i="2"/>
  <c r="I4515" i="2"/>
  <c r="I4516" i="2"/>
  <c r="I4517" i="2"/>
  <c r="I4518" i="2"/>
  <c r="I4519" i="2"/>
  <c r="I4520" i="2"/>
  <c r="I4521" i="2"/>
  <c r="I4522" i="2"/>
  <c r="I4523" i="2"/>
  <c r="I4524" i="2"/>
  <c r="I4525" i="2"/>
  <c r="I4526" i="2"/>
  <c r="I4527" i="2"/>
  <c r="I4528" i="2"/>
  <c r="I4529" i="2"/>
  <c r="I4530" i="2"/>
  <c r="I4531" i="2"/>
  <c r="I4532" i="2"/>
  <c r="I4533" i="2"/>
  <c r="I4534" i="2"/>
  <c r="I4535" i="2"/>
  <c r="I4536" i="2"/>
  <c r="I4537" i="2"/>
  <c r="I4538" i="2"/>
  <c r="I4539" i="2"/>
  <c r="I4540" i="2"/>
  <c r="I4541" i="2"/>
  <c r="I4542" i="2"/>
  <c r="I4543" i="2"/>
  <c r="I4544" i="2"/>
  <c r="I4545" i="2"/>
  <c r="I4546" i="2"/>
  <c r="I4547" i="2"/>
  <c r="I4548" i="2"/>
  <c r="I4549" i="2"/>
  <c r="I4550" i="2"/>
  <c r="I4551" i="2"/>
  <c r="I4552" i="2"/>
  <c r="I4553" i="2"/>
  <c r="I4554" i="2"/>
  <c r="I4555" i="2"/>
  <c r="I4556" i="2"/>
  <c r="I4557" i="2"/>
  <c r="I4558" i="2"/>
  <c r="I4559" i="2"/>
  <c r="I4560" i="2"/>
  <c r="I4561" i="2"/>
  <c r="I4562" i="2"/>
  <c r="I4563" i="2"/>
  <c r="I4564" i="2"/>
  <c r="I4565" i="2"/>
  <c r="I4566" i="2"/>
  <c r="I4567" i="2"/>
  <c r="I4568" i="2"/>
  <c r="I4569" i="2"/>
  <c r="I4570" i="2"/>
  <c r="I4571" i="2"/>
  <c r="I4572" i="2"/>
  <c r="I4573" i="2"/>
  <c r="I4574" i="2"/>
  <c r="I4575" i="2"/>
  <c r="I4576" i="2"/>
  <c r="I4577" i="2"/>
  <c r="I4578" i="2"/>
  <c r="I4579" i="2"/>
  <c r="I4580" i="2"/>
  <c r="I4581" i="2"/>
  <c r="I4582" i="2"/>
  <c r="I4583" i="2"/>
  <c r="I4584" i="2"/>
  <c r="I4585" i="2"/>
  <c r="I4586" i="2"/>
  <c r="I4587" i="2"/>
  <c r="I4588" i="2"/>
  <c r="I4589" i="2"/>
  <c r="I4590" i="2"/>
  <c r="I4591" i="2"/>
  <c r="I4592" i="2"/>
  <c r="I4593" i="2"/>
  <c r="I4594" i="2"/>
  <c r="I4595" i="2"/>
  <c r="I4596" i="2"/>
  <c r="I4597" i="2"/>
  <c r="I4598" i="2"/>
  <c r="I4599" i="2"/>
  <c r="I4600" i="2"/>
  <c r="I4601" i="2"/>
  <c r="I4602" i="2"/>
  <c r="I4603" i="2"/>
  <c r="I4604" i="2"/>
  <c r="I4605" i="2"/>
  <c r="I4606" i="2"/>
  <c r="I4607" i="2"/>
  <c r="I4608" i="2"/>
  <c r="I4609" i="2"/>
  <c r="I4610" i="2"/>
  <c r="I4611" i="2"/>
  <c r="I4612" i="2"/>
  <c r="I4613" i="2"/>
  <c r="I4614" i="2"/>
  <c r="I4615" i="2"/>
  <c r="I4616" i="2"/>
  <c r="I4617" i="2"/>
  <c r="I4618" i="2"/>
  <c r="I4619" i="2"/>
  <c r="I4620" i="2"/>
  <c r="I4621" i="2"/>
  <c r="I4622" i="2"/>
  <c r="I4623" i="2"/>
  <c r="I4624" i="2"/>
  <c r="I4625" i="2"/>
  <c r="I4626" i="2"/>
  <c r="I4627" i="2"/>
  <c r="I4628" i="2"/>
  <c r="I4629" i="2"/>
  <c r="I4630" i="2"/>
  <c r="I4631" i="2"/>
  <c r="I4632" i="2"/>
  <c r="I4633" i="2"/>
  <c r="I4634" i="2"/>
  <c r="I4635" i="2"/>
  <c r="I4636" i="2"/>
  <c r="I4637" i="2"/>
  <c r="I4638" i="2"/>
  <c r="I4639" i="2"/>
  <c r="I4640" i="2"/>
  <c r="I4641" i="2"/>
  <c r="I4642" i="2"/>
  <c r="I4643" i="2"/>
  <c r="I4644" i="2"/>
  <c r="I4645" i="2"/>
  <c r="I4646" i="2"/>
  <c r="I4647" i="2"/>
  <c r="I4648" i="2"/>
  <c r="I4649" i="2"/>
  <c r="I4650" i="2"/>
  <c r="I4651" i="2"/>
  <c r="I4652" i="2"/>
  <c r="I4653" i="2"/>
  <c r="I4654" i="2"/>
  <c r="I4655" i="2"/>
  <c r="I4656" i="2"/>
  <c r="I4657" i="2"/>
  <c r="I4658" i="2"/>
  <c r="I4659" i="2"/>
  <c r="I4660" i="2"/>
  <c r="I4661" i="2"/>
  <c r="I4662" i="2"/>
  <c r="I4663" i="2"/>
  <c r="I4664" i="2"/>
  <c r="I4665" i="2"/>
  <c r="I4666" i="2"/>
  <c r="I4667" i="2"/>
  <c r="I4668" i="2"/>
  <c r="I4669" i="2"/>
  <c r="I4670" i="2"/>
  <c r="I4671" i="2"/>
  <c r="I4672" i="2"/>
  <c r="I4673" i="2"/>
  <c r="I4674" i="2"/>
  <c r="I4675" i="2"/>
  <c r="I4676" i="2"/>
  <c r="I4677" i="2"/>
  <c r="I4678" i="2"/>
  <c r="I4679" i="2"/>
  <c r="I4680" i="2"/>
  <c r="I4681" i="2"/>
  <c r="I4682" i="2"/>
  <c r="I4683" i="2"/>
  <c r="I4684" i="2"/>
  <c r="I4685" i="2"/>
  <c r="I4686" i="2"/>
  <c r="I4687" i="2"/>
  <c r="I4688" i="2"/>
  <c r="I4689" i="2"/>
  <c r="I4690" i="2"/>
  <c r="I4691" i="2"/>
  <c r="I4692" i="2"/>
  <c r="I4693" i="2"/>
  <c r="I4694" i="2"/>
  <c r="I4695" i="2"/>
  <c r="I4696" i="2"/>
  <c r="I4697" i="2"/>
  <c r="I4698" i="2"/>
  <c r="I4699" i="2"/>
  <c r="I4700" i="2"/>
  <c r="I4701" i="2"/>
  <c r="I4702" i="2"/>
  <c r="I4703" i="2"/>
  <c r="I4704" i="2"/>
  <c r="I4705" i="2"/>
  <c r="I4706" i="2"/>
  <c r="I4707" i="2"/>
  <c r="I4708" i="2"/>
  <c r="I4709" i="2"/>
  <c r="I4710" i="2"/>
  <c r="I4711" i="2"/>
  <c r="I4712" i="2"/>
  <c r="I4713" i="2"/>
  <c r="I4714" i="2"/>
  <c r="I4715" i="2"/>
  <c r="I4716" i="2"/>
  <c r="I4717" i="2"/>
  <c r="I4718" i="2"/>
  <c r="I4719" i="2"/>
  <c r="I4720" i="2"/>
  <c r="I4721" i="2"/>
  <c r="I4722" i="2"/>
  <c r="I4723" i="2"/>
  <c r="I4724" i="2"/>
  <c r="I4725" i="2"/>
  <c r="I4726" i="2"/>
  <c r="I4727" i="2"/>
  <c r="I4728" i="2"/>
  <c r="I4729" i="2"/>
  <c r="I4730" i="2"/>
  <c r="I4731" i="2"/>
  <c r="I4732" i="2"/>
  <c r="I4733" i="2"/>
  <c r="I4734" i="2"/>
  <c r="I4735" i="2"/>
  <c r="I4736" i="2"/>
  <c r="I4737" i="2"/>
  <c r="I4738" i="2"/>
  <c r="I4739" i="2"/>
  <c r="I4740" i="2"/>
  <c r="I4741" i="2"/>
  <c r="I4742" i="2"/>
  <c r="I4743" i="2"/>
  <c r="I4744" i="2"/>
  <c r="I4745" i="2"/>
  <c r="I4746" i="2"/>
  <c r="I4747" i="2"/>
  <c r="I4748" i="2"/>
  <c r="I4749" i="2"/>
  <c r="I4750" i="2"/>
  <c r="I4751" i="2"/>
  <c r="I4752" i="2"/>
  <c r="I4753" i="2"/>
  <c r="I4754" i="2"/>
  <c r="I4755" i="2"/>
  <c r="I4756" i="2"/>
  <c r="I4757" i="2"/>
  <c r="I4758" i="2"/>
  <c r="I4759" i="2"/>
  <c r="I4760" i="2"/>
  <c r="I4761" i="2"/>
  <c r="I4762" i="2"/>
  <c r="I4763" i="2"/>
  <c r="I4764" i="2"/>
  <c r="I4765" i="2"/>
  <c r="I4766" i="2"/>
  <c r="I4767" i="2"/>
  <c r="I4768" i="2"/>
  <c r="I4769" i="2"/>
  <c r="I4770" i="2"/>
  <c r="I4771" i="2"/>
  <c r="I4772" i="2"/>
  <c r="I4773" i="2"/>
  <c r="I4774" i="2"/>
  <c r="I4775" i="2"/>
  <c r="I4776" i="2"/>
  <c r="I4777" i="2"/>
  <c r="I4778" i="2"/>
  <c r="I4779" i="2"/>
  <c r="I4780" i="2"/>
  <c r="I4781" i="2"/>
  <c r="I4782" i="2"/>
  <c r="I4783" i="2"/>
  <c r="I4784" i="2"/>
  <c r="I4785" i="2"/>
  <c r="I4786" i="2"/>
  <c r="I4787" i="2"/>
  <c r="I4788" i="2"/>
  <c r="I4789" i="2"/>
  <c r="I4790" i="2"/>
  <c r="I4791" i="2"/>
  <c r="I4792" i="2"/>
  <c r="I4793" i="2"/>
  <c r="I4794" i="2"/>
  <c r="I4795" i="2"/>
  <c r="I4796" i="2"/>
  <c r="I4797" i="2"/>
  <c r="I4798" i="2"/>
  <c r="I4799" i="2"/>
  <c r="I4800" i="2"/>
  <c r="I4801" i="2"/>
  <c r="I4802" i="2"/>
  <c r="I4803" i="2"/>
  <c r="I4804" i="2"/>
  <c r="I4805" i="2"/>
  <c r="I4806" i="2"/>
  <c r="I4807" i="2"/>
  <c r="I4808" i="2"/>
  <c r="I4809" i="2"/>
  <c r="I4810" i="2"/>
  <c r="I4811" i="2"/>
  <c r="I4812" i="2"/>
  <c r="I4813" i="2"/>
  <c r="I4814" i="2"/>
  <c r="I4815" i="2"/>
  <c r="I4816" i="2"/>
  <c r="I4817" i="2"/>
  <c r="I4818" i="2"/>
  <c r="I4819" i="2"/>
  <c r="I4820" i="2"/>
  <c r="I4821" i="2"/>
  <c r="I4822" i="2"/>
  <c r="I4823" i="2"/>
  <c r="I4824" i="2"/>
  <c r="I4825" i="2"/>
  <c r="I4826" i="2"/>
  <c r="I4827" i="2"/>
  <c r="I4828" i="2"/>
  <c r="I4829" i="2"/>
  <c r="I4830" i="2"/>
  <c r="I4831" i="2"/>
  <c r="I4832" i="2"/>
  <c r="I4833" i="2"/>
  <c r="I4834" i="2"/>
  <c r="I4835" i="2"/>
  <c r="I4836" i="2"/>
  <c r="I4837" i="2"/>
  <c r="I4838" i="2"/>
  <c r="I4839" i="2"/>
  <c r="I4840" i="2"/>
  <c r="I4841" i="2"/>
  <c r="I4842" i="2"/>
  <c r="I4843" i="2"/>
  <c r="I4844" i="2"/>
  <c r="I4845" i="2"/>
  <c r="I4846" i="2"/>
  <c r="I4847" i="2"/>
  <c r="I4848" i="2"/>
  <c r="I4849" i="2"/>
  <c r="I4850" i="2"/>
  <c r="I4851" i="2"/>
  <c r="I4852" i="2"/>
  <c r="I4853" i="2"/>
  <c r="I4854" i="2"/>
  <c r="I4855" i="2"/>
  <c r="I4856" i="2"/>
  <c r="I4857" i="2"/>
  <c r="I4858" i="2"/>
  <c r="I4859" i="2"/>
  <c r="I4860" i="2"/>
  <c r="I4861" i="2"/>
  <c r="I4862" i="2"/>
  <c r="I4863" i="2"/>
  <c r="I4864" i="2"/>
  <c r="I4865" i="2"/>
  <c r="I4866" i="2"/>
  <c r="I4867" i="2"/>
  <c r="I4868" i="2"/>
  <c r="I4869" i="2"/>
  <c r="I4870" i="2"/>
  <c r="I4871" i="2"/>
  <c r="I4872" i="2"/>
  <c r="I4873" i="2"/>
  <c r="I4874" i="2"/>
  <c r="I4875" i="2"/>
  <c r="I4876" i="2"/>
  <c r="I4877" i="2"/>
  <c r="I4878" i="2"/>
  <c r="I4879" i="2"/>
  <c r="I4880" i="2"/>
  <c r="I4881" i="2"/>
  <c r="I4882" i="2"/>
  <c r="I4883" i="2"/>
  <c r="I4884" i="2"/>
  <c r="I4885" i="2"/>
  <c r="I4886" i="2"/>
  <c r="I4887" i="2"/>
  <c r="I4888" i="2"/>
  <c r="I4889" i="2"/>
  <c r="I4890" i="2"/>
  <c r="I4891" i="2"/>
  <c r="I4892" i="2"/>
  <c r="I4893" i="2"/>
  <c r="I4894" i="2"/>
  <c r="I4895" i="2"/>
  <c r="I4896" i="2"/>
  <c r="I4897" i="2"/>
  <c r="I4898" i="2"/>
  <c r="I4899" i="2"/>
  <c r="I4900" i="2"/>
  <c r="I4901" i="2"/>
  <c r="I4902" i="2"/>
  <c r="I4903" i="2"/>
  <c r="I4904" i="2"/>
  <c r="I4905" i="2"/>
  <c r="I4906" i="2"/>
  <c r="I4907" i="2"/>
  <c r="I4908" i="2"/>
  <c r="I4909" i="2"/>
  <c r="I4910" i="2"/>
  <c r="I4911" i="2"/>
  <c r="I4912" i="2"/>
  <c r="I4913" i="2"/>
  <c r="I4914" i="2"/>
  <c r="I4915" i="2"/>
  <c r="I4916" i="2"/>
  <c r="I4917" i="2"/>
  <c r="I4918" i="2"/>
  <c r="I4919" i="2"/>
  <c r="I4920" i="2"/>
  <c r="I4921" i="2"/>
  <c r="I4922" i="2"/>
  <c r="I4923" i="2"/>
  <c r="I4924" i="2"/>
  <c r="I4925" i="2"/>
  <c r="I4926" i="2"/>
  <c r="I4927" i="2"/>
  <c r="I4928" i="2"/>
  <c r="I4929" i="2"/>
  <c r="I4930" i="2"/>
  <c r="I4931" i="2"/>
  <c r="I4932" i="2"/>
  <c r="I4933" i="2"/>
  <c r="I4934" i="2"/>
  <c r="I4935" i="2"/>
  <c r="I4936" i="2"/>
  <c r="I4937" i="2"/>
  <c r="I4938" i="2"/>
  <c r="I4939" i="2"/>
  <c r="I4940" i="2"/>
  <c r="I4941" i="2"/>
  <c r="I4942" i="2"/>
  <c r="I4943" i="2"/>
  <c r="I4944" i="2"/>
  <c r="I4945" i="2"/>
  <c r="I4946" i="2"/>
  <c r="I4947" i="2"/>
  <c r="I4948" i="2"/>
  <c r="I4949" i="2"/>
  <c r="I4950" i="2"/>
  <c r="I4951" i="2"/>
  <c r="I4952" i="2"/>
  <c r="I4953" i="2"/>
  <c r="I4954" i="2"/>
  <c r="I4955" i="2"/>
  <c r="I4956" i="2"/>
  <c r="I4957" i="2"/>
  <c r="I4958" i="2"/>
  <c r="I4959" i="2"/>
  <c r="I4960" i="2"/>
  <c r="I4961" i="2"/>
  <c r="I4962" i="2"/>
  <c r="I4963" i="2"/>
  <c r="I4964" i="2"/>
  <c r="I4965" i="2"/>
  <c r="I4966" i="2"/>
  <c r="I4967" i="2"/>
  <c r="I4968" i="2"/>
  <c r="I4969" i="2"/>
  <c r="I4970" i="2"/>
  <c r="I4971" i="2"/>
  <c r="I4972" i="2"/>
  <c r="I4973" i="2"/>
  <c r="I4974" i="2"/>
  <c r="I4975" i="2"/>
  <c r="I4976" i="2"/>
  <c r="I4977" i="2"/>
  <c r="I4978" i="2"/>
  <c r="I4979" i="2"/>
  <c r="I4980" i="2"/>
  <c r="I4981" i="2"/>
  <c r="I4982" i="2"/>
  <c r="I4983" i="2"/>
  <c r="K217" i="2"/>
  <c r="L217" i="2" s="1"/>
  <c r="K253" i="2"/>
  <c r="L253" i="2" s="1"/>
  <c r="K254" i="2"/>
  <c r="L254" i="2" s="1"/>
  <c r="K273" i="2"/>
  <c r="L273" i="2" s="1"/>
  <c r="K281" i="2"/>
  <c r="L281" i="2" s="1"/>
  <c r="K289" i="2"/>
  <c r="L289" i="2" s="1"/>
  <c r="K293" i="2"/>
  <c r="L293" i="2" s="1"/>
  <c r="K297" i="2"/>
  <c r="L297" i="2" s="1"/>
  <c r="K301" i="2"/>
  <c r="L301" i="2" s="1"/>
  <c r="K305" i="2"/>
  <c r="L305" i="2" s="1"/>
  <c r="K306" i="2"/>
  <c r="L306" i="2" s="1"/>
  <c r="K309" i="2"/>
  <c r="L309" i="2" s="1"/>
  <c r="K313" i="2"/>
  <c r="L313" i="2" s="1"/>
  <c r="K314" i="2"/>
  <c r="L314" i="2" s="1"/>
  <c r="K317" i="2"/>
  <c r="L317" i="2" s="1"/>
  <c r="K318" i="2"/>
  <c r="L318" i="2" s="1"/>
  <c r="K321" i="2"/>
  <c r="L321" i="2" s="1"/>
  <c r="K322" i="2"/>
  <c r="L322" i="2" s="1"/>
  <c r="K325" i="2"/>
  <c r="L325" i="2" s="1"/>
  <c r="K326" i="2"/>
  <c r="L326" i="2" s="1"/>
  <c r="K329" i="2"/>
  <c r="L329" i="2" s="1"/>
  <c r="K330" i="2"/>
  <c r="L330" i="2" s="1"/>
  <c r="K333" i="2"/>
  <c r="L333" i="2" s="1"/>
  <c r="K337" i="2"/>
  <c r="L337" i="2" s="1"/>
  <c r="K341" i="2"/>
  <c r="L341" i="2" s="1"/>
  <c r="K345" i="2"/>
  <c r="L345" i="2" s="1"/>
  <c r="K349" i="2"/>
  <c r="L349" i="2" s="1"/>
  <c r="K353" i="2"/>
  <c r="L353" i="2" s="1"/>
  <c r="K357" i="2"/>
  <c r="L357" i="2" s="1"/>
  <c r="K358" i="2"/>
  <c r="L358" i="2" s="1"/>
  <c r="K361" i="2"/>
  <c r="L361" i="2" s="1"/>
  <c r="K365" i="2"/>
  <c r="L365" i="2" s="1"/>
  <c r="K366" i="2"/>
  <c r="L366" i="2" s="1"/>
  <c r="K369" i="2"/>
  <c r="L369" i="2" s="1"/>
  <c r="K373" i="2"/>
  <c r="L373" i="2" s="1"/>
  <c r="K377" i="2"/>
  <c r="L377" i="2" s="1"/>
  <c r="K381" i="2"/>
  <c r="L381" i="2" s="1"/>
  <c r="K385" i="2"/>
  <c r="L385" i="2" s="1"/>
  <c r="K386" i="2"/>
  <c r="L386" i="2" s="1"/>
  <c r="K389" i="2"/>
  <c r="L389" i="2" s="1"/>
  <c r="K393" i="2"/>
  <c r="L393" i="2" s="1"/>
  <c r="K394" i="2"/>
  <c r="L394" i="2" s="1"/>
  <c r="K397" i="2"/>
  <c r="L397" i="2" s="1"/>
  <c r="K401" i="2"/>
  <c r="L401" i="2" s="1"/>
  <c r="K405" i="2"/>
  <c r="L405" i="2" s="1"/>
  <c r="K409" i="2"/>
  <c r="L409" i="2" s="1"/>
  <c r="K413" i="2"/>
  <c r="L413" i="2" s="1"/>
  <c r="K417" i="2"/>
  <c r="L417" i="2" s="1"/>
  <c r="K421" i="2"/>
  <c r="L421" i="2" s="1"/>
  <c r="K422" i="2"/>
  <c r="L422" i="2" s="1"/>
  <c r="K425" i="2"/>
  <c r="L425" i="2" s="1"/>
  <c r="K429" i="2"/>
  <c r="L429" i="2" s="1"/>
  <c r="K430" i="2"/>
  <c r="L430" i="2" s="1"/>
  <c r="K433" i="2"/>
  <c r="L433" i="2" s="1"/>
  <c r="K437" i="2"/>
  <c r="L437" i="2" s="1"/>
  <c r="K441" i="2"/>
  <c r="L441" i="2" s="1"/>
  <c r="K445" i="2"/>
  <c r="L445" i="2" s="1"/>
  <c r="K449" i="2"/>
  <c r="L449" i="2" s="1"/>
  <c r="K450" i="2"/>
  <c r="L450" i="2" s="1"/>
  <c r="K453" i="2"/>
  <c r="L453" i="2" s="1"/>
  <c r="K457" i="2"/>
  <c r="L457" i="2" s="1"/>
  <c r="K459" i="2"/>
  <c r="L459" i="2" s="1"/>
  <c r="K461" i="2"/>
  <c r="L461" i="2" s="1"/>
  <c r="K465" i="2"/>
  <c r="L465" i="2" s="1"/>
  <c r="K469" i="2"/>
  <c r="L469" i="2" s="1"/>
  <c r="K473" i="2"/>
  <c r="L473" i="2" s="1"/>
  <c r="K477" i="2"/>
  <c r="L477" i="2" s="1"/>
  <c r="K481" i="2"/>
  <c r="L481" i="2" s="1"/>
  <c r="K485" i="2"/>
  <c r="L485" i="2" s="1"/>
  <c r="K489" i="2"/>
  <c r="L489" i="2" s="1"/>
  <c r="K493" i="2"/>
  <c r="L493" i="2" s="1"/>
  <c r="K497" i="2"/>
  <c r="L497" i="2" s="1"/>
  <c r="K501" i="2"/>
  <c r="L501" i="2" s="1"/>
  <c r="K505" i="2"/>
  <c r="L505" i="2" s="1"/>
  <c r="K509" i="2"/>
  <c r="L509" i="2" s="1"/>
  <c r="K513" i="2"/>
  <c r="L513" i="2" s="1"/>
  <c r="K517" i="2"/>
  <c r="L517" i="2" s="1"/>
  <c r="K518" i="2"/>
  <c r="L518" i="2" s="1"/>
  <c r="K521" i="2"/>
  <c r="L521" i="2" s="1"/>
  <c r="K525" i="2"/>
  <c r="L525" i="2" s="1"/>
  <c r="K526" i="2"/>
  <c r="L526" i="2" s="1"/>
  <c r="K529" i="2"/>
  <c r="L529" i="2" s="1"/>
  <c r="K533" i="2"/>
  <c r="L533" i="2" s="1"/>
  <c r="K534" i="2"/>
  <c r="L534" i="2" s="1"/>
  <c r="K537" i="2"/>
  <c r="L537" i="2" s="1"/>
  <c r="K541" i="2"/>
  <c r="L541" i="2" s="1"/>
  <c r="K542" i="2"/>
  <c r="L542" i="2" s="1"/>
  <c r="K545" i="2"/>
  <c r="L545" i="2" s="1"/>
  <c r="K549" i="2"/>
  <c r="L549" i="2" s="1"/>
  <c r="K550" i="2"/>
  <c r="L550" i="2" s="1"/>
  <c r="K553" i="2"/>
  <c r="L553" i="2" s="1"/>
  <c r="K557" i="2"/>
  <c r="L557" i="2" s="1"/>
  <c r="K558" i="2"/>
  <c r="L558" i="2" s="1"/>
  <c r="K561" i="2"/>
  <c r="L561" i="2" s="1"/>
  <c r="K565" i="2"/>
  <c r="L565" i="2" s="1"/>
  <c r="K566" i="2"/>
  <c r="L566" i="2" s="1"/>
  <c r="K569" i="2"/>
  <c r="L569" i="2" s="1"/>
  <c r="K573" i="2"/>
  <c r="L573" i="2" s="1"/>
  <c r="K574" i="2"/>
  <c r="L574" i="2" s="1"/>
  <c r="K577" i="2"/>
  <c r="L577" i="2" s="1"/>
  <c r="K581" i="2"/>
  <c r="L581" i="2" s="1"/>
  <c r="K582" i="2"/>
  <c r="L582" i="2" s="1"/>
  <c r="K585" i="2"/>
  <c r="L585" i="2" s="1"/>
  <c r="K589" i="2"/>
  <c r="L589" i="2" s="1"/>
  <c r="K590" i="2"/>
  <c r="L590" i="2" s="1"/>
  <c r="K593" i="2"/>
  <c r="L593" i="2" s="1"/>
  <c r="K597" i="2"/>
  <c r="L597" i="2" s="1"/>
  <c r="K598" i="2"/>
  <c r="L598" i="2" s="1"/>
  <c r="K601" i="2"/>
  <c r="L601" i="2" s="1"/>
  <c r="K605" i="2"/>
  <c r="L605" i="2" s="1"/>
  <c r="K606" i="2"/>
  <c r="L606" i="2" s="1"/>
  <c r="K609" i="2"/>
  <c r="L609" i="2" s="1"/>
  <c r="K613" i="2"/>
  <c r="L613" i="2" s="1"/>
  <c r="K614" i="2"/>
  <c r="L614" i="2" s="1"/>
  <c r="K617" i="2"/>
  <c r="L617" i="2" s="1"/>
  <c r="K621" i="2"/>
  <c r="L621" i="2" s="1"/>
  <c r="K622" i="2"/>
  <c r="L622" i="2" s="1"/>
  <c r="K625" i="2"/>
  <c r="L625" i="2" s="1"/>
  <c r="K629" i="2"/>
  <c r="L629" i="2" s="1"/>
  <c r="K630" i="2"/>
  <c r="L630" i="2" s="1"/>
  <c r="K633" i="2"/>
  <c r="L633" i="2" s="1"/>
  <c r="K637" i="2"/>
  <c r="L637" i="2" s="1"/>
  <c r="K638" i="2"/>
  <c r="L638" i="2" s="1"/>
  <c r="K641" i="2"/>
  <c r="L641" i="2" s="1"/>
  <c r="K645" i="2"/>
  <c r="L645" i="2" s="1"/>
  <c r="K646" i="2"/>
  <c r="L646" i="2" s="1"/>
  <c r="K649" i="2"/>
  <c r="L649" i="2" s="1"/>
  <c r="K653" i="2"/>
  <c r="L653" i="2" s="1"/>
  <c r="K654" i="2"/>
  <c r="L654" i="2" s="1"/>
  <c r="K655" i="2"/>
  <c r="L655" i="2" s="1"/>
  <c r="K657" i="2"/>
  <c r="L657" i="2" s="1"/>
  <c r="K658" i="2"/>
  <c r="L658" i="2" s="1"/>
  <c r="K661" i="2"/>
  <c r="L661" i="2" s="1"/>
  <c r="K662" i="2"/>
  <c r="L662" i="2" s="1"/>
  <c r="K665" i="2"/>
  <c r="L665" i="2" s="1"/>
  <c r="K666" i="2"/>
  <c r="L666" i="2" s="1"/>
  <c r="K667" i="2"/>
  <c r="L667" i="2" s="1"/>
  <c r="K669" i="2"/>
  <c r="L669" i="2" s="1"/>
  <c r="K673" i="2"/>
  <c r="L673" i="2" s="1"/>
  <c r="K674" i="2"/>
  <c r="L674" i="2" s="1"/>
  <c r="K677" i="2"/>
  <c r="L677" i="2" s="1"/>
  <c r="K681" i="2"/>
  <c r="L681" i="2" s="1"/>
  <c r="K682" i="2"/>
  <c r="L682" i="2" s="1"/>
  <c r="K685" i="2"/>
  <c r="L685" i="2" s="1"/>
  <c r="K689" i="2"/>
  <c r="L689" i="2" s="1"/>
  <c r="K690" i="2"/>
  <c r="L690" i="2" s="1"/>
  <c r="K693" i="2"/>
  <c r="L693" i="2" s="1"/>
  <c r="K697" i="2"/>
  <c r="L697" i="2" s="1"/>
  <c r="K698" i="2"/>
  <c r="L698" i="2" s="1"/>
  <c r="K701" i="2"/>
  <c r="L701" i="2" s="1"/>
  <c r="K705" i="2"/>
  <c r="L705" i="2" s="1"/>
  <c r="K706" i="2"/>
  <c r="L706" i="2" s="1"/>
  <c r="K709" i="2"/>
  <c r="L709" i="2" s="1"/>
  <c r="K713" i="2"/>
  <c r="L713" i="2" s="1"/>
  <c r="K714" i="2"/>
  <c r="L714" i="2" s="1"/>
  <c r="K717" i="2"/>
  <c r="L717" i="2" s="1"/>
  <c r="K721" i="2"/>
  <c r="L721" i="2" s="1"/>
  <c r="K722" i="2"/>
  <c r="L722" i="2" s="1"/>
  <c r="K725" i="2"/>
  <c r="L725" i="2" s="1"/>
  <c r="K729" i="2"/>
  <c r="L729" i="2" s="1"/>
  <c r="K730" i="2"/>
  <c r="L730" i="2" s="1"/>
  <c r="K733" i="2"/>
  <c r="L733" i="2" s="1"/>
  <c r="K737" i="2"/>
  <c r="L737" i="2" s="1"/>
  <c r="K738" i="2"/>
  <c r="L738" i="2" s="1"/>
  <c r="K741" i="2"/>
  <c r="L741" i="2" s="1"/>
  <c r="K745" i="2"/>
  <c r="L745" i="2" s="1"/>
  <c r="K746" i="2"/>
  <c r="L746" i="2" s="1"/>
  <c r="K749" i="2"/>
  <c r="L749" i="2" s="1"/>
  <c r="K753" i="2"/>
  <c r="L753" i="2" s="1"/>
  <c r="K754" i="2"/>
  <c r="L754" i="2" s="1"/>
  <c r="K757" i="2"/>
  <c r="L757" i="2" s="1"/>
  <c r="K761" i="2"/>
  <c r="L761" i="2" s="1"/>
  <c r="K762" i="2"/>
  <c r="L762" i="2" s="1"/>
  <c r="K765" i="2"/>
  <c r="L765" i="2" s="1"/>
  <c r="K769" i="2"/>
  <c r="L769" i="2" s="1"/>
  <c r="K773" i="2"/>
  <c r="L773" i="2" s="1"/>
  <c r="K774" i="2"/>
  <c r="L774" i="2" s="1"/>
  <c r="K777" i="2"/>
  <c r="L777" i="2" s="1"/>
  <c r="K778" i="2"/>
  <c r="L778" i="2" s="1"/>
  <c r="K781" i="2"/>
  <c r="L781" i="2" s="1"/>
  <c r="K785" i="2"/>
  <c r="L785" i="2" s="1"/>
  <c r="K786" i="2"/>
  <c r="L786" i="2" s="1"/>
  <c r="K789" i="2"/>
  <c r="L789" i="2" s="1"/>
  <c r="K790" i="2"/>
  <c r="L790" i="2" s="1"/>
  <c r="K793" i="2"/>
  <c r="L793" i="2" s="1"/>
  <c r="K794" i="2"/>
  <c r="L794" i="2" s="1"/>
  <c r="K797" i="2"/>
  <c r="L797" i="2" s="1"/>
  <c r="K798" i="2"/>
  <c r="L798" i="2" s="1"/>
  <c r="K801" i="2"/>
  <c r="L801" i="2" s="1"/>
  <c r="K802" i="2"/>
  <c r="L802" i="2" s="1"/>
  <c r="K805" i="2"/>
  <c r="L805" i="2" s="1"/>
  <c r="K806" i="2"/>
  <c r="L806" i="2" s="1"/>
  <c r="K809" i="2"/>
  <c r="L809" i="2" s="1"/>
  <c r="K810" i="2"/>
  <c r="L810" i="2" s="1"/>
  <c r="K813" i="2"/>
  <c r="L813" i="2" s="1"/>
  <c r="K814" i="2"/>
  <c r="L814" i="2" s="1"/>
  <c r="K817" i="2"/>
  <c r="L817" i="2" s="1"/>
  <c r="K818" i="2"/>
  <c r="L818" i="2" s="1"/>
  <c r="K821" i="2"/>
  <c r="L821" i="2" s="1"/>
  <c r="K822" i="2"/>
  <c r="L822" i="2" s="1"/>
  <c r="K825" i="2"/>
  <c r="L825" i="2" s="1"/>
  <c r="K826" i="2"/>
  <c r="L826" i="2" s="1"/>
  <c r="K829" i="2"/>
  <c r="L829" i="2" s="1"/>
  <c r="K830" i="2"/>
  <c r="L830" i="2" s="1"/>
  <c r="K833" i="2"/>
  <c r="L833" i="2" s="1"/>
  <c r="K834" i="2"/>
  <c r="L834" i="2" s="1"/>
  <c r="K837" i="2"/>
  <c r="L837" i="2" s="1"/>
  <c r="K838" i="2"/>
  <c r="L838" i="2" s="1"/>
  <c r="K841" i="2"/>
  <c r="L841" i="2" s="1"/>
  <c r="K842" i="2"/>
  <c r="L842" i="2" s="1"/>
  <c r="K845" i="2"/>
  <c r="L845" i="2" s="1"/>
  <c r="K846" i="2"/>
  <c r="L846" i="2" s="1"/>
  <c r="K849" i="2"/>
  <c r="L849" i="2" s="1"/>
  <c r="K850" i="2"/>
  <c r="L850" i="2" s="1"/>
  <c r="K853" i="2"/>
  <c r="L853" i="2" s="1"/>
  <c r="K854" i="2"/>
  <c r="L854" i="2" s="1"/>
  <c r="K857" i="2"/>
  <c r="L857" i="2" s="1"/>
  <c r="K858" i="2"/>
  <c r="L858" i="2" s="1"/>
  <c r="K861" i="2"/>
  <c r="L861" i="2" s="1"/>
  <c r="K862" i="2"/>
  <c r="L862" i="2" s="1"/>
  <c r="K865" i="2"/>
  <c r="L865" i="2" s="1"/>
  <c r="K866" i="2"/>
  <c r="L866" i="2" s="1"/>
  <c r="K869" i="2"/>
  <c r="L869" i="2" s="1"/>
  <c r="K870" i="2"/>
  <c r="L870" i="2" s="1"/>
  <c r="K873" i="2"/>
  <c r="L873" i="2" s="1"/>
  <c r="K874" i="2"/>
  <c r="L874" i="2" s="1"/>
  <c r="K877" i="2"/>
  <c r="L877" i="2" s="1"/>
  <c r="K878" i="2"/>
  <c r="L878" i="2" s="1"/>
  <c r="K881" i="2"/>
  <c r="L881" i="2" s="1"/>
  <c r="K882" i="2"/>
  <c r="L882" i="2" s="1"/>
  <c r="K885" i="2"/>
  <c r="L885" i="2" s="1"/>
  <c r="K886" i="2"/>
  <c r="L886" i="2" s="1"/>
  <c r="K889" i="2"/>
  <c r="L889" i="2" s="1"/>
  <c r="K890" i="2"/>
  <c r="L890" i="2" s="1"/>
  <c r="K893" i="2"/>
  <c r="L893" i="2" s="1"/>
  <c r="K894" i="2"/>
  <c r="L894" i="2" s="1"/>
  <c r="K897" i="2"/>
  <c r="L897" i="2" s="1"/>
  <c r="K898" i="2"/>
  <c r="L898" i="2" s="1"/>
  <c r="K901" i="2"/>
  <c r="L901" i="2" s="1"/>
  <c r="K902" i="2"/>
  <c r="L902" i="2" s="1"/>
  <c r="K905" i="2"/>
  <c r="L905" i="2" s="1"/>
  <c r="K906" i="2"/>
  <c r="L906" i="2" s="1"/>
  <c r="K909" i="2"/>
  <c r="L909" i="2" s="1"/>
  <c r="K910" i="2"/>
  <c r="L910" i="2" s="1"/>
  <c r="K913" i="2"/>
  <c r="L913" i="2" s="1"/>
  <c r="K914" i="2"/>
  <c r="L914" i="2" s="1"/>
  <c r="K917" i="2"/>
  <c r="L917" i="2" s="1"/>
  <c r="K918" i="2"/>
  <c r="L918" i="2" s="1"/>
  <c r="K921" i="2"/>
  <c r="L921" i="2" s="1"/>
  <c r="K922" i="2"/>
  <c r="L922" i="2" s="1"/>
  <c r="K925" i="2"/>
  <c r="L925" i="2" s="1"/>
  <c r="K926" i="2"/>
  <c r="L926" i="2" s="1"/>
  <c r="K929" i="2"/>
  <c r="L929" i="2" s="1"/>
  <c r="K930" i="2"/>
  <c r="L930" i="2" s="1"/>
  <c r="K933" i="2"/>
  <c r="L933" i="2" s="1"/>
  <c r="K937" i="2"/>
  <c r="L937" i="2" s="1"/>
  <c r="K938" i="2"/>
  <c r="L938" i="2" s="1"/>
  <c r="K941" i="2"/>
  <c r="L941" i="2" s="1"/>
  <c r="K942" i="2"/>
  <c r="L942" i="2" s="1"/>
  <c r="K945" i="2"/>
  <c r="L945" i="2" s="1"/>
  <c r="K946" i="2"/>
  <c r="L946" i="2" s="1"/>
  <c r="K947" i="2"/>
  <c r="L947" i="2" s="1"/>
  <c r="K948" i="2"/>
  <c r="L948" i="2" s="1"/>
  <c r="K949" i="2"/>
  <c r="L949" i="2" s="1"/>
  <c r="K950" i="2"/>
  <c r="L950" i="2" s="1"/>
  <c r="K951" i="2"/>
  <c r="L951" i="2" s="1"/>
  <c r="K952" i="2"/>
  <c r="L952" i="2" s="1"/>
  <c r="K953" i="2"/>
  <c r="L953" i="2" s="1"/>
  <c r="K954" i="2"/>
  <c r="L954" i="2" s="1"/>
  <c r="K955" i="2"/>
  <c r="L955" i="2" s="1"/>
  <c r="K956" i="2"/>
  <c r="L956" i="2" s="1"/>
  <c r="K957" i="2"/>
  <c r="L957" i="2" s="1"/>
  <c r="K958" i="2"/>
  <c r="L958" i="2" s="1"/>
  <c r="K959" i="2"/>
  <c r="L959" i="2" s="1"/>
  <c r="K960" i="2"/>
  <c r="L960" i="2" s="1"/>
  <c r="K961" i="2"/>
  <c r="L961" i="2" s="1"/>
  <c r="K962" i="2"/>
  <c r="L962" i="2" s="1"/>
  <c r="K963" i="2"/>
  <c r="L963" i="2" s="1"/>
  <c r="K964" i="2"/>
  <c r="L964" i="2" s="1"/>
  <c r="K965" i="2"/>
  <c r="L965" i="2" s="1"/>
  <c r="K966" i="2"/>
  <c r="L966" i="2" s="1"/>
  <c r="K967" i="2"/>
  <c r="L967" i="2" s="1"/>
  <c r="K968" i="2"/>
  <c r="L968" i="2" s="1"/>
  <c r="K969" i="2"/>
  <c r="L969" i="2" s="1"/>
  <c r="K970" i="2"/>
  <c r="L970" i="2" s="1"/>
  <c r="K971" i="2"/>
  <c r="L971" i="2" s="1"/>
  <c r="K972" i="2"/>
  <c r="L972" i="2" s="1"/>
  <c r="K973" i="2"/>
  <c r="L973" i="2" s="1"/>
  <c r="K974" i="2"/>
  <c r="L974" i="2" s="1"/>
  <c r="K975" i="2"/>
  <c r="L975" i="2" s="1"/>
  <c r="K976" i="2"/>
  <c r="L976" i="2" s="1"/>
  <c r="K977" i="2"/>
  <c r="L977" i="2" s="1"/>
  <c r="K978" i="2"/>
  <c r="L978" i="2" s="1"/>
  <c r="K979" i="2"/>
  <c r="L979" i="2" s="1"/>
  <c r="K980" i="2"/>
  <c r="L980" i="2" s="1"/>
  <c r="K981" i="2"/>
  <c r="L981" i="2" s="1"/>
  <c r="K982" i="2"/>
  <c r="L982" i="2" s="1"/>
  <c r="K983" i="2"/>
  <c r="L983" i="2" s="1"/>
  <c r="K984" i="2"/>
  <c r="L984" i="2" s="1"/>
  <c r="K985" i="2"/>
  <c r="L985" i="2" s="1"/>
  <c r="K986" i="2"/>
  <c r="L986" i="2" s="1"/>
  <c r="K987" i="2"/>
  <c r="L987" i="2" s="1"/>
  <c r="K988" i="2"/>
  <c r="L988" i="2" s="1"/>
  <c r="K989" i="2"/>
  <c r="L989" i="2" s="1"/>
  <c r="K990" i="2"/>
  <c r="L990" i="2" s="1"/>
  <c r="K991" i="2"/>
  <c r="L991" i="2" s="1"/>
  <c r="K992" i="2"/>
  <c r="L992" i="2" s="1"/>
  <c r="K993" i="2"/>
  <c r="L993" i="2" s="1"/>
  <c r="K994" i="2"/>
  <c r="L994" i="2" s="1"/>
  <c r="K995" i="2"/>
  <c r="L995" i="2" s="1"/>
  <c r="K996" i="2"/>
  <c r="L996" i="2" s="1"/>
  <c r="K997" i="2"/>
  <c r="L997" i="2" s="1"/>
  <c r="K998" i="2"/>
  <c r="L998" i="2" s="1"/>
  <c r="K999" i="2"/>
  <c r="L999" i="2" s="1"/>
  <c r="K1000" i="2"/>
  <c r="L1000" i="2" s="1"/>
  <c r="K1001" i="2"/>
  <c r="L1001" i="2" s="1"/>
  <c r="K1002" i="2"/>
  <c r="L1002" i="2" s="1"/>
  <c r="K1003" i="2"/>
  <c r="L1003" i="2" s="1"/>
  <c r="K1004" i="2"/>
  <c r="L1004" i="2" s="1"/>
  <c r="K1005" i="2"/>
  <c r="L1005" i="2" s="1"/>
  <c r="K1006" i="2"/>
  <c r="L1006" i="2" s="1"/>
  <c r="K1007" i="2"/>
  <c r="L1007" i="2" s="1"/>
  <c r="K1008" i="2"/>
  <c r="L1008" i="2" s="1"/>
  <c r="K1009" i="2"/>
  <c r="L1009" i="2" s="1"/>
  <c r="K1010" i="2"/>
  <c r="L1010" i="2" s="1"/>
  <c r="K1011" i="2"/>
  <c r="L1011" i="2" s="1"/>
  <c r="K1012" i="2"/>
  <c r="L1012" i="2" s="1"/>
  <c r="K1013" i="2"/>
  <c r="L1013" i="2" s="1"/>
  <c r="K1014" i="2"/>
  <c r="L1014" i="2" s="1"/>
  <c r="K1015" i="2"/>
  <c r="L1015" i="2" s="1"/>
  <c r="K1016" i="2"/>
  <c r="L1016" i="2" s="1"/>
  <c r="K1017" i="2"/>
  <c r="L1017" i="2" s="1"/>
  <c r="K1018" i="2"/>
  <c r="L1018" i="2" s="1"/>
  <c r="K1019" i="2"/>
  <c r="L1019" i="2" s="1"/>
  <c r="K1020" i="2"/>
  <c r="L1020" i="2" s="1"/>
  <c r="K1021" i="2"/>
  <c r="L1021" i="2" s="1"/>
  <c r="K1022" i="2"/>
  <c r="L1022" i="2" s="1"/>
  <c r="K1023" i="2"/>
  <c r="L1023" i="2" s="1"/>
  <c r="K1024" i="2"/>
  <c r="L1024" i="2" s="1"/>
  <c r="K1025" i="2"/>
  <c r="L1025" i="2" s="1"/>
  <c r="K1026" i="2"/>
  <c r="L1026" i="2" s="1"/>
  <c r="K1027" i="2"/>
  <c r="L1027" i="2" s="1"/>
  <c r="K1028" i="2"/>
  <c r="L1028" i="2" s="1"/>
  <c r="K1029" i="2"/>
  <c r="L1029" i="2" s="1"/>
  <c r="K1030" i="2"/>
  <c r="L1030" i="2" s="1"/>
  <c r="K1031" i="2"/>
  <c r="L1031" i="2" s="1"/>
  <c r="K1032" i="2"/>
  <c r="L1032" i="2" s="1"/>
  <c r="K1033" i="2"/>
  <c r="L1033" i="2" s="1"/>
  <c r="K1034" i="2"/>
  <c r="L1034" i="2" s="1"/>
  <c r="K1035" i="2"/>
  <c r="L1035" i="2" s="1"/>
  <c r="K1036" i="2"/>
  <c r="L1036" i="2" s="1"/>
  <c r="K1037" i="2"/>
  <c r="L1037" i="2" s="1"/>
  <c r="K1038" i="2"/>
  <c r="L1038" i="2" s="1"/>
  <c r="K1039" i="2"/>
  <c r="L1039" i="2" s="1"/>
  <c r="K1040" i="2"/>
  <c r="L1040" i="2" s="1"/>
  <c r="K1041" i="2"/>
  <c r="L1041" i="2" s="1"/>
  <c r="K1042" i="2"/>
  <c r="L1042" i="2" s="1"/>
  <c r="K1043" i="2"/>
  <c r="L1043" i="2" s="1"/>
  <c r="K1044" i="2"/>
  <c r="L1044" i="2" s="1"/>
  <c r="K1045" i="2"/>
  <c r="L1045" i="2" s="1"/>
  <c r="K1046" i="2"/>
  <c r="L1046" i="2" s="1"/>
  <c r="K1047" i="2"/>
  <c r="L1047" i="2" s="1"/>
  <c r="K1048" i="2"/>
  <c r="L1048" i="2" s="1"/>
  <c r="K1049" i="2"/>
  <c r="L1049" i="2" s="1"/>
  <c r="K1050" i="2"/>
  <c r="L1050" i="2" s="1"/>
  <c r="K1051" i="2"/>
  <c r="L1051" i="2" s="1"/>
  <c r="K1052" i="2"/>
  <c r="L1052" i="2" s="1"/>
  <c r="K1053" i="2"/>
  <c r="L1053" i="2" s="1"/>
  <c r="K1054" i="2"/>
  <c r="L1054" i="2" s="1"/>
  <c r="K1055" i="2"/>
  <c r="L1055" i="2" s="1"/>
  <c r="K1056" i="2"/>
  <c r="L1056" i="2" s="1"/>
  <c r="K1057" i="2"/>
  <c r="L1057" i="2" s="1"/>
  <c r="K1058" i="2"/>
  <c r="L1058" i="2" s="1"/>
  <c r="K1059" i="2"/>
  <c r="L1059" i="2" s="1"/>
  <c r="K1060" i="2"/>
  <c r="L1060" i="2" s="1"/>
  <c r="K1061" i="2"/>
  <c r="L1061" i="2" s="1"/>
  <c r="K1062" i="2"/>
  <c r="L1062" i="2" s="1"/>
  <c r="K1063" i="2"/>
  <c r="L1063" i="2" s="1"/>
  <c r="K1064" i="2"/>
  <c r="L1064" i="2" s="1"/>
  <c r="K1065" i="2"/>
  <c r="L1065" i="2" s="1"/>
  <c r="K1066" i="2"/>
  <c r="L1066" i="2" s="1"/>
  <c r="K1067" i="2"/>
  <c r="L1067" i="2" s="1"/>
  <c r="K1068" i="2"/>
  <c r="L1068" i="2" s="1"/>
  <c r="K1069" i="2"/>
  <c r="L1069" i="2" s="1"/>
  <c r="K1070" i="2"/>
  <c r="L1070" i="2" s="1"/>
  <c r="K1071" i="2"/>
  <c r="L1071" i="2" s="1"/>
  <c r="K1072" i="2"/>
  <c r="L1072" i="2" s="1"/>
  <c r="K1073" i="2"/>
  <c r="L1073" i="2" s="1"/>
  <c r="K1074" i="2"/>
  <c r="L1074" i="2" s="1"/>
  <c r="K1075" i="2"/>
  <c r="L1075" i="2" s="1"/>
  <c r="K1076" i="2"/>
  <c r="L1076" i="2" s="1"/>
  <c r="K1077" i="2"/>
  <c r="L1077" i="2" s="1"/>
  <c r="K1078" i="2"/>
  <c r="L1078" i="2" s="1"/>
  <c r="K1079" i="2"/>
  <c r="L1079" i="2" s="1"/>
  <c r="K1080" i="2"/>
  <c r="L1080" i="2" s="1"/>
  <c r="K1081" i="2"/>
  <c r="L1081" i="2" s="1"/>
  <c r="K1082" i="2"/>
  <c r="L1082" i="2" s="1"/>
  <c r="K1083" i="2"/>
  <c r="L1083" i="2" s="1"/>
  <c r="K1084" i="2"/>
  <c r="L1084" i="2" s="1"/>
  <c r="K1085" i="2"/>
  <c r="L1085" i="2" s="1"/>
  <c r="K1086" i="2"/>
  <c r="L1086" i="2" s="1"/>
  <c r="K1087" i="2"/>
  <c r="L1087" i="2" s="1"/>
  <c r="K1088" i="2"/>
  <c r="L1088" i="2" s="1"/>
  <c r="K1089" i="2"/>
  <c r="L1089" i="2" s="1"/>
  <c r="K1090" i="2"/>
  <c r="L1090" i="2" s="1"/>
  <c r="K1091" i="2"/>
  <c r="L1091" i="2" s="1"/>
  <c r="K1092" i="2"/>
  <c r="L1092" i="2" s="1"/>
  <c r="K1093" i="2"/>
  <c r="L1093" i="2" s="1"/>
  <c r="K1094" i="2"/>
  <c r="L1094" i="2" s="1"/>
  <c r="K1095" i="2"/>
  <c r="L1095" i="2" s="1"/>
  <c r="K1096" i="2"/>
  <c r="L1096" i="2" s="1"/>
  <c r="K1097" i="2"/>
  <c r="L1097" i="2" s="1"/>
  <c r="K1098" i="2"/>
  <c r="L1098" i="2" s="1"/>
  <c r="K1099" i="2"/>
  <c r="L1099" i="2" s="1"/>
  <c r="K1100" i="2"/>
  <c r="L1100" i="2" s="1"/>
  <c r="K1101" i="2"/>
  <c r="L1101" i="2" s="1"/>
  <c r="K1102" i="2"/>
  <c r="L1102" i="2" s="1"/>
  <c r="K1103" i="2"/>
  <c r="L1103" i="2" s="1"/>
  <c r="K1104" i="2"/>
  <c r="L1104" i="2" s="1"/>
  <c r="K1105" i="2"/>
  <c r="L1105" i="2" s="1"/>
  <c r="K1106" i="2"/>
  <c r="L1106" i="2" s="1"/>
  <c r="K1107" i="2"/>
  <c r="L1107" i="2" s="1"/>
  <c r="K1108" i="2"/>
  <c r="L1108" i="2" s="1"/>
  <c r="K1109" i="2"/>
  <c r="L1109" i="2" s="1"/>
  <c r="K1110" i="2"/>
  <c r="L1110" i="2" s="1"/>
  <c r="K1111" i="2"/>
  <c r="L1111" i="2" s="1"/>
  <c r="K1112" i="2"/>
  <c r="L1112" i="2" s="1"/>
  <c r="K1113" i="2"/>
  <c r="L1113" i="2" s="1"/>
  <c r="K1114" i="2"/>
  <c r="L1114" i="2" s="1"/>
  <c r="K1115" i="2"/>
  <c r="L1115" i="2" s="1"/>
  <c r="K1116" i="2"/>
  <c r="L1116" i="2" s="1"/>
  <c r="K1117" i="2"/>
  <c r="L1117" i="2" s="1"/>
  <c r="K1118" i="2"/>
  <c r="L1118" i="2" s="1"/>
  <c r="K1119" i="2"/>
  <c r="L1119" i="2" s="1"/>
  <c r="K1120" i="2"/>
  <c r="L1120" i="2" s="1"/>
  <c r="K1121" i="2"/>
  <c r="L1121" i="2" s="1"/>
  <c r="K1122" i="2"/>
  <c r="L1122" i="2" s="1"/>
  <c r="K1123" i="2"/>
  <c r="L1123" i="2" s="1"/>
  <c r="K1124" i="2"/>
  <c r="L1124" i="2" s="1"/>
  <c r="K1125" i="2"/>
  <c r="L1125" i="2" s="1"/>
  <c r="K1126" i="2"/>
  <c r="L1126" i="2" s="1"/>
  <c r="K1127" i="2"/>
  <c r="L1127" i="2" s="1"/>
  <c r="K1128" i="2"/>
  <c r="L1128" i="2" s="1"/>
  <c r="K1129" i="2"/>
  <c r="L1129" i="2" s="1"/>
  <c r="K1130" i="2"/>
  <c r="L1130" i="2" s="1"/>
  <c r="K1131" i="2"/>
  <c r="L1131" i="2" s="1"/>
  <c r="K1132" i="2"/>
  <c r="L1132" i="2" s="1"/>
  <c r="K1133" i="2"/>
  <c r="L1133" i="2" s="1"/>
  <c r="K1134" i="2"/>
  <c r="L1134" i="2" s="1"/>
  <c r="K1135" i="2"/>
  <c r="L1135" i="2" s="1"/>
  <c r="K1136" i="2"/>
  <c r="L1136" i="2" s="1"/>
  <c r="K1137" i="2"/>
  <c r="L1137" i="2" s="1"/>
  <c r="K1138" i="2"/>
  <c r="L1138" i="2" s="1"/>
  <c r="K1139" i="2"/>
  <c r="L1139" i="2" s="1"/>
  <c r="K1140" i="2"/>
  <c r="L1140" i="2" s="1"/>
  <c r="K1141" i="2"/>
  <c r="L1141" i="2" s="1"/>
  <c r="K1142" i="2"/>
  <c r="L1142" i="2" s="1"/>
  <c r="K1143" i="2"/>
  <c r="L1143" i="2" s="1"/>
  <c r="K1144" i="2"/>
  <c r="L1144" i="2" s="1"/>
  <c r="K1145" i="2"/>
  <c r="L1145" i="2" s="1"/>
  <c r="K1146" i="2"/>
  <c r="L1146" i="2" s="1"/>
  <c r="K1147" i="2"/>
  <c r="L1147" i="2" s="1"/>
  <c r="K1148" i="2"/>
  <c r="L1148" i="2" s="1"/>
  <c r="K1149" i="2"/>
  <c r="L1149" i="2" s="1"/>
  <c r="K1150" i="2"/>
  <c r="L1150" i="2" s="1"/>
  <c r="K1151" i="2"/>
  <c r="L1151" i="2" s="1"/>
  <c r="K1152" i="2"/>
  <c r="L1152" i="2" s="1"/>
  <c r="K1153" i="2"/>
  <c r="L1153" i="2" s="1"/>
  <c r="K1154" i="2"/>
  <c r="L1154" i="2" s="1"/>
  <c r="K1155" i="2"/>
  <c r="L1155" i="2" s="1"/>
  <c r="K1156" i="2"/>
  <c r="L1156" i="2" s="1"/>
  <c r="K1157" i="2"/>
  <c r="L1157" i="2" s="1"/>
  <c r="K1158" i="2"/>
  <c r="L1158" i="2" s="1"/>
  <c r="K1159" i="2"/>
  <c r="L1159" i="2" s="1"/>
  <c r="K1160" i="2"/>
  <c r="L1160" i="2" s="1"/>
  <c r="K1161" i="2"/>
  <c r="L1161" i="2" s="1"/>
  <c r="K1162" i="2"/>
  <c r="L1162" i="2" s="1"/>
  <c r="K1163" i="2"/>
  <c r="L1163" i="2" s="1"/>
  <c r="K1164" i="2"/>
  <c r="L1164" i="2" s="1"/>
  <c r="K1165" i="2"/>
  <c r="L1165" i="2" s="1"/>
  <c r="K1166" i="2"/>
  <c r="L1166" i="2" s="1"/>
  <c r="K1167" i="2"/>
  <c r="L1167" i="2" s="1"/>
  <c r="K1168" i="2"/>
  <c r="L1168" i="2" s="1"/>
  <c r="K1169" i="2"/>
  <c r="L1169" i="2" s="1"/>
  <c r="K1170" i="2"/>
  <c r="L1170" i="2" s="1"/>
  <c r="K1171" i="2"/>
  <c r="L1171" i="2" s="1"/>
  <c r="K1172" i="2"/>
  <c r="L1172" i="2" s="1"/>
  <c r="K1173" i="2"/>
  <c r="L1173" i="2" s="1"/>
  <c r="K1174" i="2"/>
  <c r="L1174" i="2" s="1"/>
  <c r="K1175" i="2"/>
  <c r="L1175" i="2" s="1"/>
  <c r="K1176" i="2"/>
  <c r="L1176" i="2" s="1"/>
  <c r="K1177" i="2"/>
  <c r="L1177" i="2" s="1"/>
  <c r="K1178" i="2"/>
  <c r="L1178" i="2" s="1"/>
  <c r="K1179" i="2"/>
  <c r="L1179" i="2" s="1"/>
  <c r="K1180" i="2"/>
  <c r="L1180" i="2" s="1"/>
  <c r="K1181" i="2"/>
  <c r="L1181" i="2" s="1"/>
  <c r="K1182" i="2"/>
  <c r="L1182" i="2" s="1"/>
  <c r="K1183" i="2"/>
  <c r="L1183" i="2" s="1"/>
  <c r="K1184" i="2"/>
  <c r="L1184" i="2" s="1"/>
  <c r="K1185" i="2"/>
  <c r="L1185" i="2" s="1"/>
  <c r="K1186" i="2"/>
  <c r="L1186" i="2" s="1"/>
  <c r="K1187" i="2"/>
  <c r="L1187" i="2" s="1"/>
  <c r="K1188" i="2"/>
  <c r="L1188" i="2" s="1"/>
  <c r="K1189" i="2"/>
  <c r="L1189" i="2" s="1"/>
  <c r="K1190" i="2"/>
  <c r="L1190" i="2" s="1"/>
  <c r="K1191" i="2"/>
  <c r="L1191" i="2" s="1"/>
  <c r="K1192" i="2"/>
  <c r="L1192" i="2" s="1"/>
  <c r="K1193" i="2"/>
  <c r="L1193" i="2" s="1"/>
  <c r="K1194" i="2"/>
  <c r="L1194" i="2" s="1"/>
  <c r="K1195" i="2"/>
  <c r="L1195" i="2" s="1"/>
  <c r="K1196" i="2"/>
  <c r="L1196" i="2" s="1"/>
  <c r="K1197" i="2"/>
  <c r="L1197" i="2" s="1"/>
  <c r="K1198" i="2"/>
  <c r="L1198" i="2" s="1"/>
  <c r="K1199" i="2"/>
  <c r="L1199" i="2" s="1"/>
  <c r="K1200" i="2"/>
  <c r="L1200" i="2" s="1"/>
  <c r="K1201" i="2"/>
  <c r="L1201" i="2" s="1"/>
  <c r="K1202" i="2"/>
  <c r="L1202" i="2" s="1"/>
  <c r="K1203" i="2"/>
  <c r="L1203" i="2" s="1"/>
  <c r="K1204" i="2"/>
  <c r="L1204" i="2" s="1"/>
  <c r="K1205" i="2"/>
  <c r="L1205" i="2" s="1"/>
  <c r="K1206" i="2"/>
  <c r="L1206" i="2" s="1"/>
  <c r="K1207" i="2"/>
  <c r="L1207" i="2" s="1"/>
  <c r="K1208" i="2"/>
  <c r="L1208" i="2" s="1"/>
  <c r="K1209" i="2"/>
  <c r="L1209" i="2" s="1"/>
  <c r="K1210" i="2"/>
  <c r="L1210" i="2" s="1"/>
  <c r="K1211" i="2"/>
  <c r="L1211" i="2" s="1"/>
  <c r="K1212" i="2"/>
  <c r="L1212" i="2" s="1"/>
  <c r="K1213" i="2"/>
  <c r="L1213" i="2" s="1"/>
  <c r="K1214" i="2"/>
  <c r="L1214" i="2" s="1"/>
  <c r="K1215" i="2"/>
  <c r="L1215" i="2" s="1"/>
  <c r="K1216" i="2"/>
  <c r="L1216" i="2" s="1"/>
  <c r="K1217" i="2"/>
  <c r="L1217" i="2" s="1"/>
  <c r="K1218" i="2"/>
  <c r="L1218" i="2" s="1"/>
  <c r="K1219" i="2"/>
  <c r="L1219" i="2" s="1"/>
  <c r="K1220" i="2"/>
  <c r="L1220" i="2" s="1"/>
  <c r="K1221" i="2"/>
  <c r="L1221" i="2" s="1"/>
  <c r="K1222" i="2"/>
  <c r="L1222" i="2" s="1"/>
  <c r="K1223" i="2"/>
  <c r="L1223" i="2" s="1"/>
  <c r="K1224" i="2"/>
  <c r="L1224" i="2" s="1"/>
  <c r="K1225" i="2"/>
  <c r="L1225" i="2" s="1"/>
  <c r="K1226" i="2"/>
  <c r="L1226" i="2" s="1"/>
  <c r="K1227" i="2"/>
  <c r="L1227" i="2" s="1"/>
  <c r="K1228" i="2"/>
  <c r="L1228" i="2" s="1"/>
  <c r="K1229" i="2"/>
  <c r="L1229" i="2" s="1"/>
  <c r="K1230" i="2"/>
  <c r="L1230" i="2" s="1"/>
  <c r="K1231" i="2"/>
  <c r="L1231" i="2" s="1"/>
  <c r="K1232" i="2"/>
  <c r="L1232" i="2" s="1"/>
  <c r="K1233" i="2"/>
  <c r="L1233" i="2" s="1"/>
  <c r="K1234" i="2"/>
  <c r="L1234" i="2" s="1"/>
  <c r="K1235" i="2"/>
  <c r="L1235" i="2" s="1"/>
  <c r="K1236" i="2"/>
  <c r="L1236" i="2" s="1"/>
  <c r="K1237" i="2"/>
  <c r="L1237" i="2" s="1"/>
  <c r="K1238" i="2"/>
  <c r="L1238" i="2" s="1"/>
  <c r="K1239" i="2"/>
  <c r="L1239" i="2" s="1"/>
  <c r="K1240" i="2"/>
  <c r="L1240" i="2" s="1"/>
  <c r="K1241" i="2"/>
  <c r="L1241" i="2" s="1"/>
  <c r="K1242" i="2"/>
  <c r="L1242" i="2" s="1"/>
  <c r="K1243" i="2"/>
  <c r="L1243" i="2" s="1"/>
  <c r="K1244" i="2"/>
  <c r="L1244" i="2" s="1"/>
  <c r="K1245" i="2"/>
  <c r="L1245" i="2" s="1"/>
  <c r="K1246" i="2"/>
  <c r="L1246" i="2" s="1"/>
  <c r="K1247" i="2"/>
  <c r="L1247" i="2" s="1"/>
  <c r="K1248" i="2"/>
  <c r="L1248" i="2" s="1"/>
  <c r="K1249" i="2"/>
  <c r="L1249" i="2" s="1"/>
  <c r="K1250" i="2"/>
  <c r="L1250" i="2" s="1"/>
  <c r="K1251" i="2"/>
  <c r="L1251" i="2" s="1"/>
  <c r="K1252" i="2"/>
  <c r="L1252" i="2" s="1"/>
  <c r="K1253" i="2"/>
  <c r="L1253" i="2" s="1"/>
  <c r="K1254" i="2"/>
  <c r="L1254" i="2" s="1"/>
  <c r="K1255" i="2"/>
  <c r="L1255" i="2" s="1"/>
  <c r="K1256" i="2"/>
  <c r="L1256" i="2" s="1"/>
  <c r="K1257" i="2"/>
  <c r="L1257" i="2" s="1"/>
  <c r="K1258" i="2"/>
  <c r="L1258" i="2" s="1"/>
  <c r="K1259" i="2"/>
  <c r="L1259" i="2" s="1"/>
  <c r="K1260" i="2"/>
  <c r="L1260" i="2" s="1"/>
  <c r="K1261" i="2"/>
  <c r="L1261" i="2" s="1"/>
  <c r="K1262" i="2"/>
  <c r="L1262" i="2" s="1"/>
  <c r="K1263" i="2"/>
  <c r="L1263" i="2" s="1"/>
  <c r="K1264" i="2"/>
  <c r="L1264" i="2" s="1"/>
  <c r="K1265" i="2"/>
  <c r="L1265" i="2" s="1"/>
  <c r="K1266" i="2"/>
  <c r="L1266" i="2" s="1"/>
  <c r="K1267" i="2"/>
  <c r="L1267" i="2" s="1"/>
  <c r="K1268" i="2"/>
  <c r="L1268" i="2" s="1"/>
  <c r="K1269" i="2"/>
  <c r="L1269" i="2" s="1"/>
  <c r="K1270" i="2"/>
  <c r="L1270" i="2" s="1"/>
  <c r="K1271" i="2"/>
  <c r="L1271" i="2" s="1"/>
  <c r="K1272" i="2"/>
  <c r="L1272" i="2" s="1"/>
  <c r="K1273" i="2"/>
  <c r="L1273" i="2" s="1"/>
  <c r="K1274" i="2"/>
  <c r="L1274" i="2" s="1"/>
  <c r="K1275" i="2"/>
  <c r="L1275" i="2" s="1"/>
  <c r="K1276" i="2"/>
  <c r="L1276" i="2" s="1"/>
  <c r="K1277" i="2"/>
  <c r="L1277" i="2" s="1"/>
  <c r="K1278" i="2"/>
  <c r="L1278" i="2" s="1"/>
  <c r="K1279" i="2"/>
  <c r="L1279" i="2" s="1"/>
  <c r="K1280" i="2"/>
  <c r="L1280" i="2" s="1"/>
  <c r="K1281" i="2"/>
  <c r="L1281" i="2" s="1"/>
  <c r="K1282" i="2"/>
  <c r="L1282" i="2" s="1"/>
  <c r="K1283" i="2"/>
  <c r="L1283" i="2" s="1"/>
  <c r="K1284" i="2"/>
  <c r="L1284" i="2" s="1"/>
  <c r="K1285" i="2"/>
  <c r="L1285" i="2" s="1"/>
  <c r="K1286" i="2"/>
  <c r="L1286" i="2" s="1"/>
  <c r="K1287" i="2"/>
  <c r="L1287" i="2" s="1"/>
  <c r="K1288" i="2"/>
  <c r="L1288" i="2" s="1"/>
  <c r="K1289" i="2"/>
  <c r="L1289" i="2" s="1"/>
  <c r="K1290" i="2"/>
  <c r="L1290" i="2" s="1"/>
  <c r="K1291" i="2"/>
  <c r="L1291" i="2" s="1"/>
  <c r="K1292" i="2"/>
  <c r="L1292" i="2" s="1"/>
  <c r="K1293" i="2"/>
  <c r="L1293" i="2" s="1"/>
  <c r="K1294" i="2"/>
  <c r="L1294" i="2" s="1"/>
  <c r="K1295" i="2"/>
  <c r="L1295" i="2" s="1"/>
  <c r="K1296" i="2"/>
  <c r="L1296" i="2" s="1"/>
  <c r="K1297" i="2"/>
  <c r="L1297" i="2" s="1"/>
  <c r="K1298" i="2"/>
  <c r="L1298" i="2" s="1"/>
  <c r="K1299" i="2"/>
  <c r="L1299" i="2" s="1"/>
  <c r="K1300" i="2"/>
  <c r="L1300" i="2" s="1"/>
  <c r="K1301" i="2"/>
  <c r="L1301" i="2" s="1"/>
  <c r="K1302" i="2"/>
  <c r="L1302" i="2" s="1"/>
  <c r="K1303" i="2"/>
  <c r="L1303" i="2" s="1"/>
  <c r="K1304" i="2"/>
  <c r="L1304" i="2" s="1"/>
  <c r="K1305" i="2"/>
  <c r="L1305" i="2" s="1"/>
  <c r="K1306" i="2"/>
  <c r="L1306" i="2" s="1"/>
  <c r="K1307" i="2"/>
  <c r="L1307" i="2" s="1"/>
  <c r="K1308" i="2"/>
  <c r="L1308" i="2" s="1"/>
  <c r="K1309" i="2"/>
  <c r="L1309" i="2" s="1"/>
  <c r="K1310" i="2"/>
  <c r="L1310" i="2" s="1"/>
  <c r="K1311" i="2"/>
  <c r="L1311" i="2" s="1"/>
  <c r="K1312" i="2"/>
  <c r="L1312" i="2" s="1"/>
  <c r="K1313" i="2"/>
  <c r="L1313" i="2" s="1"/>
  <c r="K1314" i="2"/>
  <c r="L1314" i="2" s="1"/>
  <c r="K1315" i="2"/>
  <c r="L1315" i="2" s="1"/>
  <c r="K1316" i="2"/>
  <c r="L1316" i="2" s="1"/>
  <c r="K1317" i="2"/>
  <c r="L1317" i="2" s="1"/>
  <c r="K1318" i="2"/>
  <c r="L1318" i="2" s="1"/>
  <c r="K1319" i="2"/>
  <c r="L1319" i="2" s="1"/>
  <c r="K1320" i="2"/>
  <c r="L1320" i="2" s="1"/>
  <c r="K1321" i="2"/>
  <c r="L1321" i="2" s="1"/>
  <c r="K1322" i="2"/>
  <c r="L1322" i="2" s="1"/>
  <c r="K1323" i="2"/>
  <c r="L1323" i="2" s="1"/>
  <c r="K1324" i="2"/>
  <c r="L1324" i="2" s="1"/>
  <c r="K1325" i="2"/>
  <c r="L1325" i="2" s="1"/>
  <c r="K1326" i="2"/>
  <c r="L1326" i="2" s="1"/>
  <c r="K1327" i="2"/>
  <c r="L1327" i="2" s="1"/>
  <c r="K1328" i="2"/>
  <c r="L1328" i="2" s="1"/>
  <c r="K1329" i="2"/>
  <c r="L1329" i="2" s="1"/>
  <c r="K1330" i="2"/>
  <c r="L1330" i="2" s="1"/>
  <c r="K1331" i="2"/>
  <c r="L1331" i="2" s="1"/>
  <c r="K1332" i="2"/>
  <c r="L1332" i="2" s="1"/>
  <c r="K1333" i="2"/>
  <c r="L1333" i="2" s="1"/>
  <c r="K1334" i="2"/>
  <c r="L1334" i="2" s="1"/>
  <c r="K1335" i="2"/>
  <c r="L1335" i="2" s="1"/>
  <c r="K1336" i="2"/>
  <c r="L1336" i="2" s="1"/>
  <c r="K1337" i="2"/>
  <c r="L1337" i="2" s="1"/>
  <c r="K1338" i="2"/>
  <c r="L1338" i="2" s="1"/>
  <c r="K1339" i="2"/>
  <c r="L1339" i="2" s="1"/>
  <c r="K1340" i="2"/>
  <c r="L1340" i="2" s="1"/>
  <c r="K1341" i="2"/>
  <c r="L1341" i="2" s="1"/>
  <c r="K1342" i="2"/>
  <c r="L1342" i="2" s="1"/>
  <c r="K1343" i="2"/>
  <c r="L1343" i="2" s="1"/>
  <c r="K1344" i="2"/>
  <c r="L1344" i="2" s="1"/>
  <c r="K1345" i="2"/>
  <c r="L1345" i="2" s="1"/>
  <c r="K1346" i="2"/>
  <c r="L1346" i="2" s="1"/>
  <c r="K1347" i="2"/>
  <c r="L1347" i="2" s="1"/>
  <c r="K1348" i="2"/>
  <c r="L1348" i="2" s="1"/>
  <c r="K1349" i="2"/>
  <c r="L1349" i="2" s="1"/>
  <c r="K1350" i="2"/>
  <c r="L1350" i="2" s="1"/>
  <c r="K1351" i="2"/>
  <c r="L1351" i="2" s="1"/>
  <c r="K1352" i="2"/>
  <c r="L1352" i="2" s="1"/>
  <c r="K1353" i="2"/>
  <c r="L1353" i="2" s="1"/>
  <c r="K1354" i="2"/>
  <c r="L1354" i="2" s="1"/>
  <c r="K1355" i="2"/>
  <c r="L1355" i="2" s="1"/>
  <c r="K1356" i="2"/>
  <c r="L1356" i="2" s="1"/>
  <c r="K1357" i="2"/>
  <c r="L1357" i="2" s="1"/>
  <c r="K1358" i="2"/>
  <c r="L1358" i="2" s="1"/>
  <c r="K1359" i="2"/>
  <c r="L1359" i="2" s="1"/>
  <c r="K1360" i="2"/>
  <c r="L1360" i="2" s="1"/>
  <c r="K1361" i="2"/>
  <c r="L1361" i="2" s="1"/>
  <c r="K1362" i="2"/>
  <c r="L1362" i="2" s="1"/>
  <c r="K1363" i="2"/>
  <c r="L1363" i="2" s="1"/>
  <c r="K1364" i="2"/>
  <c r="L1364" i="2" s="1"/>
  <c r="K1365" i="2"/>
  <c r="L1365" i="2" s="1"/>
  <c r="K1366" i="2"/>
  <c r="L1366" i="2" s="1"/>
  <c r="K1367" i="2"/>
  <c r="L1367" i="2" s="1"/>
  <c r="K1368" i="2"/>
  <c r="L1368" i="2" s="1"/>
  <c r="K1369" i="2"/>
  <c r="L1369" i="2" s="1"/>
  <c r="K1370" i="2"/>
  <c r="L1370" i="2" s="1"/>
  <c r="K1371" i="2"/>
  <c r="L1371" i="2" s="1"/>
  <c r="K1372" i="2"/>
  <c r="L1372" i="2" s="1"/>
  <c r="K1373" i="2"/>
  <c r="L1373" i="2" s="1"/>
  <c r="K1374" i="2"/>
  <c r="L1374" i="2" s="1"/>
  <c r="K1375" i="2"/>
  <c r="L1375" i="2" s="1"/>
  <c r="K1376" i="2"/>
  <c r="L1376" i="2" s="1"/>
  <c r="K1377" i="2"/>
  <c r="L1377" i="2" s="1"/>
  <c r="K1378" i="2"/>
  <c r="L1378" i="2" s="1"/>
  <c r="K1379" i="2"/>
  <c r="L1379" i="2" s="1"/>
  <c r="K1380" i="2"/>
  <c r="L1380" i="2" s="1"/>
  <c r="K1381" i="2"/>
  <c r="L1381" i="2" s="1"/>
  <c r="K1382" i="2"/>
  <c r="L1382" i="2" s="1"/>
  <c r="K1383" i="2"/>
  <c r="L1383" i="2" s="1"/>
  <c r="K1384" i="2"/>
  <c r="L1384" i="2" s="1"/>
  <c r="K1385" i="2"/>
  <c r="L1385" i="2" s="1"/>
  <c r="K1386" i="2"/>
  <c r="L1386" i="2" s="1"/>
  <c r="K1387" i="2"/>
  <c r="L1387" i="2" s="1"/>
  <c r="K1388" i="2"/>
  <c r="L1388" i="2" s="1"/>
  <c r="K1389" i="2"/>
  <c r="L1389" i="2" s="1"/>
  <c r="K1390" i="2"/>
  <c r="L1390" i="2" s="1"/>
  <c r="K1391" i="2"/>
  <c r="L1391" i="2" s="1"/>
  <c r="K1392" i="2"/>
  <c r="L1392" i="2" s="1"/>
  <c r="K1393" i="2"/>
  <c r="L1393" i="2" s="1"/>
  <c r="K1394" i="2"/>
  <c r="L1394" i="2" s="1"/>
  <c r="K1395" i="2"/>
  <c r="L1395" i="2" s="1"/>
  <c r="K1396" i="2"/>
  <c r="L1396" i="2" s="1"/>
  <c r="K1397" i="2"/>
  <c r="L1397" i="2" s="1"/>
  <c r="K1398" i="2"/>
  <c r="L1398" i="2" s="1"/>
  <c r="K1399" i="2"/>
  <c r="L1399" i="2" s="1"/>
  <c r="K1400" i="2"/>
  <c r="L1400" i="2" s="1"/>
  <c r="K1401" i="2"/>
  <c r="L1401" i="2" s="1"/>
  <c r="K1402" i="2"/>
  <c r="L1402" i="2" s="1"/>
  <c r="K1403" i="2"/>
  <c r="L1403" i="2" s="1"/>
  <c r="K1404" i="2"/>
  <c r="L1404" i="2" s="1"/>
  <c r="K1405" i="2"/>
  <c r="L1405" i="2" s="1"/>
  <c r="K1406" i="2"/>
  <c r="L1406" i="2" s="1"/>
  <c r="K1407" i="2"/>
  <c r="L1407" i="2" s="1"/>
  <c r="K1408" i="2"/>
  <c r="L1408" i="2" s="1"/>
  <c r="K1409" i="2"/>
  <c r="L1409" i="2" s="1"/>
  <c r="K1410" i="2"/>
  <c r="L1410" i="2" s="1"/>
  <c r="K1411" i="2"/>
  <c r="L1411" i="2" s="1"/>
  <c r="K1412" i="2"/>
  <c r="L1412" i="2" s="1"/>
  <c r="K1413" i="2"/>
  <c r="L1413" i="2" s="1"/>
  <c r="K1414" i="2"/>
  <c r="L1414" i="2" s="1"/>
  <c r="K1415" i="2"/>
  <c r="L1415" i="2" s="1"/>
  <c r="K1416" i="2"/>
  <c r="L1416" i="2" s="1"/>
  <c r="K1417" i="2"/>
  <c r="L1417" i="2" s="1"/>
  <c r="K1418" i="2"/>
  <c r="L1418" i="2" s="1"/>
  <c r="K1419" i="2"/>
  <c r="L1419" i="2" s="1"/>
  <c r="K1420" i="2"/>
  <c r="L1420" i="2" s="1"/>
  <c r="K1421" i="2"/>
  <c r="L1421" i="2" s="1"/>
  <c r="K1422" i="2"/>
  <c r="L1422" i="2" s="1"/>
  <c r="K1423" i="2"/>
  <c r="L1423" i="2" s="1"/>
  <c r="K1424" i="2"/>
  <c r="L1424" i="2" s="1"/>
  <c r="K1425" i="2"/>
  <c r="L1425" i="2" s="1"/>
  <c r="K1426" i="2"/>
  <c r="L1426" i="2" s="1"/>
  <c r="K1427" i="2"/>
  <c r="L1427" i="2" s="1"/>
  <c r="K1428" i="2"/>
  <c r="L1428" i="2" s="1"/>
  <c r="K1429" i="2"/>
  <c r="L1429" i="2" s="1"/>
  <c r="K1430" i="2"/>
  <c r="L1430" i="2" s="1"/>
  <c r="K1431" i="2"/>
  <c r="L1431" i="2" s="1"/>
  <c r="K1432" i="2"/>
  <c r="L1432" i="2" s="1"/>
  <c r="K1433" i="2"/>
  <c r="L1433" i="2" s="1"/>
  <c r="K1434" i="2"/>
  <c r="L1434" i="2" s="1"/>
  <c r="K1435" i="2"/>
  <c r="L1435" i="2" s="1"/>
  <c r="K1436" i="2"/>
  <c r="L1436" i="2" s="1"/>
  <c r="K1437" i="2"/>
  <c r="L1437" i="2" s="1"/>
  <c r="K1438" i="2"/>
  <c r="L1438" i="2" s="1"/>
  <c r="K1439" i="2"/>
  <c r="L1439" i="2" s="1"/>
  <c r="K1440" i="2"/>
  <c r="L1440" i="2" s="1"/>
  <c r="K1441" i="2"/>
  <c r="L1441" i="2" s="1"/>
  <c r="K1442" i="2"/>
  <c r="L1442" i="2" s="1"/>
  <c r="K1443" i="2"/>
  <c r="L1443" i="2" s="1"/>
  <c r="K1444" i="2"/>
  <c r="L1444" i="2" s="1"/>
  <c r="K1445" i="2"/>
  <c r="L1445" i="2" s="1"/>
  <c r="K1446" i="2"/>
  <c r="L1446" i="2" s="1"/>
  <c r="K1447" i="2"/>
  <c r="L1447" i="2" s="1"/>
  <c r="K1448" i="2"/>
  <c r="L1448" i="2" s="1"/>
  <c r="K1449" i="2"/>
  <c r="L1449" i="2" s="1"/>
  <c r="K1450" i="2"/>
  <c r="L1450" i="2" s="1"/>
  <c r="K1451" i="2"/>
  <c r="L1451" i="2" s="1"/>
  <c r="K1452" i="2"/>
  <c r="L1452" i="2" s="1"/>
  <c r="K1453" i="2"/>
  <c r="L1453" i="2" s="1"/>
  <c r="K1454" i="2"/>
  <c r="L1454" i="2" s="1"/>
  <c r="K1455" i="2"/>
  <c r="L1455" i="2" s="1"/>
  <c r="K1456" i="2"/>
  <c r="L1456" i="2" s="1"/>
  <c r="K1457" i="2"/>
  <c r="L1457" i="2" s="1"/>
  <c r="K1458" i="2"/>
  <c r="L1458" i="2" s="1"/>
  <c r="K1459" i="2"/>
  <c r="L1459" i="2" s="1"/>
  <c r="K1460" i="2"/>
  <c r="L1460" i="2" s="1"/>
  <c r="K1461" i="2"/>
  <c r="L1461" i="2" s="1"/>
  <c r="K1462" i="2"/>
  <c r="L1462" i="2" s="1"/>
  <c r="K1463" i="2"/>
  <c r="L1463" i="2" s="1"/>
  <c r="K1464" i="2"/>
  <c r="L1464" i="2" s="1"/>
  <c r="K1465" i="2"/>
  <c r="L1465" i="2" s="1"/>
  <c r="K1466" i="2"/>
  <c r="L1466" i="2" s="1"/>
  <c r="K1467" i="2"/>
  <c r="L1467" i="2" s="1"/>
  <c r="K1468" i="2"/>
  <c r="L1468" i="2" s="1"/>
  <c r="K1469" i="2"/>
  <c r="L1469" i="2" s="1"/>
  <c r="K1470" i="2"/>
  <c r="L1470" i="2" s="1"/>
  <c r="K1471" i="2"/>
  <c r="L1471" i="2" s="1"/>
  <c r="K1472" i="2"/>
  <c r="L1472" i="2" s="1"/>
  <c r="K1473" i="2"/>
  <c r="L1473" i="2" s="1"/>
  <c r="K1474" i="2"/>
  <c r="L1474" i="2" s="1"/>
  <c r="K1475" i="2"/>
  <c r="L1475" i="2" s="1"/>
  <c r="K1476" i="2"/>
  <c r="L1476" i="2" s="1"/>
  <c r="K1477" i="2"/>
  <c r="L1477" i="2" s="1"/>
  <c r="K1478" i="2"/>
  <c r="L1478" i="2" s="1"/>
  <c r="K1479" i="2"/>
  <c r="L1479" i="2" s="1"/>
  <c r="K1480" i="2"/>
  <c r="L1480" i="2" s="1"/>
  <c r="K1481" i="2"/>
  <c r="L1481" i="2" s="1"/>
  <c r="K1482" i="2"/>
  <c r="L1482" i="2" s="1"/>
  <c r="K1483" i="2"/>
  <c r="L1483" i="2" s="1"/>
  <c r="K1484" i="2"/>
  <c r="L1484" i="2" s="1"/>
  <c r="K1485" i="2"/>
  <c r="L1485" i="2" s="1"/>
  <c r="K1486" i="2"/>
  <c r="L1486" i="2" s="1"/>
  <c r="K1487" i="2"/>
  <c r="L1487" i="2" s="1"/>
  <c r="K1488" i="2"/>
  <c r="L1488" i="2" s="1"/>
  <c r="K1489" i="2"/>
  <c r="L1489" i="2" s="1"/>
  <c r="K1490" i="2"/>
  <c r="L1490" i="2" s="1"/>
  <c r="K1491" i="2"/>
  <c r="L1491" i="2" s="1"/>
  <c r="K1492" i="2"/>
  <c r="L1492" i="2" s="1"/>
  <c r="K1493" i="2"/>
  <c r="L1493" i="2" s="1"/>
  <c r="K1494" i="2"/>
  <c r="L1494" i="2" s="1"/>
  <c r="K1495" i="2"/>
  <c r="L1495" i="2" s="1"/>
  <c r="K1496" i="2"/>
  <c r="L1496" i="2" s="1"/>
  <c r="K1497" i="2"/>
  <c r="L1497" i="2" s="1"/>
  <c r="K1498" i="2"/>
  <c r="L1498" i="2" s="1"/>
  <c r="K1499" i="2"/>
  <c r="L1499" i="2" s="1"/>
  <c r="K1500" i="2"/>
  <c r="L1500" i="2" s="1"/>
  <c r="K1501" i="2"/>
  <c r="L1501" i="2" s="1"/>
  <c r="K1502" i="2"/>
  <c r="L1502" i="2" s="1"/>
  <c r="K1503" i="2"/>
  <c r="L1503" i="2" s="1"/>
  <c r="K1504" i="2"/>
  <c r="L1504" i="2" s="1"/>
  <c r="K1505" i="2"/>
  <c r="L1505" i="2" s="1"/>
  <c r="K1506" i="2"/>
  <c r="L1506" i="2" s="1"/>
  <c r="K1507" i="2"/>
  <c r="L1507" i="2" s="1"/>
  <c r="K1508" i="2"/>
  <c r="L1508" i="2" s="1"/>
  <c r="K1509" i="2"/>
  <c r="L1509" i="2" s="1"/>
  <c r="K1510" i="2"/>
  <c r="L1510" i="2" s="1"/>
  <c r="K1511" i="2"/>
  <c r="L1511" i="2" s="1"/>
  <c r="K1512" i="2"/>
  <c r="L1512" i="2" s="1"/>
  <c r="K1513" i="2"/>
  <c r="L1513" i="2" s="1"/>
  <c r="K1514" i="2"/>
  <c r="L1514" i="2" s="1"/>
  <c r="K1515" i="2"/>
  <c r="L1515" i="2" s="1"/>
  <c r="K1516" i="2"/>
  <c r="L1516" i="2" s="1"/>
  <c r="K1517" i="2"/>
  <c r="L1517" i="2" s="1"/>
  <c r="K1518" i="2"/>
  <c r="L1518" i="2" s="1"/>
  <c r="K1519" i="2"/>
  <c r="L1519" i="2" s="1"/>
  <c r="K1520" i="2"/>
  <c r="L1520" i="2" s="1"/>
  <c r="K1521" i="2"/>
  <c r="L1521" i="2" s="1"/>
  <c r="K1522" i="2"/>
  <c r="L1522" i="2" s="1"/>
  <c r="K1523" i="2"/>
  <c r="L1523" i="2" s="1"/>
  <c r="K1524" i="2"/>
  <c r="L1524" i="2" s="1"/>
  <c r="K1525" i="2"/>
  <c r="L1525" i="2" s="1"/>
  <c r="K1526" i="2"/>
  <c r="L1526" i="2" s="1"/>
  <c r="K1527" i="2"/>
  <c r="L1527" i="2" s="1"/>
  <c r="K1528" i="2"/>
  <c r="L1528" i="2" s="1"/>
  <c r="K1529" i="2"/>
  <c r="L1529" i="2" s="1"/>
  <c r="K1530" i="2"/>
  <c r="L1530" i="2" s="1"/>
  <c r="K1531" i="2"/>
  <c r="L1531" i="2" s="1"/>
  <c r="K1532" i="2"/>
  <c r="L1532" i="2" s="1"/>
  <c r="K1533" i="2"/>
  <c r="L1533" i="2" s="1"/>
  <c r="K1534" i="2"/>
  <c r="L1534" i="2" s="1"/>
  <c r="K1535" i="2"/>
  <c r="L1535" i="2" s="1"/>
  <c r="K1536" i="2"/>
  <c r="L1536" i="2" s="1"/>
  <c r="K1537" i="2"/>
  <c r="L1537" i="2" s="1"/>
  <c r="K1538" i="2"/>
  <c r="L1538" i="2" s="1"/>
  <c r="K1539" i="2"/>
  <c r="L1539" i="2" s="1"/>
  <c r="K1540" i="2"/>
  <c r="L1540" i="2" s="1"/>
  <c r="K1541" i="2"/>
  <c r="L1541" i="2" s="1"/>
  <c r="K1542" i="2"/>
  <c r="L1542" i="2" s="1"/>
  <c r="K1543" i="2"/>
  <c r="L1543" i="2" s="1"/>
  <c r="K1544" i="2"/>
  <c r="L1544" i="2" s="1"/>
  <c r="K1545" i="2"/>
  <c r="L1545" i="2" s="1"/>
  <c r="K1546" i="2"/>
  <c r="L1546" i="2" s="1"/>
  <c r="K1547" i="2"/>
  <c r="L1547" i="2" s="1"/>
  <c r="K1548" i="2"/>
  <c r="L1548" i="2" s="1"/>
  <c r="K1549" i="2"/>
  <c r="L1549" i="2" s="1"/>
  <c r="K1550" i="2"/>
  <c r="L1550" i="2" s="1"/>
  <c r="K1551" i="2"/>
  <c r="L1551" i="2" s="1"/>
  <c r="K1552" i="2"/>
  <c r="L1552" i="2" s="1"/>
  <c r="K1553" i="2"/>
  <c r="L1553" i="2" s="1"/>
  <c r="K1554" i="2"/>
  <c r="L1554" i="2" s="1"/>
  <c r="K1555" i="2"/>
  <c r="L1555" i="2" s="1"/>
  <c r="K1556" i="2"/>
  <c r="L1556" i="2" s="1"/>
  <c r="K1557" i="2"/>
  <c r="L1557" i="2" s="1"/>
  <c r="K1558" i="2"/>
  <c r="L1558" i="2" s="1"/>
  <c r="K1559" i="2"/>
  <c r="L1559" i="2" s="1"/>
  <c r="K1560" i="2"/>
  <c r="L1560" i="2" s="1"/>
  <c r="K1561" i="2"/>
  <c r="L1561" i="2" s="1"/>
  <c r="K1562" i="2"/>
  <c r="L1562" i="2" s="1"/>
  <c r="K1563" i="2"/>
  <c r="L1563" i="2" s="1"/>
  <c r="K1564" i="2"/>
  <c r="L1564" i="2" s="1"/>
  <c r="K1565" i="2"/>
  <c r="L1565" i="2" s="1"/>
  <c r="K1566" i="2"/>
  <c r="L1566" i="2" s="1"/>
  <c r="K1567" i="2"/>
  <c r="L1567" i="2" s="1"/>
  <c r="K1568" i="2"/>
  <c r="L1568" i="2" s="1"/>
  <c r="K1569" i="2"/>
  <c r="L1569" i="2" s="1"/>
  <c r="K1570" i="2"/>
  <c r="L1570" i="2" s="1"/>
  <c r="K1571" i="2"/>
  <c r="L1571" i="2" s="1"/>
  <c r="K1572" i="2"/>
  <c r="L1572" i="2" s="1"/>
  <c r="K1573" i="2"/>
  <c r="L1573" i="2" s="1"/>
  <c r="K1574" i="2"/>
  <c r="L1574" i="2" s="1"/>
  <c r="K1575" i="2"/>
  <c r="L1575" i="2" s="1"/>
  <c r="K1576" i="2"/>
  <c r="L1576" i="2" s="1"/>
  <c r="K1577" i="2"/>
  <c r="L1577" i="2" s="1"/>
  <c r="K1578" i="2"/>
  <c r="L1578" i="2" s="1"/>
  <c r="K1579" i="2"/>
  <c r="L1579" i="2" s="1"/>
  <c r="K1580" i="2"/>
  <c r="L1580" i="2" s="1"/>
  <c r="K1581" i="2"/>
  <c r="L1581" i="2" s="1"/>
  <c r="K1582" i="2"/>
  <c r="L1582" i="2" s="1"/>
  <c r="K1583" i="2"/>
  <c r="L1583" i="2" s="1"/>
  <c r="K1584" i="2"/>
  <c r="L1584" i="2" s="1"/>
  <c r="K1585" i="2"/>
  <c r="L1585" i="2" s="1"/>
  <c r="K1586" i="2"/>
  <c r="L1586" i="2" s="1"/>
  <c r="K1587" i="2"/>
  <c r="L1587" i="2" s="1"/>
  <c r="K1588" i="2"/>
  <c r="L1588" i="2" s="1"/>
  <c r="K1589" i="2"/>
  <c r="L1589" i="2" s="1"/>
  <c r="K1590" i="2"/>
  <c r="L1590" i="2" s="1"/>
  <c r="K1591" i="2"/>
  <c r="L1591" i="2" s="1"/>
  <c r="K1592" i="2"/>
  <c r="L1592" i="2" s="1"/>
  <c r="K1593" i="2"/>
  <c r="L1593" i="2" s="1"/>
  <c r="K1594" i="2"/>
  <c r="L1594" i="2" s="1"/>
  <c r="K1595" i="2"/>
  <c r="L1595" i="2" s="1"/>
  <c r="K1596" i="2"/>
  <c r="L1596" i="2" s="1"/>
  <c r="K1597" i="2"/>
  <c r="L1597" i="2" s="1"/>
  <c r="K1598" i="2"/>
  <c r="L1598" i="2" s="1"/>
  <c r="K1599" i="2"/>
  <c r="L1599" i="2" s="1"/>
  <c r="K1600" i="2"/>
  <c r="L1600" i="2" s="1"/>
  <c r="K1601" i="2"/>
  <c r="L1601" i="2" s="1"/>
  <c r="K1602" i="2"/>
  <c r="L1602" i="2" s="1"/>
  <c r="K1603" i="2"/>
  <c r="L1603" i="2" s="1"/>
  <c r="K1604" i="2"/>
  <c r="L1604" i="2" s="1"/>
  <c r="K1605" i="2"/>
  <c r="L1605" i="2" s="1"/>
  <c r="K1606" i="2"/>
  <c r="L1606" i="2" s="1"/>
  <c r="K1607" i="2"/>
  <c r="L1607" i="2" s="1"/>
  <c r="K1608" i="2"/>
  <c r="L1608" i="2" s="1"/>
  <c r="K1609" i="2"/>
  <c r="L1609" i="2" s="1"/>
  <c r="K1610" i="2"/>
  <c r="L1610" i="2" s="1"/>
  <c r="K1611" i="2"/>
  <c r="L1611" i="2" s="1"/>
  <c r="K1612" i="2"/>
  <c r="L1612" i="2" s="1"/>
  <c r="K1613" i="2"/>
  <c r="L1613" i="2" s="1"/>
  <c r="K1614" i="2"/>
  <c r="L1614" i="2" s="1"/>
  <c r="K1615" i="2"/>
  <c r="L1615" i="2" s="1"/>
  <c r="K1616" i="2"/>
  <c r="L1616" i="2" s="1"/>
  <c r="K1617" i="2"/>
  <c r="L1617" i="2" s="1"/>
  <c r="K1618" i="2"/>
  <c r="L1618" i="2" s="1"/>
  <c r="K1619" i="2"/>
  <c r="L1619" i="2" s="1"/>
  <c r="K1620" i="2"/>
  <c r="L1620" i="2" s="1"/>
  <c r="K1621" i="2"/>
  <c r="L1621" i="2" s="1"/>
  <c r="K1622" i="2"/>
  <c r="L1622" i="2" s="1"/>
  <c r="K1623" i="2"/>
  <c r="L1623" i="2" s="1"/>
  <c r="K1624" i="2"/>
  <c r="L1624" i="2" s="1"/>
  <c r="K1625" i="2"/>
  <c r="L1625" i="2" s="1"/>
  <c r="K1626" i="2"/>
  <c r="L1626" i="2" s="1"/>
  <c r="K1627" i="2"/>
  <c r="L1627" i="2" s="1"/>
  <c r="K1628" i="2"/>
  <c r="L1628" i="2" s="1"/>
  <c r="K1629" i="2"/>
  <c r="L1629" i="2" s="1"/>
  <c r="K1630" i="2"/>
  <c r="L1630" i="2" s="1"/>
  <c r="K1631" i="2"/>
  <c r="L1631" i="2" s="1"/>
  <c r="K1632" i="2"/>
  <c r="L1632" i="2" s="1"/>
  <c r="K1633" i="2"/>
  <c r="L1633" i="2" s="1"/>
  <c r="K1634" i="2"/>
  <c r="L1634" i="2" s="1"/>
  <c r="K1635" i="2"/>
  <c r="L1635" i="2" s="1"/>
  <c r="K1636" i="2"/>
  <c r="L1636" i="2" s="1"/>
  <c r="K1637" i="2"/>
  <c r="L1637" i="2" s="1"/>
  <c r="K1638" i="2"/>
  <c r="L1638" i="2" s="1"/>
  <c r="K1639" i="2"/>
  <c r="L1639" i="2" s="1"/>
  <c r="K1640" i="2"/>
  <c r="L1640" i="2" s="1"/>
  <c r="K1641" i="2"/>
  <c r="L1641" i="2" s="1"/>
  <c r="K1642" i="2"/>
  <c r="L1642" i="2" s="1"/>
  <c r="K1643" i="2"/>
  <c r="L1643" i="2" s="1"/>
  <c r="K1644" i="2"/>
  <c r="L1644" i="2" s="1"/>
  <c r="K1645" i="2"/>
  <c r="L1645" i="2" s="1"/>
  <c r="K1646" i="2"/>
  <c r="L1646" i="2" s="1"/>
  <c r="K1647" i="2"/>
  <c r="L1647" i="2" s="1"/>
  <c r="K1648" i="2"/>
  <c r="L1648" i="2" s="1"/>
  <c r="K1649" i="2"/>
  <c r="L1649" i="2" s="1"/>
  <c r="K1650" i="2"/>
  <c r="L1650" i="2" s="1"/>
  <c r="K1651" i="2"/>
  <c r="L1651" i="2" s="1"/>
  <c r="K1652" i="2"/>
  <c r="L1652" i="2" s="1"/>
  <c r="K1653" i="2"/>
  <c r="L1653" i="2" s="1"/>
  <c r="K1654" i="2"/>
  <c r="L1654" i="2" s="1"/>
  <c r="K1655" i="2"/>
  <c r="L1655" i="2" s="1"/>
  <c r="K1656" i="2"/>
  <c r="L1656" i="2" s="1"/>
  <c r="K1657" i="2"/>
  <c r="L1657" i="2" s="1"/>
  <c r="K1658" i="2"/>
  <c r="L1658" i="2" s="1"/>
  <c r="K1659" i="2"/>
  <c r="L1659" i="2" s="1"/>
  <c r="K1660" i="2"/>
  <c r="L1660" i="2" s="1"/>
  <c r="K1661" i="2"/>
  <c r="L1661" i="2" s="1"/>
  <c r="K1662" i="2"/>
  <c r="L1662" i="2" s="1"/>
  <c r="K1663" i="2"/>
  <c r="L1663" i="2" s="1"/>
  <c r="K1664" i="2"/>
  <c r="L1664" i="2" s="1"/>
  <c r="K1665" i="2"/>
  <c r="L1665" i="2" s="1"/>
  <c r="K1666" i="2"/>
  <c r="L1666" i="2" s="1"/>
  <c r="K1667" i="2"/>
  <c r="L1667" i="2" s="1"/>
  <c r="K1668" i="2"/>
  <c r="L1668" i="2" s="1"/>
  <c r="K1669" i="2"/>
  <c r="L1669" i="2" s="1"/>
  <c r="K1670" i="2"/>
  <c r="L1670" i="2" s="1"/>
  <c r="K1671" i="2"/>
  <c r="L1671" i="2" s="1"/>
  <c r="K1672" i="2"/>
  <c r="L1672" i="2" s="1"/>
  <c r="K1673" i="2"/>
  <c r="L1673" i="2" s="1"/>
  <c r="K1674" i="2"/>
  <c r="L1674" i="2" s="1"/>
  <c r="K1675" i="2"/>
  <c r="L1675" i="2" s="1"/>
  <c r="K1676" i="2"/>
  <c r="L1676" i="2" s="1"/>
  <c r="K1677" i="2"/>
  <c r="L1677" i="2" s="1"/>
  <c r="K1678" i="2"/>
  <c r="L1678" i="2" s="1"/>
  <c r="K1679" i="2"/>
  <c r="L1679" i="2" s="1"/>
  <c r="K1680" i="2"/>
  <c r="L1680" i="2" s="1"/>
  <c r="K1681" i="2"/>
  <c r="L1681" i="2" s="1"/>
  <c r="K1682" i="2"/>
  <c r="L1682" i="2" s="1"/>
  <c r="K1683" i="2"/>
  <c r="L1683" i="2" s="1"/>
  <c r="K1684" i="2"/>
  <c r="L1684" i="2" s="1"/>
  <c r="K1685" i="2"/>
  <c r="L1685" i="2" s="1"/>
  <c r="K1686" i="2"/>
  <c r="L1686" i="2" s="1"/>
  <c r="K1687" i="2"/>
  <c r="L1687" i="2" s="1"/>
  <c r="K1688" i="2"/>
  <c r="L1688" i="2" s="1"/>
  <c r="K1689" i="2"/>
  <c r="L1689" i="2" s="1"/>
  <c r="K1690" i="2"/>
  <c r="L1690" i="2" s="1"/>
  <c r="K1691" i="2"/>
  <c r="L1691" i="2" s="1"/>
  <c r="K1692" i="2"/>
  <c r="L1692" i="2" s="1"/>
  <c r="K1693" i="2"/>
  <c r="L1693" i="2" s="1"/>
  <c r="K1694" i="2"/>
  <c r="L1694" i="2" s="1"/>
  <c r="K1695" i="2"/>
  <c r="L1695" i="2" s="1"/>
  <c r="K1696" i="2"/>
  <c r="L1696" i="2" s="1"/>
  <c r="K1697" i="2"/>
  <c r="L1697" i="2" s="1"/>
  <c r="K1698" i="2"/>
  <c r="L1698" i="2" s="1"/>
  <c r="K1699" i="2"/>
  <c r="L1699" i="2" s="1"/>
  <c r="K1700" i="2"/>
  <c r="L1700" i="2" s="1"/>
  <c r="K1701" i="2"/>
  <c r="L1701" i="2" s="1"/>
  <c r="K1702" i="2"/>
  <c r="L1702" i="2" s="1"/>
  <c r="K1703" i="2"/>
  <c r="L1703" i="2" s="1"/>
  <c r="K1704" i="2"/>
  <c r="L1704" i="2" s="1"/>
  <c r="K1705" i="2"/>
  <c r="L1705" i="2" s="1"/>
  <c r="K1706" i="2"/>
  <c r="L1706" i="2" s="1"/>
  <c r="K1707" i="2"/>
  <c r="L1707" i="2" s="1"/>
  <c r="K1708" i="2"/>
  <c r="L1708" i="2" s="1"/>
  <c r="K1709" i="2"/>
  <c r="L1709" i="2" s="1"/>
  <c r="K1710" i="2"/>
  <c r="L1710" i="2" s="1"/>
  <c r="K1711" i="2"/>
  <c r="L1711" i="2" s="1"/>
  <c r="K1712" i="2"/>
  <c r="L1712" i="2" s="1"/>
  <c r="K1713" i="2"/>
  <c r="L1713" i="2" s="1"/>
  <c r="K1714" i="2"/>
  <c r="L1714" i="2" s="1"/>
  <c r="K1715" i="2"/>
  <c r="L1715" i="2" s="1"/>
  <c r="K1716" i="2"/>
  <c r="L1716" i="2" s="1"/>
  <c r="K1717" i="2"/>
  <c r="L1717" i="2" s="1"/>
  <c r="K1718" i="2"/>
  <c r="L1718" i="2" s="1"/>
  <c r="K1719" i="2"/>
  <c r="L1719" i="2" s="1"/>
  <c r="K1720" i="2"/>
  <c r="L1720" i="2" s="1"/>
  <c r="K1721" i="2"/>
  <c r="L1721" i="2" s="1"/>
  <c r="K1722" i="2"/>
  <c r="L1722" i="2" s="1"/>
  <c r="K1723" i="2"/>
  <c r="L1723" i="2" s="1"/>
  <c r="K1724" i="2"/>
  <c r="L1724" i="2" s="1"/>
  <c r="K1725" i="2"/>
  <c r="L1725" i="2" s="1"/>
  <c r="K1726" i="2"/>
  <c r="L1726" i="2" s="1"/>
  <c r="K1727" i="2"/>
  <c r="L1727" i="2" s="1"/>
  <c r="K1728" i="2"/>
  <c r="L1728" i="2" s="1"/>
  <c r="K1729" i="2"/>
  <c r="L1729" i="2" s="1"/>
  <c r="K1730" i="2"/>
  <c r="L1730" i="2" s="1"/>
  <c r="K1731" i="2"/>
  <c r="L1731" i="2" s="1"/>
  <c r="K1732" i="2"/>
  <c r="L1732" i="2" s="1"/>
  <c r="K1733" i="2"/>
  <c r="L1733" i="2" s="1"/>
  <c r="K1734" i="2"/>
  <c r="L1734" i="2" s="1"/>
  <c r="K1735" i="2"/>
  <c r="L1735" i="2" s="1"/>
  <c r="K1736" i="2"/>
  <c r="L1736" i="2" s="1"/>
  <c r="K1737" i="2"/>
  <c r="L1737" i="2" s="1"/>
  <c r="K1738" i="2"/>
  <c r="L1738" i="2" s="1"/>
  <c r="K1739" i="2"/>
  <c r="L1739" i="2" s="1"/>
  <c r="K1740" i="2"/>
  <c r="L1740" i="2" s="1"/>
  <c r="K1741" i="2"/>
  <c r="L1741" i="2" s="1"/>
  <c r="K1742" i="2"/>
  <c r="L1742" i="2" s="1"/>
  <c r="K1743" i="2"/>
  <c r="L1743" i="2" s="1"/>
  <c r="K1744" i="2"/>
  <c r="L1744" i="2" s="1"/>
  <c r="K1745" i="2"/>
  <c r="L1745" i="2" s="1"/>
  <c r="K1746" i="2"/>
  <c r="L1746" i="2" s="1"/>
  <c r="K1747" i="2"/>
  <c r="L1747" i="2" s="1"/>
  <c r="K1748" i="2"/>
  <c r="L1748" i="2" s="1"/>
  <c r="K1749" i="2"/>
  <c r="L1749" i="2" s="1"/>
  <c r="K1750" i="2"/>
  <c r="L1750" i="2" s="1"/>
  <c r="K1751" i="2"/>
  <c r="L1751" i="2" s="1"/>
  <c r="K1752" i="2"/>
  <c r="L1752" i="2" s="1"/>
  <c r="K1753" i="2"/>
  <c r="L1753" i="2" s="1"/>
  <c r="K1754" i="2"/>
  <c r="L1754" i="2" s="1"/>
  <c r="K1755" i="2"/>
  <c r="L1755" i="2" s="1"/>
  <c r="K1756" i="2"/>
  <c r="L1756" i="2" s="1"/>
  <c r="K1757" i="2"/>
  <c r="L1757" i="2" s="1"/>
  <c r="K1758" i="2"/>
  <c r="L1758" i="2" s="1"/>
  <c r="K1759" i="2"/>
  <c r="L1759" i="2" s="1"/>
  <c r="K1760" i="2"/>
  <c r="L1760" i="2" s="1"/>
  <c r="K1761" i="2"/>
  <c r="L1761" i="2" s="1"/>
  <c r="K1762" i="2"/>
  <c r="L1762" i="2" s="1"/>
  <c r="K1763" i="2"/>
  <c r="L1763" i="2" s="1"/>
  <c r="K1764" i="2"/>
  <c r="L1764" i="2" s="1"/>
  <c r="K1765" i="2"/>
  <c r="L1765" i="2" s="1"/>
  <c r="K1766" i="2"/>
  <c r="L1766" i="2" s="1"/>
  <c r="K1767" i="2"/>
  <c r="L1767" i="2" s="1"/>
  <c r="K1768" i="2"/>
  <c r="L1768" i="2" s="1"/>
  <c r="K1769" i="2"/>
  <c r="L1769" i="2" s="1"/>
  <c r="K1770" i="2"/>
  <c r="L1770" i="2" s="1"/>
  <c r="K1771" i="2"/>
  <c r="L1771" i="2" s="1"/>
  <c r="K1772" i="2"/>
  <c r="L1772" i="2" s="1"/>
  <c r="K1773" i="2"/>
  <c r="L1773" i="2" s="1"/>
  <c r="K1774" i="2"/>
  <c r="L1774" i="2" s="1"/>
  <c r="K1775" i="2"/>
  <c r="L1775" i="2" s="1"/>
  <c r="K1776" i="2"/>
  <c r="L1776" i="2" s="1"/>
  <c r="K1777" i="2"/>
  <c r="L1777" i="2" s="1"/>
  <c r="K1778" i="2"/>
  <c r="L1778" i="2" s="1"/>
  <c r="K1779" i="2"/>
  <c r="L1779" i="2" s="1"/>
  <c r="K1780" i="2"/>
  <c r="L1780" i="2" s="1"/>
  <c r="K1781" i="2"/>
  <c r="L1781" i="2" s="1"/>
  <c r="K1782" i="2"/>
  <c r="L1782" i="2" s="1"/>
  <c r="K1783" i="2"/>
  <c r="L1783" i="2" s="1"/>
  <c r="K1784" i="2"/>
  <c r="L1784" i="2" s="1"/>
  <c r="K1785" i="2"/>
  <c r="L1785" i="2" s="1"/>
  <c r="K1786" i="2"/>
  <c r="L1786" i="2" s="1"/>
  <c r="K1787" i="2"/>
  <c r="L1787" i="2" s="1"/>
  <c r="K1788" i="2"/>
  <c r="L1788" i="2" s="1"/>
  <c r="K1789" i="2"/>
  <c r="L1789" i="2" s="1"/>
  <c r="K1790" i="2"/>
  <c r="L1790" i="2" s="1"/>
  <c r="K1791" i="2"/>
  <c r="L1791" i="2" s="1"/>
  <c r="K1792" i="2"/>
  <c r="L1792" i="2" s="1"/>
  <c r="K1793" i="2"/>
  <c r="L1793" i="2" s="1"/>
  <c r="K1794" i="2"/>
  <c r="L1794" i="2" s="1"/>
  <c r="K1795" i="2"/>
  <c r="L1795" i="2" s="1"/>
  <c r="K1796" i="2"/>
  <c r="L1796" i="2" s="1"/>
  <c r="K1797" i="2"/>
  <c r="L1797" i="2" s="1"/>
  <c r="K1798" i="2"/>
  <c r="L1798" i="2" s="1"/>
  <c r="K1799" i="2"/>
  <c r="L1799" i="2" s="1"/>
  <c r="K1800" i="2"/>
  <c r="L1800" i="2" s="1"/>
  <c r="K1801" i="2"/>
  <c r="L1801" i="2" s="1"/>
  <c r="K1802" i="2"/>
  <c r="L1802" i="2" s="1"/>
  <c r="K1803" i="2"/>
  <c r="L1803" i="2" s="1"/>
  <c r="K1804" i="2"/>
  <c r="L1804" i="2" s="1"/>
  <c r="K1805" i="2"/>
  <c r="L1805" i="2" s="1"/>
  <c r="K1806" i="2"/>
  <c r="L1806" i="2" s="1"/>
  <c r="K1807" i="2"/>
  <c r="L1807" i="2" s="1"/>
  <c r="K1808" i="2"/>
  <c r="L1808" i="2" s="1"/>
  <c r="K1809" i="2"/>
  <c r="L1809" i="2" s="1"/>
  <c r="K1810" i="2"/>
  <c r="L1810" i="2" s="1"/>
  <c r="K1811" i="2"/>
  <c r="L1811" i="2" s="1"/>
  <c r="K1812" i="2"/>
  <c r="L1812" i="2" s="1"/>
  <c r="K1813" i="2"/>
  <c r="L1813" i="2" s="1"/>
  <c r="K1814" i="2"/>
  <c r="L1814" i="2" s="1"/>
  <c r="K1815" i="2"/>
  <c r="L1815" i="2" s="1"/>
  <c r="K1816" i="2"/>
  <c r="L1816" i="2" s="1"/>
  <c r="K1817" i="2"/>
  <c r="L1817" i="2" s="1"/>
  <c r="K1818" i="2"/>
  <c r="L1818" i="2" s="1"/>
  <c r="K1819" i="2"/>
  <c r="L1819" i="2" s="1"/>
  <c r="K1820" i="2"/>
  <c r="L1820" i="2" s="1"/>
  <c r="K1821" i="2"/>
  <c r="L1821" i="2" s="1"/>
  <c r="K1822" i="2"/>
  <c r="L1822" i="2" s="1"/>
  <c r="K1823" i="2"/>
  <c r="L1823" i="2" s="1"/>
  <c r="K1824" i="2"/>
  <c r="L1824" i="2" s="1"/>
  <c r="K1825" i="2"/>
  <c r="L1825" i="2" s="1"/>
  <c r="K1826" i="2"/>
  <c r="L1826" i="2" s="1"/>
  <c r="K1827" i="2"/>
  <c r="L1827" i="2" s="1"/>
  <c r="K1828" i="2"/>
  <c r="L1828" i="2" s="1"/>
  <c r="K1829" i="2"/>
  <c r="L1829" i="2" s="1"/>
  <c r="K1830" i="2"/>
  <c r="L1830" i="2" s="1"/>
  <c r="K1831" i="2"/>
  <c r="L1831" i="2" s="1"/>
  <c r="K1832" i="2"/>
  <c r="L1832" i="2" s="1"/>
  <c r="K1833" i="2"/>
  <c r="L1833" i="2" s="1"/>
  <c r="K1834" i="2"/>
  <c r="L1834" i="2" s="1"/>
  <c r="K1835" i="2"/>
  <c r="L1835" i="2" s="1"/>
  <c r="K1836" i="2"/>
  <c r="L1836" i="2" s="1"/>
  <c r="K1837" i="2"/>
  <c r="L1837" i="2" s="1"/>
  <c r="K1838" i="2"/>
  <c r="L1838" i="2" s="1"/>
  <c r="K1839" i="2"/>
  <c r="L1839" i="2" s="1"/>
  <c r="K1840" i="2"/>
  <c r="L1840" i="2" s="1"/>
  <c r="K1841" i="2"/>
  <c r="L1841" i="2" s="1"/>
  <c r="K1842" i="2"/>
  <c r="L1842" i="2" s="1"/>
  <c r="K1843" i="2"/>
  <c r="L1843" i="2" s="1"/>
  <c r="K1844" i="2"/>
  <c r="L1844" i="2" s="1"/>
  <c r="K1845" i="2"/>
  <c r="L1845" i="2" s="1"/>
  <c r="K1846" i="2"/>
  <c r="L1846" i="2" s="1"/>
  <c r="K1847" i="2"/>
  <c r="L1847" i="2" s="1"/>
  <c r="K1848" i="2"/>
  <c r="L1848" i="2" s="1"/>
  <c r="K1849" i="2"/>
  <c r="L1849" i="2" s="1"/>
  <c r="K1850" i="2"/>
  <c r="L1850" i="2" s="1"/>
  <c r="K1851" i="2"/>
  <c r="L1851" i="2" s="1"/>
  <c r="K1852" i="2"/>
  <c r="L1852" i="2" s="1"/>
  <c r="K1853" i="2"/>
  <c r="L1853" i="2" s="1"/>
  <c r="K1854" i="2"/>
  <c r="L1854" i="2" s="1"/>
  <c r="K1855" i="2"/>
  <c r="L1855" i="2" s="1"/>
  <c r="K1856" i="2"/>
  <c r="L1856" i="2" s="1"/>
  <c r="K1857" i="2"/>
  <c r="L1857" i="2" s="1"/>
  <c r="K1858" i="2"/>
  <c r="L1858" i="2" s="1"/>
  <c r="K1859" i="2"/>
  <c r="L1859" i="2" s="1"/>
  <c r="K1860" i="2"/>
  <c r="L1860" i="2" s="1"/>
  <c r="K1861" i="2"/>
  <c r="L1861" i="2" s="1"/>
  <c r="K1862" i="2"/>
  <c r="L1862" i="2" s="1"/>
  <c r="K1863" i="2"/>
  <c r="L1863" i="2" s="1"/>
  <c r="K1864" i="2"/>
  <c r="L1864" i="2" s="1"/>
  <c r="K1865" i="2"/>
  <c r="L1865" i="2" s="1"/>
  <c r="K1866" i="2"/>
  <c r="L1866" i="2" s="1"/>
  <c r="K1867" i="2"/>
  <c r="L1867" i="2" s="1"/>
  <c r="K1868" i="2"/>
  <c r="L1868" i="2" s="1"/>
  <c r="K1869" i="2"/>
  <c r="L1869" i="2" s="1"/>
  <c r="K1870" i="2"/>
  <c r="L1870" i="2" s="1"/>
  <c r="K1871" i="2"/>
  <c r="L1871" i="2" s="1"/>
  <c r="K1872" i="2"/>
  <c r="L1872" i="2" s="1"/>
  <c r="K1873" i="2"/>
  <c r="L1873" i="2" s="1"/>
  <c r="K1874" i="2"/>
  <c r="L1874" i="2" s="1"/>
  <c r="K1875" i="2"/>
  <c r="L1875" i="2" s="1"/>
  <c r="K1876" i="2"/>
  <c r="L1876" i="2" s="1"/>
  <c r="K1877" i="2"/>
  <c r="L1877" i="2" s="1"/>
  <c r="K1878" i="2"/>
  <c r="L1878" i="2" s="1"/>
  <c r="K1879" i="2"/>
  <c r="L1879" i="2" s="1"/>
  <c r="K1880" i="2"/>
  <c r="L1880" i="2" s="1"/>
  <c r="K1881" i="2"/>
  <c r="L1881" i="2" s="1"/>
  <c r="K1882" i="2"/>
  <c r="L1882" i="2" s="1"/>
  <c r="K1883" i="2"/>
  <c r="L1883" i="2" s="1"/>
  <c r="K1884" i="2"/>
  <c r="L1884" i="2" s="1"/>
  <c r="K1885" i="2"/>
  <c r="L1885" i="2" s="1"/>
  <c r="K1886" i="2"/>
  <c r="L1886" i="2" s="1"/>
  <c r="K1887" i="2"/>
  <c r="L1887" i="2" s="1"/>
  <c r="K1888" i="2"/>
  <c r="L1888" i="2" s="1"/>
  <c r="K1889" i="2"/>
  <c r="L1889" i="2" s="1"/>
  <c r="K1890" i="2"/>
  <c r="L1890" i="2" s="1"/>
  <c r="K1891" i="2"/>
  <c r="L1891" i="2" s="1"/>
  <c r="K1892" i="2"/>
  <c r="L1892" i="2" s="1"/>
  <c r="K1893" i="2"/>
  <c r="L1893" i="2" s="1"/>
  <c r="K1894" i="2"/>
  <c r="L1894" i="2" s="1"/>
  <c r="K1895" i="2"/>
  <c r="L1895" i="2" s="1"/>
  <c r="K1896" i="2"/>
  <c r="L1896" i="2" s="1"/>
  <c r="K1897" i="2"/>
  <c r="L1897" i="2" s="1"/>
  <c r="K1898" i="2"/>
  <c r="L1898" i="2" s="1"/>
  <c r="K1899" i="2"/>
  <c r="L1899" i="2" s="1"/>
  <c r="K1900" i="2"/>
  <c r="L1900" i="2" s="1"/>
  <c r="K1901" i="2"/>
  <c r="L1901" i="2" s="1"/>
  <c r="K1902" i="2"/>
  <c r="L1902" i="2" s="1"/>
  <c r="K1903" i="2"/>
  <c r="L1903" i="2" s="1"/>
  <c r="K1904" i="2"/>
  <c r="L1904" i="2" s="1"/>
  <c r="K1905" i="2"/>
  <c r="L1905" i="2" s="1"/>
  <c r="K1906" i="2"/>
  <c r="L1906" i="2" s="1"/>
  <c r="K1907" i="2"/>
  <c r="L1907" i="2" s="1"/>
  <c r="K1908" i="2"/>
  <c r="L1908" i="2" s="1"/>
  <c r="K1909" i="2"/>
  <c r="L1909" i="2" s="1"/>
  <c r="K1910" i="2"/>
  <c r="L1910" i="2" s="1"/>
  <c r="K1911" i="2"/>
  <c r="L1911" i="2" s="1"/>
  <c r="K1912" i="2"/>
  <c r="L1912" i="2" s="1"/>
  <c r="K1913" i="2"/>
  <c r="L1913" i="2" s="1"/>
  <c r="K1914" i="2"/>
  <c r="L1914" i="2" s="1"/>
  <c r="K1915" i="2"/>
  <c r="L1915" i="2" s="1"/>
  <c r="K1916" i="2"/>
  <c r="L1916" i="2" s="1"/>
  <c r="K1917" i="2"/>
  <c r="L1917" i="2" s="1"/>
  <c r="K1918" i="2"/>
  <c r="L1918" i="2" s="1"/>
  <c r="K1919" i="2"/>
  <c r="L1919" i="2" s="1"/>
  <c r="K1920" i="2"/>
  <c r="L1920" i="2" s="1"/>
  <c r="K1921" i="2"/>
  <c r="L1921" i="2" s="1"/>
  <c r="K1922" i="2"/>
  <c r="L1922" i="2" s="1"/>
  <c r="K1923" i="2"/>
  <c r="L1923" i="2" s="1"/>
  <c r="K1924" i="2"/>
  <c r="L1924" i="2" s="1"/>
  <c r="K1925" i="2"/>
  <c r="L1925" i="2" s="1"/>
  <c r="K1926" i="2"/>
  <c r="L1926" i="2" s="1"/>
  <c r="K1927" i="2"/>
  <c r="L1927" i="2" s="1"/>
  <c r="K1928" i="2"/>
  <c r="L1928" i="2" s="1"/>
  <c r="K1929" i="2"/>
  <c r="L1929" i="2" s="1"/>
  <c r="K1930" i="2"/>
  <c r="L1930" i="2" s="1"/>
  <c r="K1931" i="2"/>
  <c r="L1931" i="2" s="1"/>
  <c r="K1932" i="2"/>
  <c r="L1932" i="2" s="1"/>
  <c r="K1933" i="2"/>
  <c r="L1933" i="2" s="1"/>
  <c r="K1934" i="2"/>
  <c r="L1934" i="2" s="1"/>
  <c r="K1935" i="2"/>
  <c r="L1935" i="2" s="1"/>
  <c r="K1936" i="2"/>
  <c r="L1936" i="2" s="1"/>
  <c r="K1937" i="2"/>
  <c r="L1937" i="2" s="1"/>
  <c r="K1938" i="2"/>
  <c r="L1938" i="2" s="1"/>
  <c r="K1939" i="2"/>
  <c r="L1939" i="2" s="1"/>
  <c r="K1940" i="2"/>
  <c r="L1940" i="2" s="1"/>
  <c r="K1941" i="2"/>
  <c r="L1941" i="2" s="1"/>
  <c r="K1942" i="2"/>
  <c r="L1942" i="2" s="1"/>
  <c r="K1943" i="2"/>
  <c r="L1943" i="2" s="1"/>
  <c r="K1944" i="2"/>
  <c r="L1944" i="2" s="1"/>
  <c r="K1945" i="2"/>
  <c r="L1945" i="2" s="1"/>
  <c r="K1946" i="2"/>
  <c r="L1946" i="2" s="1"/>
  <c r="K1947" i="2"/>
  <c r="L1947" i="2" s="1"/>
  <c r="K1948" i="2"/>
  <c r="L1948" i="2" s="1"/>
  <c r="K1949" i="2"/>
  <c r="L1949" i="2" s="1"/>
  <c r="K1950" i="2"/>
  <c r="L1950" i="2" s="1"/>
  <c r="K1951" i="2"/>
  <c r="L1951" i="2" s="1"/>
  <c r="K1952" i="2"/>
  <c r="L1952" i="2" s="1"/>
  <c r="K1953" i="2"/>
  <c r="L1953" i="2" s="1"/>
  <c r="K1954" i="2"/>
  <c r="L1954" i="2" s="1"/>
  <c r="K1955" i="2"/>
  <c r="L1955" i="2" s="1"/>
  <c r="K1956" i="2"/>
  <c r="L1956" i="2" s="1"/>
  <c r="K1957" i="2"/>
  <c r="L1957" i="2" s="1"/>
  <c r="K1958" i="2"/>
  <c r="L1958" i="2" s="1"/>
  <c r="K1959" i="2"/>
  <c r="L1959" i="2" s="1"/>
  <c r="K1960" i="2"/>
  <c r="L1960" i="2" s="1"/>
  <c r="K1961" i="2"/>
  <c r="L1961" i="2" s="1"/>
  <c r="K1962" i="2"/>
  <c r="L1962" i="2" s="1"/>
  <c r="K1963" i="2"/>
  <c r="L1963" i="2" s="1"/>
  <c r="K1964" i="2"/>
  <c r="L1964" i="2" s="1"/>
  <c r="K1965" i="2"/>
  <c r="L1965" i="2" s="1"/>
  <c r="K1966" i="2"/>
  <c r="L1966" i="2" s="1"/>
  <c r="K1967" i="2"/>
  <c r="L1967" i="2" s="1"/>
  <c r="K1968" i="2"/>
  <c r="L1968" i="2" s="1"/>
  <c r="K1969" i="2"/>
  <c r="L1969" i="2" s="1"/>
  <c r="K1970" i="2"/>
  <c r="L1970" i="2" s="1"/>
  <c r="K1971" i="2"/>
  <c r="L1971" i="2" s="1"/>
  <c r="K1972" i="2"/>
  <c r="L1972" i="2" s="1"/>
  <c r="K1973" i="2"/>
  <c r="L1973" i="2" s="1"/>
  <c r="K1974" i="2"/>
  <c r="L1974" i="2" s="1"/>
  <c r="K1975" i="2"/>
  <c r="L1975" i="2" s="1"/>
  <c r="K1976" i="2"/>
  <c r="L1976" i="2" s="1"/>
  <c r="K1977" i="2"/>
  <c r="L1977" i="2" s="1"/>
  <c r="K1978" i="2"/>
  <c r="L1978" i="2" s="1"/>
  <c r="K1979" i="2"/>
  <c r="L1979" i="2" s="1"/>
  <c r="K1980" i="2"/>
  <c r="L1980" i="2" s="1"/>
  <c r="K1981" i="2"/>
  <c r="L1981" i="2" s="1"/>
  <c r="K1982" i="2"/>
  <c r="L1982" i="2" s="1"/>
  <c r="K1983" i="2"/>
  <c r="L1983" i="2" s="1"/>
  <c r="K1984" i="2"/>
  <c r="L1984" i="2" s="1"/>
  <c r="K1985" i="2"/>
  <c r="L1985" i="2" s="1"/>
  <c r="K1986" i="2"/>
  <c r="L1986" i="2" s="1"/>
  <c r="K1987" i="2"/>
  <c r="L1987" i="2" s="1"/>
  <c r="K1988" i="2"/>
  <c r="L1988" i="2" s="1"/>
  <c r="K1989" i="2"/>
  <c r="L1989" i="2" s="1"/>
  <c r="K1990" i="2"/>
  <c r="L1990" i="2" s="1"/>
  <c r="K1991" i="2"/>
  <c r="L1991" i="2" s="1"/>
  <c r="K1992" i="2"/>
  <c r="L1992" i="2" s="1"/>
  <c r="K1993" i="2"/>
  <c r="L1993" i="2" s="1"/>
  <c r="K1994" i="2"/>
  <c r="L1994" i="2" s="1"/>
  <c r="K1995" i="2"/>
  <c r="L1995" i="2" s="1"/>
  <c r="K1996" i="2"/>
  <c r="L1996" i="2" s="1"/>
  <c r="K1997" i="2"/>
  <c r="L1997" i="2" s="1"/>
  <c r="K1998" i="2"/>
  <c r="L1998" i="2" s="1"/>
  <c r="K1999" i="2"/>
  <c r="L1999" i="2" s="1"/>
  <c r="K2000" i="2"/>
  <c r="L2000" i="2" s="1"/>
  <c r="K2001" i="2"/>
  <c r="L2001" i="2" s="1"/>
  <c r="K2002" i="2"/>
  <c r="L2002" i="2" s="1"/>
  <c r="K2003" i="2"/>
  <c r="L2003" i="2" s="1"/>
  <c r="K2004" i="2"/>
  <c r="L2004" i="2" s="1"/>
  <c r="K2005" i="2"/>
  <c r="L2005" i="2" s="1"/>
  <c r="K2006" i="2"/>
  <c r="L2006" i="2" s="1"/>
  <c r="K2007" i="2"/>
  <c r="L2007" i="2" s="1"/>
  <c r="K2008" i="2"/>
  <c r="L2008" i="2" s="1"/>
  <c r="K2009" i="2"/>
  <c r="L2009" i="2" s="1"/>
  <c r="K2010" i="2"/>
  <c r="L2010" i="2" s="1"/>
  <c r="K2011" i="2"/>
  <c r="L2011" i="2" s="1"/>
  <c r="K2012" i="2"/>
  <c r="L2012" i="2" s="1"/>
  <c r="K2013" i="2"/>
  <c r="L2013" i="2" s="1"/>
  <c r="K2014" i="2"/>
  <c r="L2014" i="2" s="1"/>
  <c r="K2015" i="2"/>
  <c r="L2015" i="2" s="1"/>
  <c r="K2016" i="2"/>
  <c r="L2016" i="2" s="1"/>
  <c r="K2017" i="2"/>
  <c r="L2017" i="2" s="1"/>
  <c r="K2018" i="2"/>
  <c r="L2018" i="2" s="1"/>
  <c r="K2019" i="2"/>
  <c r="L2019" i="2" s="1"/>
  <c r="K2020" i="2"/>
  <c r="L2020" i="2" s="1"/>
  <c r="K2021" i="2"/>
  <c r="L2021" i="2" s="1"/>
  <c r="K2022" i="2"/>
  <c r="L2022" i="2" s="1"/>
  <c r="K2023" i="2"/>
  <c r="L2023" i="2" s="1"/>
  <c r="K2024" i="2"/>
  <c r="L2024" i="2" s="1"/>
  <c r="K2025" i="2"/>
  <c r="L2025" i="2" s="1"/>
  <c r="K2026" i="2"/>
  <c r="L2026" i="2" s="1"/>
  <c r="K2027" i="2"/>
  <c r="L2027" i="2" s="1"/>
  <c r="K2028" i="2"/>
  <c r="L2028" i="2" s="1"/>
  <c r="K2029" i="2"/>
  <c r="L2029" i="2" s="1"/>
  <c r="K2030" i="2"/>
  <c r="L2030" i="2" s="1"/>
  <c r="K2031" i="2"/>
  <c r="L2031" i="2" s="1"/>
  <c r="K2032" i="2"/>
  <c r="L2032" i="2" s="1"/>
  <c r="K2033" i="2"/>
  <c r="L2033" i="2" s="1"/>
  <c r="K2034" i="2"/>
  <c r="L2034" i="2" s="1"/>
  <c r="K2035" i="2"/>
  <c r="L2035" i="2" s="1"/>
  <c r="K2036" i="2"/>
  <c r="L2036" i="2" s="1"/>
  <c r="K2037" i="2"/>
  <c r="L2037" i="2" s="1"/>
  <c r="K2038" i="2"/>
  <c r="L2038" i="2" s="1"/>
  <c r="K2039" i="2"/>
  <c r="L2039" i="2" s="1"/>
  <c r="K2040" i="2"/>
  <c r="L2040" i="2" s="1"/>
  <c r="K2041" i="2"/>
  <c r="L2041" i="2" s="1"/>
  <c r="K2042" i="2"/>
  <c r="L2042" i="2" s="1"/>
  <c r="K2043" i="2"/>
  <c r="L2043" i="2" s="1"/>
  <c r="K2044" i="2"/>
  <c r="L2044" i="2" s="1"/>
  <c r="K2045" i="2"/>
  <c r="L2045" i="2" s="1"/>
  <c r="K2046" i="2"/>
  <c r="L2046" i="2" s="1"/>
  <c r="K2047" i="2"/>
  <c r="L2047" i="2" s="1"/>
  <c r="K2048" i="2"/>
  <c r="L2048" i="2" s="1"/>
  <c r="K2049" i="2"/>
  <c r="L2049" i="2" s="1"/>
  <c r="K2050" i="2"/>
  <c r="L2050" i="2" s="1"/>
  <c r="K2051" i="2"/>
  <c r="L2051" i="2" s="1"/>
  <c r="K2052" i="2"/>
  <c r="L2052" i="2" s="1"/>
  <c r="K2053" i="2"/>
  <c r="L2053" i="2" s="1"/>
  <c r="K2054" i="2"/>
  <c r="L2054" i="2" s="1"/>
  <c r="K2055" i="2"/>
  <c r="L2055" i="2" s="1"/>
  <c r="K2056" i="2"/>
  <c r="L2056" i="2" s="1"/>
  <c r="K2057" i="2"/>
  <c r="L2057" i="2" s="1"/>
  <c r="K2058" i="2"/>
  <c r="L2058" i="2" s="1"/>
  <c r="K2059" i="2"/>
  <c r="L2059" i="2" s="1"/>
  <c r="K2060" i="2"/>
  <c r="L2060" i="2" s="1"/>
  <c r="K2061" i="2"/>
  <c r="L2061" i="2" s="1"/>
  <c r="K2062" i="2"/>
  <c r="L2062" i="2" s="1"/>
  <c r="K2063" i="2"/>
  <c r="L2063" i="2" s="1"/>
  <c r="K2064" i="2"/>
  <c r="L2064" i="2" s="1"/>
  <c r="K2065" i="2"/>
  <c r="L2065" i="2" s="1"/>
  <c r="K2066" i="2"/>
  <c r="L2066" i="2" s="1"/>
  <c r="K2067" i="2"/>
  <c r="L2067" i="2" s="1"/>
  <c r="K2068" i="2"/>
  <c r="L2068" i="2" s="1"/>
  <c r="K2069" i="2"/>
  <c r="L2069" i="2" s="1"/>
  <c r="K2070" i="2"/>
  <c r="L2070" i="2" s="1"/>
  <c r="K2071" i="2"/>
  <c r="L2071" i="2" s="1"/>
  <c r="K2072" i="2"/>
  <c r="L2072" i="2" s="1"/>
  <c r="K2073" i="2"/>
  <c r="L2073" i="2" s="1"/>
  <c r="K2074" i="2"/>
  <c r="L2074" i="2" s="1"/>
  <c r="K2075" i="2"/>
  <c r="L2075" i="2" s="1"/>
  <c r="K2076" i="2"/>
  <c r="L2076" i="2" s="1"/>
  <c r="K2077" i="2"/>
  <c r="L2077" i="2" s="1"/>
  <c r="K2078" i="2"/>
  <c r="L2078" i="2" s="1"/>
  <c r="K2079" i="2"/>
  <c r="L2079" i="2" s="1"/>
  <c r="K2080" i="2"/>
  <c r="L2080" i="2" s="1"/>
  <c r="K2081" i="2"/>
  <c r="L2081" i="2" s="1"/>
  <c r="K2082" i="2"/>
  <c r="L2082" i="2" s="1"/>
  <c r="K2083" i="2"/>
  <c r="L2083" i="2" s="1"/>
  <c r="K2084" i="2"/>
  <c r="L2084" i="2" s="1"/>
  <c r="K2085" i="2"/>
  <c r="L2085" i="2" s="1"/>
  <c r="K2086" i="2"/>
  <c r="L2086" i="2" s="1"/>
  <c r="K2087" i="2"/>
  <c r="L2087" i="2" s="1"/>
  <c r="K2088" i="2"/>
  <c r="L2088" i="2" s="1"/>
  <c r="K2089" i="2"/>
  <c r="L2089" i="2" s="1"/>
  <c r="K2090" i="2"/>
  <c r="L2090" i="2" s="1"/>
  <c r="K2091" i="2"/>
  <c r="L2091" i="2" s="1"/>
  <c r="K2092" i="2"/>
  <c r="L2092" i="2" s="1"/>
  <c r="K2093" i="2"/>
  <c r="L2093" i="2" s="1"/>
  <c r="K2094" i="2"/>
  <c r="L2094" i="2" s="1"/>
  <c r="K2095" i="2"/>
  <c r="L2095" i="2" s="1"/>
  <c r="K2096" i="2"/>
  <c r="L2096" i="2" s="1"/>
  <c r="K2097" i="2"/>
  <c r="L2097" i="2" s="1"/>
  <c r="K2098" i="2"/>
  <c r="L2098" i="2" s="1"/>
  <c r="K2099" i="2"/>
  <c r="L2099" i="2" s="1"/>
  <c r="K2100" i="2"/>
  <c r="L2100" i="2" s="1"/>
  <c r="K2101" i="2"/>
  <c r="L2101" i="2" s="1"/>
  <c r="K2102" i="2"/>
  <c r="L2102" i="2" s="1"/>
  <c r="K2103" i="2"/>
  <c r="L2103" i="2" s="1"/>
  <c r="K2104" i="2"/>
  <c r="L2104" i="2" s="1"/>
  <c r="K2105" i="2"/>
  <c r="L2105" i="2" s="1"/>
  <c r="K2106" i="2"/>
  <c r="L2106" i="2" s="1"/>
  <c r="K2107" i="2"/>
  <c r="L2107" i="2" s="1"/>
  <c r="K2108" i="2"/>
  <c r="L2108" i="2" s="1"/>
  <c r="K2109" i="2"/>
  <c r="L2109" i="2" s="1"/>
  <c r="K2110" i="2"/>
  <c r="L2110" i="2" s="1"/>
  <c r="K2111" i="2"/>
  <c r="L2111" i="2" s="1"/>
  <c r="K2112" i="2"/>
  <c r="L2112" i="2" s="1"/>
  <c r="K2113" i="2"/>
  <c r="L2113" i="2" s="1"/>
  <c r="K2114" i="2"/>
  <c r="L2114" i="2" s="1"/>
  <c r="K2115" i="2"/>
  <c r="L2115" i="2" s="1"/>
  <c r="K2116" i="2"/>
  <c r="L2116" i="2" s="1"/>
  <c r="K2117" i="2"/>
  <c r="L2117" i="2" s="1"/>
  <c r="K2118" i="2"/>
  <c r="L2118" i="2" s="1"/>
  <c r="K2119" i="2"/>
  <c r="L2119" i="2" s="1"/>
  <c r="K2120" i="2"/>
  <c r="L2120" i="2" s="1"/>
  <c r="K2121" i="2"/>
  <c r="L2121" i="2" s="1"/>
  <c r="K2122" i="2"/>
  <c r="L2122" i="2" s="1"/>
  <c r="K2123" i="2"/>
  <c r="L2123" i="2" s="1"/>
  <c r="K2124" i="2"/>
  <c r="L2124" i="2" s="1"/>
  <c r="K2125" i="2"/>
  <c r="L2125" i="2" s="1"/>
  <c r="K2126" i="2"/>
  <c r="L2126" i="2" s="1"/>
  <c r="K2127" i="2"/>
  <c r="L2127" i="2" s="1"/>
  <c r="K2128" i="2"/>
  <c r="L2128" i="2" s="1"/>
  <c r="K2129" i="2"/>
  <c r="L2129" i="2" s="1"/>
  <c r="K2130" i="2"/>
  <c r="L2130" i="2" s="1"/>
  <c r="K2131" i="2"/>
  <c r="L2131" i="2" s="1"/>
  <c r="K2132" i="2"/>
  <c r="L2132" i="2" s="1"/>
  <c r="K2133" i="2"/>
  <c r="L2133" i="2" s="1"/>
  <c r="K2134" i="2"/>
  <c r="L2134" i="2" s="1"/>
  <c r="K2135" i="2"/>
  <c r="L2135" i="2" s="1"/>
  <c r="K2136" i="2"/>
  <c r="L2136" i="2" s="1"/>
  <c r="K2137" i="2"/>
  <c r="L2137" i="2" s="1"/>
  <c r="K2138" i="2"/>
  <c r="L2138" i="2" s="1"/>
  <c r="K2139" i="2"/>
  <c r="L2139" i="2" s="1"/>
  <c r="K2140" i="2"/>
  <c r="L2140" i="2" s="1"/>
  <c r="K2141" i="2"/>
  <c r="L2141" i="2" s="1"/>
  <c r="K2142" i="2"/>
  <c r="L2142" i="2" s="1"/>
  <c r="K2143" i="2"/>
  <c r="L2143" i="2" s="1"/>
  <c r="K2144" i="2"/>
  <c r="L2144" i="2" s="1"/>
  <c r="K2145" i="2"/>
  <c r="L2145" i="2" s="1"/>
  <c r="K2146" i="2"/>
  <c r="L2146" i="2" s="1"/>
  <c r="K2147" i="2"/>
  <c r="L2147" i="2" s="1"/>
  <c r="K2148" i="2"/>
  <c r="L2148" i="2" s="1"/>
  <c r="K2149" i="2"/>
  <c r="L2149" i="2" s="1"/>
  <c r="K2150" i="2"/>
  <c r="L2150" i="2" s="1"/>
  <c r="K2151" i="2"/>
  <c r="L2151" i="2" s="1"/>
  <c r="K2152" i="2"/>
  <c r="L2152" i="2" s="1"/>
  <c r="K2153" i="2"/>
  <c r="L2153" i="2" s="1"/>
  <c r="K2154" i="2"/>
  <c r="L2154" i="2" s="1"/>
  <c r="K2155" i="2"/>
  <c r="L2155" i="2" s="1"/>
  <c r="K2156" i="2"/>
  <c r="L2156" i="2" s="1"/>
  <c r="K2157" i="2"/>
  <c r="L2157" i="2" s="1"/>
  <c r="K2158" i="2"/>
  <c r="L2158" i="2" s="1"/>
  <c r="K2159" i="2"/>
  <c r="L2159" i="2" s="1"/>
  <c r="K2160" i="2"/>
  <c r="L2160" i="2" s="1"/>
  <c r="K2161" i="2"/>
  <c r="L2161" i="2" s="1"/>
  <c r="K2162" i="2"/>
  <c r="L2162" i="2" s="1"/>
  <c r="K2163" i="2"/>
  <c r="L2163" i="2" s="1"/>
  <c r="K2164" i="2"/>
  <c r="L2164" i="2" s="1"/>
  <c r="K2165" i="2"/>
  <c r="L2165" i="2" s="1"/>
  <c r="K2166" i="2"/>
  <c r="L2166" i="2" s="1"/>
  <c r="K2167" i="2"/>
  <c r="L2167" i="2" s="1"/>
  <c r="K2168" i="2"/>
  <c r="L2168" i="2" s="1"/>
  <c r="K2169" i="2"/>
  <c r="L2169" i="2" s="1"/>
  <c r="K2170" i="2"/>
  <c r="L2170" i="2" s="1"/>
  <c r="K2171" i="2"/>
  <c r="L2171" i="2" s="1"/>
  <c r="K2172" i="2"/>
  <c r="L2172" i="2" s="1"/>
  <c r="K2173" i="2"/>
  <c r="L2173" i="2" s="1"/>
  <c r="K2174" i="2"/>
  <c r="L2174" i="2" s="1"/>
  <c r="K2175" i="2"/>
  <c r="L2175" i="2" s="1"/>
  <c r="K2176" i="2"/>
  <c r="L2176" i="2" s="1"/>
  <c r="K2177" i="2"/>
  <c r="L2177" i="2" s="1"/>
  <c r="K2178" i="2"/>
  <c r="L2178" i="2" s="1"/>
  <c r="K2179" i="2"/>
  <c r="L2179" i="2" s="1"/>
  <c r="K2180" i="2"/>
  <c r="L2180" i="2" s="1"/>
  <c r="K2181" i="2"/>
  <c r="L2181" i="2" s="1"/>
  <c r="K2182" i="2"/>
  <c r="L2182" i="2" s="1"/>
  <c r="K2183" i="2"/>
  <c r="L2183" i="2" s="1"/>
  <c r="K2184" i="2"/>
  <c r="L2184" i="2" s="1"/>
  <c r="K2185" i="2"/>
  <c r="L2185" i="2" s="1"/>
  <c r="K2186" i="2"/>
  <c r="L2186" i="2" s="1"/>
  <c r="K2187" i="2"/>
  <c r="L2187" i="2" s="1"/>
  <c r="K2188" i="2"/>
  <c r="L2188" i="2" s="1"/>
  <c r="K2189" i="2"/>
  <c r="L2189" i="2" s="1"/>
  <c r="K2190" i="2"/>
  <c r="L2190" i="2" s="1"/>
  <c r="K2191" i="2"/>
  <c r="L2191" i="2" s="1"/>
  <c r="K2192" i="2"/>
  <c r="L2192" i="2" s="1"/>
  <c r="K2193" i="2"/>
  <c r="L2193" i="2" s="1"/>
  <c r="K2194" i="2"/>
  <c r="L2194" i="2" s="1"/>
  <c r="K2195" i="2"/>
  <c r="L2195" i="2" s="1"/>
  <c r="K2196" i="2"/>
  <c r="L2196" i="2" s="1"/>
  <c r="K2197" i="2"/>
  <c r="L2197" i="2" s="1"/>
  <c r="K2198" i="2"/>
  <c r="L2198" i="2" s="1"/>
  <c r="K2199" i="2"/>
  <c r="L2199" i="2" s="1"/>
  <c r="K2200" i="2"/>
  <c r="L2200" i="2" s="1"/>
  <c r="K2201" i="2"/>
  <c r="L2201" i="2" s="1"/>
  <c r="K2202" i="2"/>
  <c r="L2202" i="2" s="1"/>
  <c r="K2203" i="2"/>
  <c r="L2203" i="2" s="1"/>
  <c r="K2204" i="2"/>
  <c r="L2204" i="2" s="1"/>
  <c r="K2205" i="2"/>
  <c r="L2205" i="2" s="1"/>
  <c r="K2206" i="2"/>
  <c r="L2206" i="2" s="1"/>
  <c r="K2207" i="2"/>
  <c r="L2207" i="2" s="1"/>
  <c r="K2208" i="2"/>
  <c r="L2208" i="2" s="1"/>
  <c r="K2209" i="2"/>
  <c r="L2209" i="2" s="1"/>
  <c r="K2210" i="2"/>
  <c r="L2210" i="2" s="1"/>
  <c r="K2211" i="2"/>
  <c r="L2211" i="2" s="1"/>
  <c r="K2212" i="2"/>
  <c r="L2212" i="2" s="1"/>
  <c r="K2213" i="2"/>
  <c r="L2213" i="2" s="1"/>
  <c r="K2214" i="2"/>
  <c r="L2214" i="2" s="1"/>
  <c r="K2215" i="2"/>
  <c r="L2215" i="2" s="1"/>
  <c r="K2216" i="2"/>
  <c r="L2216" i="2" s="1"/>
  <c r="K2217" i="2"/>
  <c r="L2217" i="2" s="1"/>
  <c r="K2218" i="2"/>
  <c r="L2218" i="2" s="1"/>
  <c r="K2219" i="2"/>
  <c r="L2219" i="2" s="1"/>
  <c r="K2220" i="2"/>
  <c r="L2220" i="2" s="1"/>
  <c r="K2221" i="2"/>
  <c r="L2221" i="2" s="1"/>
  <c r="K2222" i="2"/>
  <c r="L2222" i="2" s="1"/>
  <c r="K2223" i="2"/>
  <c r="L2223" i="2" s="1"/>
  <c r="K2224" i="2"/>
  <c r="L2224" i="2" s="1"/>
  <c r="K2225" i="2"/>
  <c r="L2225" i="2" s="1"/>
  <c r="K2226" i="2"/>
  <c r="L2226" i="2" s="1"/>
  <c r="K2227" i="2"/>
  <c r="L2227" i="2" s="1"/>
  <c r="K2228" i="2"/>
  <c r="L2228" i="2" s="1"/>
  <c r="K2229" i="2"/>
  <c r="L2229" i="2" s="1"/>
  <c r="K2230" i="2"/>
  <c r="L2230" i="2" s="1"/>
  <c r="K2231" i="2"/>
  <c r="L2231" i="2" s="1"/>
  <c r="K2232" i="2"/>
  <c r="L2232" i="2" s="1"/>
  <c r="K2233" i="2"/>
  <c r="L2233" i="2" s="1"/>
  <c r="K2234" i="2"/>
  <c r="L2234" i="2" s="1"/>
  <c r="K2235" i="2"/>
  <c r="L2235" i="2" s="1"/>
  <c r="K2236" i="2"/>
  <c r="L2236" i="2" s="1"/>
  <c r="K2237" i="2"/>
  <c r="L2237" i="2" s="1"/>
  <c r="K2238" i="2"/>
  <c r="L2238" i="2" s="1"/>
  <c r="K2239" i="2"/>
  <c r="L2239" i="2" s="1"/>
  <c r="K2240" i="2"/>
  <c r="L2240" i="2" s="1"/>
  <c r="K2241" i="2"/>
  <c r="L2241" i="2" s="1"/>
  <c r="K2242" i="2"/>
  <c r="L2242" i="2" s="1"/>
  <c r="K2243" i="2"/>
  <c r="L2243" i="2" s="1"/>
  <c r="K2244" i="2"/>
  <c r="L2244" i="2" s="1"/>
  <c r="K2245" i="2"/>
  <c r="L2245" i="2" s="1"/>
  <c r="K2246" i="2"/>
  <c r="L2246" i="2" s="1"/>
  <c r="K2247" i="2"/>
  <c r="L2247" i="2" s="1"/>
  <c r="K2248" i="2"/>
  <c r="L2248" i="2" s="1"/>
  <c r="K2249" i="2"/>
  <c r="L2249" i="2" s="1"/>
  <c r="K2250" i="2"/>
  <c r="L2250" i="2" s="1"/>
  <c r="K2251" i="2"/>
  <c r="L2251" i="2" s="1"/>
  <c r="K2252" i="2"/>
  <c r="L2252" i="2" s="1"/>
  <c r="K2253" i="2"/>
  <c r="L2253" i="2" s="1"/>
  <c r="K2254" i="2"/>
  <c r="L2254" i="2" s="1"/>
  <c r="K2255" i="2"/>
  <c r="L2255" i="2" s="1"/>
  <c r="K2256" i="2"/>
  <c r="L2256" i="2" s="1"/>
  <c r="K2257" i="2"/>
  <c r="L2257" i="2" s="1"/>
  <c r="K2258" i="2"/>
  <c r="L2258" i="2" s="1"/>
  <c r="K2259" i="2"/>
  <c r="L2259" i="2" s="1"/>
  <c r="K2260" i="2"/>
  <c r="L2260" i="2" s="1"/>
  <c r="K2261" i="2"/>
  <c r="L2261" i="2" s="1"/>
  <c r="K2262" i="2"/>
  <c r="L2262" i="2" s="1"/>
  <c r="K2263" i="2"/>
  <c r="L2263" i="2" s="1"/>
  <c r="K2264" i="2"/>
  <c r="L2264" i="2" s="1"/>
  <c r="K2265" i="2"/>
  <c r="L2265" i="2" s="1"/>
  <c r="K2266" i="2"/>
  <c r="L2266" i="2" s="1"/>
  <c r="K2267" i="2"/>
  <c r="L2267" i="2" s="1"/>
  <c r="K2268" i="2"/>
  <c r="L2268" i="2" s="1"/>
  <c r="K2269" i="2"/>
  <c r="L2269" i="2" s="1"/>
  <c r="K2270" i="2"/>
  <c r="L2270" i="2" s="1"/>
  <c r="K2271" i="2"/>
  <c r="L2271" i="2" s="1"/>
  <c r="K2272" i="2"/>
  <c r="L2272" i="2" s="1"/>
  <c r="K2273" i="2"/>
  <c r="L2273" i="2" s="1"/>
  <c r="K2274" i="2"/>
  <c r="L2274" i="2" s="1"/>
  <c r="K2275" i="2"/>
  <c r="L2275" i="2" s="1"/>
  <c r="K2276" i="2"/>
  <c r="L2276" i="2" s="1"/>
  <c r="K2277" i="2"/>
  <c r="L2277" i="2" s="1"/>
  <c r="K2278" i="2"/>
  <c r="L2278" i="2" s="1"/>
  <c r="K2279" i="2"/>
  <c r="L2279" i="2" s="1"/>
  <c r="K2280" i="2"/>
  <c r="L2280" i="2" s="1"/>
  <c r="K2281" i="2"/>
  <c r="L2281" i="2" s="1"/>
  <c r="K2282" i="2"/>
  <c r="L2282" i="2" s="1"/>
  <c r="K2283" i="2"/>
  <c r="L2283" i="2" s="1"/>
  <c r="K2285" i="2"/>
  <c r="L2285" i="2" s="1"/>
  <c r="K2286" i="2"/>
  <c r="L2286" i="2" s="1"/>
  <c r="K2287" i="2"/>
  <c r="L2287" i="2" s="1"/>
  <c r="K2289" i="2"/>
  <c r="L2289" i="2" s="1"/>
  <c r="K2290" i="2"/>
  <c r="L2290" i="2" s="1"/>
  <c r="K2291" i="2"/>
  <c r="L2291" i="2" s="1"/>
  <c r="K2293" i="2"/>
  <c r="L2293" i="2" s="1"/>
  <c r="K2294" i="2"/>
  <c r="L2294" i="2" s="1"/>
  <c r="K2295" i="2"/>
  <c r="L2295" i="2" s="1"/>
  <c r="K2297" i="2"/>
  <c r="L2297" i="2" s="1"/>
  <c r="K2298" i="2"/>
  <c r="L2298" i="2" s="1"/>
  <c r="K2299" i="2"/>
  <c r="L2299" i="2" s="1"/>
  <c r="K2301" i="2"/>
  <c r="L2301" i="2" s="1"/>
  <c r="K2302" i="2"/>
  <c r="L2302" i="2" s="1"/>
  <c r="K2303" i="2"/>
  <c r="L2303" i="2" s="1"/>
  <c r="K2305" i="2"/>
  <c r="L2305" i="2" s="1"/>
  <c r="K2306" i="2"/>
  <c r="L2306" i="2" s="1"/>
  <c r="K2307" i="2"/>
  <c r="L2307" i="2" s="1"/>
  <c r="K2309" i="2"/>
  <c r="L2309" i="2" s="1"/>
  <c r="K2310" i="2"/>
  <c r="L2310" i="2" s="1"/>
  <c r="K2311" i="2"/>
  <c r="L2311" i="2" s="1"/>
  <c r="K2313" i="2"/>
  <c r="L2313" i="2" s="1"/>
  <c r="K2314" i="2"/>
  <c r="L2314" i="2" s="1"/>
  <c r="K2315" i="2"/>
  <c r="L2315" i="2" s="1"/>
  <c r="K2317" i="2"/>
  <c r="L2317" i="2" s="1"/>
  <c r="K2318" i="2"/>
  <c r="L2318" i="2" s="1"/>
  <c r="K2319" i="2"/>
  <c r="L2319" i="2" s="1"/>
  <c r="K2321" i="2"/>
  <c r="L2321" i="2" s="1"/>
  <c r="K2322" i="2"/>
  <c r="L2322" i="2" s="1"/>
  <c r="K2323" i="2"/>
  <c r="L2323" i="2" s="1"/>
  <c r="K2325" i="2"/>
  <c r="L2325" i="2" s="1"/>
  <c r="K2326" i="2"/>
  <c r="L2326" i="2" s="1"/>
  <c r="K2327" i="2"/>
  <c r="L2327" i="2" s="1"/>
  <c r="K2329" i="2"/>
  <c r="L2329" i="2" s="1"/>
  <c r="K2330" i="2"/>
  <c r="L2330" i="2" s="1"/>
  <c r="K2331" i="2"/>
  <c r="L2331" i="2" s="1"/>
  <c r="K2333" i="2"/>
  <c r="L2333" i="2" s="1"/>
  <c r="K2334" i="2"/>
  <c r="L2334" i="2" s="1"/>
  <c r="K2335" i="2"/>
  <c r="L2335" i="2" s="1"/>
  <c r="K2337" i="2"/>
  <c r="L2337" i="2" s="1"/>
  <c r="K2338" i="2"/>
  <c r="L2338" i="2" s="1"/>
  <c r="K2339" i="2"/>
  <c r="L2339" i="2" s="1"/>
  <c r="K2341" i="2"/>
  <c r="L2341" i="2" s="1"/>
  <c r="K2342" i="2"/>
  <c r="L2342" i="2" s="1"/>
  <c r="K2343" i="2"/>
  <c r="L2343" i="2" s="1"/>
  <c r="K2345" i="2"/>
  <c r="L2345" i="2" s="1"/>
  <c r="K2346" i="2"/>
  <c r="L2346" i="2" s="1"/>
  <c r="K2347" i="2"/>
  <c r="L2347" i="2" s="1"/>
  <c r="K2349" i="2"/>
  <c r="L2349" i="2" s="1"/>
  <c r="K2350" i="2"/>
  <c r="L2350" i="2" s="1"/>
  <c r="K2351" i="2"/>
  <c r="L2351" i="2" s="1"/>
  <c r="K2353" i="2"/>
  <c r="L2353" i="2" s="1"/>
  <c r="K2354" i="2"/>
  <c r="L2354" i="2" s="1"/>
  <c r="K2355" i="2"/>
  <c r="L2355" i="2" s="1"/>
  <c r="K2357" i="2"/>
  <c r="L2357" i="2" s="1"/>
  <c r="K2358" i="2"/>
  <c r="L2358" i="2" s="1"/>
  <c r="K2359" i="2"/>
  <c r="L2359" i="2" s="1"/>
  <c r="K2361" i="2"/>
  <c r="L2361" i="2" s="1"/>
  <c r="K2362" i="2"/>
  <c r="L2362" i="2" s="1"/>
  <c r="K2363" i="2"/>
  <c r="L2363" i="2" s="1"/>
  <c r="K2365" i="2"/>
  <c r="L2365" i="2" s="1"/>
  <c r="K2366" i="2"/>
  <c r="L2366" i="2" s="1"/>
  <c r="K2367" i="2"/>
  <c r="L2367" i="2" s="1"/>
  <c r="K2369" i="2"/>
  <c r="L2369" i="2" s="1"/>
  <c r="K2370" i="2"/>
  <c r="L2370" i="2" s="1"/>
  <c r="K2371" i="2"/>
  <c r="L2371" i="2" s="1"/>
  <c r="K2373" i="2"/>
  <c r="L2373" i="2" s="1"/>
  <c r="K2374" i="2"/>
  <c r="L2374" i="2" s="1"/>
  <c r="K2375" i="2"/>
  <c r="L2375" i="2" s="1"/>
  <c r="K2377" i="2"/>
  <c r="L2377" i="2" s="1"/>
  <c r="K2378" i="2"/>
  <c r="L2378" i="2" s="1"/>
  <c r="K2379" i="2"/>
  <c r="L2379" i="2" s="1"/>
  <c r="K2381" i="2"/>
  <c r="L2381" i="2" s="1"/>
  <c r="K2382" i="2"/>
  <c r="L2382" i="2" s="1"/>
  <c r="K2383" i="2"/>
  <c r="L2383" i="2" s="1"/>
  <c r="K2385" i="2"/>
  <c r="L2385" i="2" s="1"/>
  <c r="K2386" i="2"/>
  <c r="L2386" i="2" s="1"/>
  <c r="K2387" i="2"/>
  <c r="L2387" i="2" s="1"/>
  <c r="K2389" i="2"/>
  <c r="L2389" i="2" s="1"/>
  <c r="K2390" i="2"/>
  <c r="L2390" i="2" s="1"/>
  <c r="K2391" i="2"/>
  <c r="L2391" i="2" s="1"/>
  <c r="K2393" i="2"/>
  <c r="L2393" i="2" s="1"/>
  <c r="K2394" i="2"/>
  <c r="L2394" i="2" s="1"/>
  <c r="K2395" i="2"/>
  <c r="L2395" i="2" s="1"/>
  <c r="K2397" i="2"/>
  <c r="L2397" i="2" s="1"/>
  <c r="K2398" i="2"/>
  <c r="L2398" i="2" s="1"/>
  <c r="K2399" i="2"/>
  <c r="L2399" i="2" s="1"/>
  <c r="K2401" i="2"/>
  <c r="L2401" i="2" s="1"/>
  <c r="K2402" i="2"/>
  <c r="L2402" i="2" s="1"/>
  <c r="K2403" i="2"/>
  <c r="L2403" i="2" s="1"/>
  <c r="K2405" i="2"/>
  <c r="L2405" i="2" s="1"/>
  <c r="K2406" i="2"/>
  <c r="L2406" i="2" s="1"/>
  <c r="K2407" i="2"/>
  <c r="L2407" i="2" s="1"/>
  <c r="K2409" i="2"/>
  <c r="L2409" i="2" s="1"/>
  <c r="K2410" i="2"/>
  <c r="L2410" i="2" s="1"/>
  <c r="K2411" i="2"/>
  <c r="L2411" i="2" s="1"/>
  <c r="K2413" i="2"/>
  <c r="L2413" i="2" s="1"/>
  <c r="K2414" i="2"/>
  <c r="L2414" i="2" s="1"/>
  <c r="K2415" i="2"/>
  <c r="L2415" i="2" s="1"/>
  <c r="K2417" i="2"/>
  <c r="L2417" i="2" s="1"/>
  <c r="K2418" i="2"/>
  <c r="L2418" i="2" s="1"/>
  <c r="K2419" i="2"/>
  <c r="L2419" i="2" s="1"/>
  <c r="K2421" i="2"/>
  <c r="L2421" i="2" s="1"/>
  <c r="K2422" i="2"/>
  <c r="L2422" i="2" s="1"/>
  <c r="K2423" i="2"/>
  <c r="L2423" i="2" s="1"/>
  <c r="K2425" i="2"/>
  <c r="L2425" i="2" s="1"/>
  <c r="K2426" i="2"/>
  <c r="L2426" i="2" s="1"/>
  <c r="K2427" i="2"/>
  <c r="L2427" i="2" s="1"/>
  <c r="K2429" i="2"/>
  <c r="L2429" i="2" s="1"/>
  <c r="K2430" i="2"/>
  <c r="L2430" i="2" s="1"/>
  <c r="K2431" i="2"/>
  <c r="L2431" i="2" s="1"/>
  <c r="K2433" i="2"/>
  <c r="L2433" i="2" s="1"/>
  <c r="K2434" i="2"/>
  <c r="L2434" i="2" s="1"/>
  <c r="K2435" i="2"/>
  <c r="L2435" i="2" s="1"/>
  <c r="K2437" i="2"/>
  <c r="L2437" i="2" s="1"/>
  <c r="K2438" i="2"/>
  <c r="L2438" i="2" s="1"/>
  <c r="K2439" i="2"/>
  <c r="L2439" i="2" s="1"/>
  <c r="K2441" i="2"/>
  <c r="L2441" i="2" s="1"/>
  <c r="K2442" i="2"/>
  <c r="L2442" i="2" s="1"/>
  <c r="K2443" i="2"/>
  <c r="L2443" i="2" s="1"/>
  <c r="K2445" i="2"/>
  <c r="L2445" i="2" s="1"/>
  <c r="K2446" i="2"/>
  <c r="L2446" i="2" s="1"/>
  <c r="K2447" i="2"/>
  <c r="L2447" i="2" s="1"/>
  <c r="K2449" i="2"/>
  <c r="L2449" i="2" s="1"/>
  <c r="K2450" i="2"/>
  <c r="L2450" i="2" s="1"/>
  <c r="K2451" i="2"/>
  <c r="L2451" i="2" s="1"/>
  <c r="K2453" i="2"/>
  <c r="L2453" i="2" s="1"/>
  <c r="K2454" i="2"/>
  <c r="L2454" i="2" s="1"/>
  <c r="K2455" i="2"/>
  <c r="L2455" i="2" s="1"/>
  <c r="K2457" i="2"/>
  <c r="L2457" i="2" s="1"/>
  <c r="K2458" i="2"/>
  <c r="L2458" i="2" s="1"/>
  <c r="K2459" i="2"/>
  <c r="L2459" i="2" s="1"/>
  <c r="K2461" i="2"/>
  <c r="L2461" i="2" s="1"/>
  <c r="K2462" i="2"/>
  <c r="L2462" i="2" s="1"/>
  <c r="K2463" i="2"/>
  <c r="L2463" i="2" s="1"/>
  <c r="K2465" i="2"/>
  <c r="L2465" i="2" s="1"/>
  <c r="K2466" i="2"/>
  <c r="L2466" i="2" s="1"/>
  <c r="K2467" i="2"/>
  <c r="L2467" i="2" s="1"/>
  <c r="K2469" i="2"/>
  <c r="L2469" i="2" s="1"/>
  <c r="K2470" i="2"/>
  <c r="L2470" i="2" s="1"/>
  <c r="K2471" i="2"/>
  <c r="L2471" i="2" s="1"/>
  <c r="K2473" i="2"/>
  <c r="L2473" i="2" s="1"/>
  <c r="K2474" i="2"/>
  <c r="L2474" i="2" s="1"/>
  <c r="K2475" i="2"/>
  <c r="L2475" i="2" s="1"/>
  <c r="K2477" i="2"/>
  <c r="L2477" i="2" s="1"/>
  <c r="K2478" i="2"/>
  <c r="L2478" i="2" s="1"/>
  <c r="K2479" i="2"/>
  <c r="L2479" i="2" s="1"/>
  <c r="K2481" i="2"/>
  <c r="L2481" i="2" s="1"/>
  <c r="K2482" i="2"/>
  <c r="L2482" i="2" s="1"/>
  <c r="K2483" i="2"/>
  <c r="L2483" i="2" s="1"/>
  <c r="K2485" i="2"/>
  <c r="L2485" i="2" s="1"/>
  <c r="K2486" i="2"/>
  <c r="L2486" i="2" s="1"/>
  <c r="K2487" i="2"/>
  <c r="L2487" i="2" s="1"/>
  <c r="K2489" i="2"/>
  <c r="L2489" i="2" s="1"/>
  <c r="K2490" i="2"/>
  <c r="L2490" i="2" s="1"/>
  <c r="K2491" i="2"/>
  <c r="L2491" i="2" s="1"/>
  <c r="K2493" i="2"/>
  <c r="L2493" i="2" s="1"/>
  <c r="K2494" i="2"/>
  <c r="L2494" i="2" s="1"/>
  <c r="K2495" i="2"/>
  <c r="L2495" i="2" s="1"/>
  <c r="K2497" i="2"/>
  <c r="L2497" i="2" s="1"/>
  <c r="K2498" i="2"/>
  <c r="L2498" i="2" s="1"/>
  <c r="K2499" i="2"/>
  <c r="L2499" i="2" s="1"/>
  <c r="K2501" i="2"/>
  <c r="L2501" i="2" s="1"/>
  <c r="K2502" i="2"/>
  <c r="L2502" i="2" s="1"/>
  <c r="K2503" i="2"/>
  <c r="L2503" i="2" s="1"/>
  <c r="K2505" i="2"/>
  <c r="L2505" i="2" s="1"/>
  <c r="K2506" i="2"/>
  <c r="L2506" i="2" s="1"/>
  <c r="K2507" i="2"/>
  <c r="L2507" i="2" s="1"/>
  <c r="K2509" i="2"/>
  <c r="L2509" i="2" s="1"/>
  <c r="K2510" i="2"/>
  <c r="L2510" i="2" s="1"/>
  <c r="K2511" i="2"/>
  <c r="L2511" i="2" s="1"/>
  <c r="K2513" i="2"/>
  <c r="L2513" i="2" s="1"/>
  <c r="K2514" i="2"/>
  <c r="L2514" i="2" s="1"/>
  <c r="K2515" i="2"/>
  <c r="L2515" i="2" s="1"/>
  <c r="K2517" i="2"/>
  <c r="L2517" i="2" s="1"/>
  <c r="K2518" i="2"/>
  <c r="L2518" i="2" s="1"/>
  <c r="K2519" i="2"/>
  <c r="L2519" i="2" s="1"/>
  <c r="K2521" i="2"/>
  <c r="L2521" i="2" s="1"/>
  <c r="K2522" i="2"/>
  <c r="L2522" i="2" s="1"/>
  <c r="K2523" i="2"/>
  <c r="L2523" i="2" s="1"/>
  <c r="K2525" i="2"/>
  <c r="L2525" i="2" s="1"/>
  <c r="K2526" i="2"/>
  <c r="L2526" i="2" s="1"/>
  <c r="K2527" i="2"/>
  <c r="L2527" i="2" s="1"/>
  <c r="K2529" i="2"/>
  <c r="L2529" i="2" s="1"/>
  <c r="K2530" i="2"/>
  <c r="L2530" i="2" s="1"/>
  <c r="K2531" i="2"/>
  <c r="L2531" i="2" s="1"/>
  <c r="K2533" i="2"/>
  <c r="L2533" i="2" s="1"/>
  <c r="K2534" i="2"/>
  <c r="L2534" i="2" s="1"/>
  <c r="K2535" i="2"/>
  <c r="L2535" i="2" s="1"/>
  <c r="K2537" i="2"/>
  <c r="L2537" i="2" s="1"/>
  <c r="K2538" i="2"/>
  <c r="L2538" i="2" s="1"/>
  <c r="K2539" i="2"/>
  <c r="L2539" i="2" s="1"/>
  <c r="K2541" i="2"/>
  <c r="L2541" i="2" s="1"/>
  <c r="K2542" i="2"/>
  <c r="L2542" i="2" s="1"/>
  <c r="K2543" i="2"/>
  <c r="L2543" i="2" s="1"/>
  <c r="K2545" i="2"/>
  <c r="L2545" i="2" s="1"/>
  <c r="K2546" i="2"/>
  <c r="L2546" i="2" s="1"/>
  <c r="K2547" i="2"/>
  <c r="L2547" i="2" s="1"/>
  <c r="K2549" i="2"/>
  <c r="L2549" i="2" s="1"/>
  <c r="K2550" i="2"/>
  <c r="L2550" i="2" s="1"/>
  <c r="K2551" i="2"/>
  <c r="L2551" i="2" s="1"/>
  <c r="K2553" i="2"/>
  <c r="L2553" i="2" s="1"/>
  <c r="K2554" i="2"/>
  <c r="L2554" i="2" s="1"/>
  <c r="K2555" i="2"/>
  <c r="L2555" i="2" s="1"/>
  <c r="K2557" i="2"/>
  <c r="L2557" i="2" s="1"/>
  <c r="K2558" i="2"/>
  <c r="L2558" i="2" s="1"/>
  <c r="K2559" i="2"/>
  <c r="L2559" i="2" s="1"/>
  <c r="K2561" i="2"/>
  <c r="L2561" i="2" s="1"/>
  <c r="K2562" i="2"/>
  <c r="L2562" i="2" s="1"/>
  <c r="K2563" i="2"/>
  <c r="L2563" i="2" s="1"/>
  <c r="K2565" i="2"/>
  <c r="L2565" i="2" s="1"/>
  <c r="K2566" i="2"/>
  <c r="L2566" i="2" s="1"/>
  <c r="K2567" i="2"/>
  <c r="L2567" i="2" s="1"/>
  <c r="K2569" i="2"/>
  <c r="L2569" i="2" s="1"/>
  <c r="K2570" i="2"/>
  <c r="L2570" i="2" s="1"/>
  <c r="K2571" i="2"/>
  <c r="L2571" i="2" s="1"/>
  <c r="K2573" i="2"/>
  <c r="L2573" i="2" s="1"/>
  <c r="K2574" i="2"/>
  <c r="L2574" i="2" s="1"/>
  <c r="K2575" i="2"/>
  <c r="L2575" i="2" s="1"/>
  <c r="K2577" i="2"/>
  <c r="L2577" i="2" s="1"/>
  <c r="K2578" i="2"/>
  <c r="L2578" i="2" s="1"/>
  <c r="K2579" i="2"/>
  <c r="L2579" i="2" s="1"/>
  <c r="K2581" i="2"/>
  <c r="L2581" i="2" s="1"/>
  <c r="K2582" i="2"/>
  <c r="L2582" i="2" s="1"/>
  <c r="K2583" i="2"/>
  <c r="L2583" i="2" s="1"/>
  <c r="K2585" i="2"/>
  <c r="L2585" i="2" s="1"/>
  <c r="K2586" i="2"/>
  <c r="L2586" i="2" s="1"/>
  <c r="K2587" i="2"/>
  <c r="L2587" i="2" s="1"/>
  <c r="K2589" i="2"/>
  <c r="L2589" i="2" s="1"/>
  <c r="K2590" i="2"/>
  <c r="L2590" i="2" s="1"/>
  <c r="K2591" i="2"/>
  <c r="L2591" i="2" s="1"/>
  <c r="K2593" i="2"/>
  <c r="L2593" i="2" s="1"/>
  <c r="K2594" i="2"/>
  <c r="L2594" i="2" s="1"/>
  <c r="K2595" i="2"/>
  <c r="L2595" i="2" s="1"/>
  <c r="K2597" i="2"/>
  <c r="L2597" i="2" s="1"/>
  <c r="K2598" i="2"/>
  <c r="L2598" i="2" s="1"/>
  <c r="K2599" i="2"/>
  <c r="L2599" i="2" s="1"/>
  <c r="K2601" i="2"/>
  <c r="L2601" i="2" s="1"/>
  <c r="K2602" i="2"/>
  <c r="L2602" i="2" s="1"/>
  <c r="K2603" i="2"/>
  <c r="L2603" i="2" s="1"/>
  <c r="K2605" i="2"/>
  <c r="L2605" i="2" s="1"/>
  <c r="K2606" i="2"/>
  <c r="L2606" i="2" s="1"/>
  <c r="K2607" i="2"/>
  <c r="L2607" i="2" s="1"/>
  <c r="K2609" i="2"/>
  <c r="L2609" i="2" s="1"/>
  <c r="K2610" i="2"/>
  <c r="L2610" i="2" s="1"/>
  <c r="K2611" i="2"/>
  <c r="L2611" i="2" s="1"/>
  <c r="K2613" i="2"/>
  <c r="L2613" i="2" s="1"/>
  <c r="K2614" i="2"/>
  <c r="L2614" i="2" s="1"/>
  <c r="K2615" i="2"/>
  <c r="L2615" i="2" s="1"/>
  <c r="K2617" i="2"/>
  <c r="L2617" i="2" s="1"/>
  <c r="K2618" i="2"/>
  <c r="L2618" i="2" s="1"/>
  <c r="K2619" i="2"/>
  <c r="L2619" i="2" s="1"/>
  <c r="K2621" i="2"/>
  <c r="L2621" i="2" s="1"/>
  <c r="K2622" i="2"/>
  <c r="L2622" i="2" s="1"/>
  <c r="K2623" i="2"/>
  <c r="L2623" i="2" s="1"/>
  <c r="K2625" i="2"/>
  <c r="L2625" i="2" s="1"/>
  <c r="K2626" i="2"/>
  <c r="L2626" i="2" s="1"/>
  <c r="K2627" i="2"/>
  <c r="L2627" i="2" s="1"/>
  <c r="K2629" i="2"/>
  <c r="L2629" i="2" s="1"/>
  <c r="K2630" i="2"/>
  <c r="L2630" i="2" s="1"/>
  <c r="K2631" i="2"/>
  <c r="L2631" i="2" s="1"/>
  <c r="K2633" i="2"/>
  <c r="L2633" i="2" s="1"/>
  <c r="K2634" i="2"/>
  <c r="L2634" i="2" s="1"/>
  <c r="K2635" i="2"/>
  <c r="L2635" i="2" s="1"/>
  <c r="K2637" i="2"/>
  <c r="L2637" i="2" s="1"/>
  <c r="K2638" i="2"/>
  <c r="L2638" i="2" s="1"/>
  <c r="K2639" i="2"/>
  <c r="L2639" i="2" s="1"/>
  <c r="K2641" i="2"/>
  <c r="L2641" i="2" s="1"/>
  <c r="K2642" i="2"/>
  <c r="L2642" i="2" s="1"/>
  <c r="K2643" i="2"/>
  <c r="L2643" i="2" s="1"/>
  <c r="K2645" i="2"/>
  <c r="L2645" i="2" s="1"/>
  <c r="K2646" i="2"/>
  <c r="L2646" i="2" s="1"/>
  <c r="K2647" i="2"/>
  <c r="L2647" i="2" s="1"/>
  <c r="K2649" i="2"/>
  <c r="L2649" i="2" s="1"/>
  <c r="K2650" i="2"/>
  <c r="L2650" i="2" s="1"/>
  <c r="K2651" i="2"/>
  <c r="L2651" i="2" s="1"/>
  <c r="K2653" i="2"/>
  <c r="L2653" i="2" s="1"/>
  <c r="K2654" i="2"/>
  <c r="L2654" i="2" s="1"/>
  <c r="K2655" i="2"/>
  <c r="L2655" i="2" s="1"/>
  <c r="K2657" i="2"/>
  <c r="L2657" i="2" s="1"/>
  <c r="K2658" i="2"/>
  <c r="L2658" i="2" s="1"/>
  <c r="K2659" i="2"/>
  <c r="L2659" i="2" s="1"/>
  <c r="K2661" i="2"/>
  <c r="L2661" i="2" s="1"/>
  <c r="K2662" i="2"/>
  <c r="L2662" i="2" s="1"/>
  <c r="K2663" i="2"/>
  <c r="L2663" i="2" s="1"/>
  <c r="K2665" i="2"/>
  <c r="L2665" i="2" s="1"/>
  <c r="K2666" i="2"/>
  <c r="L2666" i="2" s="1"/>
  <c r="K2667" i="2"/>
  <c r="L2667" i="2" s="1"/>
  <c r="K2668" i="2"/>
  <c r="L2668" i="2" s="1"/>
  <c r="K2669" i="2"/>
  <c r="L2669" i="2" s="1"/>
  <c r="K2670" i="2"/>
  <c r="L2670" i="2" s="1"/>
  <c r="K2671" i="2"/>
  <c r="L2671" i="2" s="1"/>
  <c r="K2672" i="2"/>
  <c r="L2672" i="2" s="1"/>
  <c r="K2673" i="2"/>
  <c r="L2673" i="2" s="1"/>
  <c r="K2674" i="2"/>
  <c r="L2674" i="2" s="1"/>
  <c r="K2675" i="2"/>
  <c r="L2675" i="2" s="1"/>
  <c r="K2676" i="2"/>
  <c r="L2676" i="2" s="1"/>
  <c r="K2677" i="2"/>
  <c r="L2677" i="2" s="1"/>
  <c r="K2678" i="2"/>
  <c r="L2678" i="2" s="1"/>
  <c r="K2679" i="2"/>
  <c r="L2679" i="2" s="1"/>
  <c r="K2680" i="2"/>
  <c r="L2680" i="2" s="1"/>
  <c r="K2681" i="2"/>
  <c r="L2681" i="2" s="1"/>
  <c r="K2682" i="2"/>
  <c r="L2682" i="2" s="1"/>
  <c r="K2683" i="2"/>
  <c r="L2683" i="2" s="1"/>
  <c r="K2684" i="2"/>
  <c r="L2684" i="2" s="1"/>
  <c r="K2685" i="2"/>
  <c r="L2685" i="2" s="1"/>
  <c r="K2686" i="2"/>
  <c r="L2686" i="2" s="1"/>
  <c r="K2687" i="2"/>
  <c r="L2687" i="2" s="1"/>
  <c r="K2688" i="2"/>
  <c r="L2688" i="2" s="1"/>
  <c r="K2689" i="2"/>
  <c r="L2689" i="2" s="1"/>
  <c r="K2690" i="2"/>
  <c r="L2690" i="2" s="1"/>
  <c r="K2691" i="2"/>
  <c r="L2691" i="2" s="1"/>
  <c r="K2692" i="2"/>
  <c r="L2692" i="2" s="1"/>
  <c r="K2693" i="2"/>
  <c r="L2693" i="2" s="1"/>
  <c r="K2694" i="2"/>
  <c r="L2694" i="2" s="1"/>
  <c r="K2695" i="2"/>
  <c r="L2695" i="2" s="1"/>
  <c r="K2696" i="2"/>
  <c r="L2696" i="2" s="1"/>
  <c r="K2697" i="2"/>
  <c r="L2697" i="2" s="1"/>
  <c r="K2698" i="2"/>
  <c r="L2698" i="2" s="1"/>
  <c r="K2699" i="2"/>
  <c r="L2699" i="2" s="1"/>
  <c r="K2700" i="2"/>
  <c r="L2700" i="2" s="1"/>
  <c r="K2701" i="2"/>
  <c r="L2701" i="2" s="1"/>
  <c r="K2702" i="2"/>
  <c r="L2702" i="2" s="1"/>
  <c r="K2703" i="2"/>
  <c r="L2703" i="2" s="1"/>
  <c r="K2704" i="2"/>
  <c r="L2704" i="2" s="1"/>
  <c r="K2705" i="2"/>
  <c r="L2705" i="2" s="1"/>
  <c r="K2706" i="2"/>
  <c r="L2706" i="2" s="1"/>
  <c r="K2707" i="2"/>
  <c r="L2707" i="2" s="1"/>
  <c r="K2708" i="2"/>
  <c r="L2708" i="2" s="1"/>
  <c r="K2709" i="2"/>
  <c r="L2709" i="2" s="1"/>
  <c r="K2710" i="2"/>
  <c r="L2710" i="2" s="1"/>
  <c r="K2711" i="2"/>
  <c r="L2711" i="2" s="1"/>
  <c r="K2712" i="2"/>
  <c r="L2712" i="2" s="1"/>
  <c r="K2713" i="2"/>
  <c r="L2713" i="2" s="1"/>
  <c r="K2714" i="2"/>
  <c r="L2714" i="2" s="1"/>
  <c r="K2715" i="2"/>
  <c r="L2715" i="2" s="1"/>
  <c r="K2716" i="2"/>
  <c r="L2716" i="2" s="1"/>
  <c r="K2717" i="2"/>
  <c r="L2717" i="2" s="1"/>
  <c r="K2718" i="2"/>
  <c r="L2718" i="2" s="1"/>
  <c r="K2719" i="2"/>
  <c r="L2719" i="2" s="1"/>
  <c r="K2720" i="2"/>
  <c r="L2720" i="2" s="1"/>
  <c r="K2721" i="2"/>
  <c r="L2721" i="2" s="1"/>
  <c r="K2722" i="2"/>
  <c r="L2722" i="2" s="1"/>
  <c r="K2723" i="2"/>
  <c r="L2723" i="2" s="1"/>
  <c r="K2724" i="2"/>
  <c r="L2724" i="2" s="1"/>
  <c r="K2725" i="2"/>
  <c r="L2725" i="2" s="1"/>
  <c r="K2726" i="2"/>
  <c r="L2726" i="2" s="1"/>
  <c r="K2727" i="2"/>
  <c r="L2727" i="2" s="1"/>
  <c r="K2728" i="2"/>
  <c r="L2728" i="2" s="1"/>
  <c r="K2729" i="2"/>
  <c r="L2729" i="2" s="1"/>
  <c r="K2730" i="2"/>
  <c r="L2730" i="2" s="1"/>
  <c r="K2731" i="2"/>
  <c r="L2731" i="2" s="1"/>
  <c r="K2732" i="2"/>
  <c r="L2732" i="2" s="1"/>
  <c r="K2733" i="2"/>
  <c r="L2733" i="2" s="1"/>
  <c r="K2734" i="2"/>
  <c r="L2734" i="2" s="1"/>
  <c r="K2735" i="2"/>
  <c r="L2735" i="2" s="1"/>
  <c r="K2736" i="2"/>
  <c r="L2736" i="2" s="1"/>
  <c r="K2737" i="2"/>
  <c r="L2737" i="2" s="1"/>
  <c r="K2738" i="2"/>
  <c r="L2738" i="2" s="1"/>
  <c r="K2739" i="2"/>
  <c r="L2739" i="2" s="1"/>
  <c r="K2740" i="2"/>
  <c r="L2740" i="2" s="1"/>
  <c r="K2741" i="2"/>
  <c r="L2741" i="2" s="1"/>
  <c r="K2742" i="2"/>
  <c r="L2742" i="2" s="1"/>
  <c r="K2743" i="2"/>
  <c r="L2743" i="2" s="1"/>
  <c r="K2744" i="2"/>
  <c r="L2744" i="2" s="1"/>
  <c r="K2745" i="2"/>
  <c r="L2745" i="2" s="1"/>
  <c r="K2746" i="2"/>
  <c r="L2746" i="2" s="1"/>
  <c r="K2747" i="2"/>
  <c r="L2747" i="2" s="1"/>
  <c r="K2748" i="2"/>
  <c r="L2748" i="2" s="1"/>
  <c r="K2749" i="2"/>
  <c r="L2749" i="2" s="1"/>
  <c r="K2750" i="2"/>
  <c r="L2750" i="2" s="1"/>
  <c r="K2751" i="2"/>
  <c r="L2751" i="2" s="1"/>
  <c r="K2752" i="2"/>
  <c r="L2752" i="2" s="1"/>
  <c r="K2753" i="2"/>
  <c r="L2753" i="2" s="1"/>
  <c r="K2754" i="2"/>
  <c r="L2754" i="2" s="1"/>
  <c r="K2755" i="2"/>
  <c r="L2755" i="2" s="1"/>
  <c r="K2756" i="2"/>
  <c r="L2756" i="2" s="1"/>
  <c r="K2757" i="2"/>
  <c r="L2757" i="2" s="1"/>
  <c r="K2758" i="2"/>
  <c r="L2758" i="2" s="1"/>
  <c r="K2759" i="2"/>
  <c r="L2759" i="2" s="1"/>
  <c r="K2760" i="2"/>
  <c r="L2760" i="2" s="1"/>
  <c r="K2761" i="2"/>
  <c r="L2761" i="2" s="1"/>
  <c r="K2762" i="2"/>
  <c r="L2762" i="2" s="1"/>
  <c r="K2763" i="2"/>
  <c r="L2763" i="2" s="1"/>
  <c r="K2764" i="2"/>
  <c r="L2764" i="2" s="1"/>
  <c r="K2765" i="2"/>
  <c r="L2765" i="2" s="1"/>
  <c r="K2766" i="2"/>
  <c r="L2766" i="2" s="1"/>
  <c r="K2767" i="2"/>
  <c r="L2767" i="2" s="1"/>
  <c r="K2768" i="2"/>
  <c r="L2768" i="2" s="1"/>
  <c r="K2769" i="2"/>
  <c r="L2769" i="2" s="1"/>
  <c r="K2770" i="2"/>
  <c r="L2770" i="2" s="1"/>
  <c r="K2771" i="2"/>
  <c r="L2771" i="2" s="1"/>
  <c r="K2772" i="2"/>
  <c r="L2772" i="2" s="1"/>
  <c r="K2773" i="2"/>
  <c r="L2773" i="2" s="1"/>
  <c r="K2774" i="2"/>
  <c r="L2774" i="2" s="1"/>
  <c r="K2775" i="2"/>
  <c r="L2775" i="2" s="1"/>
  <c r="K2776" i="2"/>
  <c r="L2776" i="2" s="1"/>
  <c r="K2777" i="2"/>
  <c r="L2777" i="2" s="1"/>
  <c r="K2778" i="2"/>
  <c r="L2778" i="2" s="1"/>
  <c r="K2779" i="2"/>
  <c r="L2779" i="2" s="1"/>
  <c r="K2780" i="2"/>
  <c r="L2780" i="2" s="1"/>
  <c r="K2781" i="2"/>
  <c r="L2781" i="2" s="1"/>
  <c r="K2782" i="2"/>
  <c r="L2782" i="2" s="1"/>
  <c r="K2783" i="2"/>
  <c r="L2783" i="2" s="1"/>
  <c r="K2784" i="2"/>
  <c r="L2784" i="2" s="1"/>
  <c r="K2785" i="2"/>
  <c r="L2785" i="2" s="1"/>
  <c r="K2786" i="2"/>
  <c r="L2786" i="2" s="1"/>
  <c r="K2787" i="2"/>
  <c r="L2787" i="2" s="1"/>
  <c r="K2788" i="2"/>
  <c r="L2788" i="2" s="1"/>
  <c r="K2789" i="2"/>
  <c r="L2789" i="2" s="1"/>
  <c r="K2790" i="2"/>
  <c r="L2790" i="2" s="1"/>
  <c r="K2791" i="2"/>
  <c r="L2791" i="2" s="1"/>
  <c r="K2792" i="2"/>
  <c r="L2792" i="2" s="1"/>
  <c r="K2793" i="2"/>
  <c r="L2793" i="2" s="1"/>
  <c r="K2794" i="2"/>
  <c r="L2794" i="2" s="1"/>
  <c r="K2795" i="2"/>
  <c r="L2795" i="2" s="1"/>
  <c r="K2796" i="2"/>
  <c r="L2796" i="2" s="1"/>
  <c r="K2797" i="2"/>
  <c r="L2797" i="2" s="1"/>
  <c r="K2798" i="2"/>
  <c r="L2798" i="2" s="1"/>
  <c r="K2799" i="2"/>
  <c r="L2799" i="2" s="1"/>
  <c r="K2800" i="2"/>
  <c r="L2800" i="2" s="1"/>
  <c r="K2801" i="2"/>
  <c r="L2801" i="2" s="1"/>
  <c r="K2802" i="2"/>
  <c r="L2802" i="2" s="1"/>
  <c r="K2803" i="2"/>
  <c r="L2803" i="2" s="1"/>
  <c r="K2804" i="2"/>
  <c r="L2804" i="2" s="1"/>
  <c r="K2805" i="2"/>
  <c r="L2805" i="2" s="1"/>
  <c r="K2806" i="2"/>
  <c r="L2806" i="2" s="1"/>
  <c r="K2807" i="2"/>
  <c r="L2807" i="2" s="1"/>
  <c r="K2808" i="2"/>
  <c r="L2808" i="2" s="1"/>
  <c r="K2809" i="2"/>
  <c r="L2809" i="2" s="1"/>
  <c r="K2810" i="2"/>
  <c r="L2810" i="2" s="1"/>
  <c r="K2811" i="2"/>
  <c r="L2811" i="2" s="1"/>
  <c r="K2812" i="2"/>
  <c r="L2812" i="2" s="1"/>
  <c r="K2813" i="2"/>
  <c r="L2813" i="2" s="1"/>
  <c r="K2814" i="2"/>
  <c r="L2814" i="2" s="1"/>
  <c r="K2815" i="2"/>
  <c r="L2815" i="2" s="1"/>
  <c r="K2816" i="2"/>
  <c r="L2816" i="2" s="1"/>
  <c r="K2817" i="2"/>
  <c r="L2817" i="2" s="1"/>
  <c r="K2818" i="2"/>
  <c r="L2818" i="2" s="1"/>
  <c r="K2819" i="2"/>
  <c r="L2819" i="2" s="1"/>
  <c r="K2820" i="2"/>
  <c r="L2820" i="2" s="1"/>
  <c r="K2821" i="2"/>
  <c r="L2821" i="2" s="1"/>
  <c r="K2822" i="2"/>
  <c r="L2822" i="2" s="1"/>
  <c r="K2823" i="2"/>
  <c r="L2823" i="2" s="1"/>
  <c r="K2824" i="2"/>
  <c r="L2824" i="2" s="1"/>
  <c r="K2825" i="2"/>
  <c r="L2825" i="2" s="1"/>
  <c r="K2826" i="2"/>
  <c r="L2826" i="2" s="1"/>
  <c r="K2827" i="2"/>
  <c r="L2827" i="2" s="1"/>
  <c r="K2828" i="2"/>
  <c r="L2828" i="2" s="1"/>
  <c r="K2829" i="2"/>
  <c r="L2829" i="2" s="1"/>
  <c r="K2830" i="2"/>
  <c r="L2830" i="2" s="1"/>
  <c r="K2831" i="2"/>
  <c r="L2831" i="2" s="1"/>
  <c r="K2832" i="2"/>
  <c r="L2832" i="2" s="1"/>
  <c r="K2833" i="2"/>
  <c r="L2833" i="2" s="1"/>
  <c r="K2834" i="2"/>
  <c r="L2834" i="2" s="1"/>
  <c r="K2835" i="2"/>
  <c r="L2835" i="2" s="1"/>
  <c r="K2836" i="2"/>
  <c r="L2836" i="2" s="1"/>
  <c r="K2837" i="2"/>
  <c r="L2837" i="2" s="1"/>
  <c r="K2838" i="2"/>
  <c r="L2838" i="2" s="1"/>
  <c r="K2839" i="2"/>
  <c r="L2839" i="2" s="1"/>
  <c r="K2840" i="2"/>
  <c r="L2840" i="2" s="1"/>
  <c r="K2841" i="2"/>
  <c r="L2841" i="2" s="1"/>
  <c r="K2842" i="2"/>
  <c r="L2842" i="2" s="1"/>
  <c r="K2843" i="2"/>
  <c r="L2843" i="2" s="1"/>
  <c r="K2844" i="2"/>
  <c r="L2844" i="2" s="1"/>
  <c r="K2845" i="2"/>
  <c r="L2845" i="2" s="1"/>
  <c r="K2846" i="2"/>
  <c r="L2846" i="2" s="1"/>
  <c r="K2847" i="2"/>
  <c r="L2847" i="2" s="1"/>
  <c r="K2848" i="2"/>
  <c r="L2848" i="2" s="1"/>
  <c r="K2849" i="2"/>
  <c r="L2849" i="2" s="1"/>
  <c r="K2850" i="2"/>
  <c r="L2850" i="2" s="1"/>
  <c r="K2851" i="2"/>
  <c r="L2851" i="2" s="1"/>
  <c r="K2852" i="2"/>
  <c r="L2852" i="2" s="1"/>
  <c r="K2853" i="2"/>
  <c r="L2853" i="2" s="1"/>
  <c r="K2854" i="2"/>
  <c r="L2854" i="2" s="1"/>
  <c r="K2855" i="2"/>
  <c r="L2855" i="2" s="1"/>
  <c r="K2856" i="2"/>
  <c r="L2856" i="2" s="1"/>
  <c r="K2857" i="2"/>
  <c r="L2857" i="2" s="1"/>
  <c r="K2858" i="2"/>
  <c r="L2858" i="2" s="1"/>
  <c r="K2859" i="2"/>
  <c r="L2859" i="2" s="1"/>
  <c r="K2860" i="2"/>
  <c r="L2860" i="2" s="1"/>
  <c r="K2861" i="2"/>
  <c r="L2861" i="2" s="1"/>
  <c r="K2862" i="2"/>
  <c r="L2862" i="2" s="1"/>
  <c r="K2863" i="2"/>
  <c r="L2863" i="2" s="1"/>
  <c r="K2864" i="2"/>
  <c r="L2864" i="2" s="1"/>
  <c r="K2865" i="2"/>
  <c r="L2865" i="2" s="1"/>
  <c r="K2866" i="2"/>
  <c r="L2866" i="2" s="1"/>
  <c r="K2867" i="2"/>
  <c r="L2867" i="2" s="1"/>
  <c r="K2868" i="2"/>
  <c r="L2868" i="2" s="1"/>
  <c r="K2869" i="2"/>
  <c r="L2869" i="2" s="1"/>
  <c r="K2870" i="2"/>
  <c r="L2870" i="2" s="1"/>
  <c r="K2871" i="2"/>
  <c r="L2871" i="2" s="1"/>
  <c r="K2872" i="2"/>
  <c r="L2872" i="2" s="1"/>
  <c r="K2873" i="2"/>
  <c r="L2873" i="2" s="1"/>
  <c r="K2874" i="2"/>
  <c r="L2874" i="2" s="1"/>
  <c r="K2875" i="2"/>
  <c r="L2875" i="2" s="1"/>
  <c r="K2876" i="2"/>
  <c r="L2876" i="2" s="1"/>
  <c r="K2877" i="2"/>
  <c r="L2877" i="2" s="1"/>
  <c r="K2878" i="2"/>
  <c r="L2878" i="2" s="1"/>
  <c r="K2879" i="2"/>
  <c r="L2879" i="2" s="1"/>
  <c r="K2880" i="2"/>
  <c r="L2880" i="2" s="1"/>
  <c r="K2881" i="2"/>
  <c r="L2881" i="2" s="1"/>
  <c r="K2882" i="2"/>
  <c r="L2882" i="2" s="1"/>
  <c r="K2883" i="2"/>
  <c r="L2883" i="2" s="1"/>
  <c r="K2884" i="2"/>
  <c r="L2884" i="2" s="1"/>
  <c r="K2885" i="2"/>
  <c r="L2885" i="2" s="1"/>
  <c r="K2886" i="2"/>
  <c r="L2886" i="2" s="1"/>
  <c r="K2887" i="2"/>
  <c r="L2887" i="2" s="1"/>
  <c r="K2888" i="2"/>
  <c r="L2888" i="2" s="1"/>
  <c r="K2889" i="2"/>
  <c r="L2889" i="2" s="1"/>
  <c r="K2890" i="2"/>
  <c r="L2890" i="2" s="1"/>
  <c r="K2891" i="2"/>
  <c r="L2891" i="2" s="1"/>
  <c r="K2892" i="2"/>
  <c r="L2892" i="2" s="1"/>
  <c r="K2893" i="2"/>
  <c r="L2893" i="2" s="1"/>
  <c r="K2894" i="2"/>
  <c r="L2894" i="2" s="1"/>
  <c r="K2895" i="2"/>
  <c r="L2895" i="2" s="1"/>
  <c r="K2896" i="2"/>
  <c r="L2896" i="2" s="1"/>
  <c r="K2897" i="2"/>
  <c r="L2897" i="2" s="1"/>
  <c r="K2898" i="2"/>
  <c r="L2898" i="2" s="1"/>
  <c r="K2899" i="2"/>
  <c r="L2899" i="2" s="1"/>
  <c r="K2900" i="2"/>
  <c r="L2900" i="2" s="1"/>
  <c r="K2901" i="2"/>
  <c r="L2901" i="2" s="1"/>
  <c r="K2902" i="2"/>
  <c r="L2902" i="2" s="1"/>
  <c r="K2903" i="2"/>
  <c r="L2903" i="2" s="1"/>
  <c r="K2904" i="2"/>
  <c r="L2904" i="2" s="1"/>
  <c r="K2905" i="2"/>
  <c r="L2905" i="2" s="1"/>
  <c r="K2906" i="2"/>
  <c r="L2906" i="2" s="1"/>
  <c r="K2907" i="2"/>
  <c r="L2907" i="2" s="1"/>
  <c r="K2908" i="2"/>
  <c r="L2908" i="2" s="1"/>
  <c r="K2909" i="2"/>
  <c r="L2909" i="2" s="1"/>
  <c r="K2910" i="2"/>
  <c r="L2910" i="2" s="1"/>
  <c r="K2911" i="2"/>
  <c r="L2911" i="2" s="1"/>
  <c r="K2912" i="2"/>
  <c r="L2912" i="2" s="1"/>
  <c r="K2913" i="2"/>
  <c r="L2913" i="2" s="1"/>
  <c r="K2914" i="2"/>
  <c r="L2914" i="2" s="1"/>
  <c r="K2915" i="2"/>
  <c r="L2915" i="2" s="1"/>
  <c r="K2916" i="2"/>
  <c r="L2916" i="2" s="1"/>
  <c r="K2917" i="2"/>
  <c r="L2917" i="2" s="1"/>
  <c r="K2918" i="2"/>
  <c r="L2918" i="2" s="1"/>
  <c r="K2919" i="2"/>
  <c r="L2919" i="2" s="1"/>
  <c r="K2920" i="2"/>
  <c r="L2920" i="2" s="1"/>
  <c r="K2921" i="2"/>
  <c r="L2921" i="2" s="1"/>
  <c r="K2922" i="2"/>
  <c r="L2922" i="2" s="1"/>
  <c r="K2923" i="2"/>
  <c r="L2923" i="2" s="1"/>
  <c r="K2924" i="2"/>
  <c r="L2924" i="2" s="1"/>
  <c r="K2925" i="2"/>
  <c r="L2925" i="2" s="1"/>
  <c r="K2926" i="2"/>
  <c r="L2926" i="2" s="1"/>
  <c r="K2927" i="2"/>
  <c r="L2927" i="2" s="1"/>
  <c r="K2928" i="2"/>
  <c r="L2928" i="2" s="1"/>
  <c r="K2929" i="2"/>
  <c r="L2929" i="2" s="1"/>
  <c r="K2930" i="2"/>
  <c r="L2930" i="2" s="1"/>
  <c r="K2931" i="2"/>
  <c r="L2931" i="2" s="1"/>
  <c r="K2932" i="2"/>
  <c r="L2932" i="2" s="1"/>
  <c r="K2933" i="2"/>
  <c r="L2933" i="2" s="1"/>
  <c r="K2934" i="2"/>
  <c r="L2934" i="2" s="1"/>
  <c r="K2935" i="2"/>
  <c r="L2935" i="2" s="1"/>
  <c r="K2936" i="2"/>
  <c r="L2936" i="2" s="1"/>
  <c r="K2937" i="2"/>
  <c r="L2937" i="2" s="1"/>
  <c r="K2938" i="2"/>
  <c r="L2938" i="2" s="1"/>
  <c r="K2939" i="2"/>
  <c r="L2939" i="2" s="1"/>
  <c r="K2940" i="2"/>
  <c r="L2940" i="2" s="1"/>
  <c r="K2941" i="2"/>
  <c r="L2941" i="2" s="1"/>
  <c r="K2942" i="2"/>
  <c r="L2942" i="2" s="1"/>
  <c r="K2943" i="2"/>
  <c r="L2943" i="2" s="1"/>
  <c r="K2944" i="2"/>
  <c r="L2944" i="2" s="1"/>
  <c r="K2945" i="2"/>
  <c r="L2945" i="2" s="1"/>
  <c r="K2946" i="2"/>
  <c r="L2946" i="2" s="1"/>
  <c r="K2947" i="2"/>
  <c r="L2947" i="2" s="1"/>
  <c r="K2948" i="2"/>
  <c r="L2948" i="2" s="1"/>
  <c r="K2949" i="2"/>
  <c r="L2949" i="2" s="1"/>
  <c r="K2950" i="2"/>
  <c r="L2950" i="2" s="1"/>
  <c r="K2951" i="2"/>
  <c r="L2951" i="2" s="1"/>
  <c r="K2952" i="2"/>
  <c r="L2952" i="2" s="1"/>
  <c r="K2953" i="2"/>
  <c r="L2953" i="2" s="1"/>
  <c r="K2954" i="2"/>
  <c r="L2954" i="2" s="1"/>
  <c r="K2955" i="2"/>
  <c r="L2955" i="2" s="1"/>
  <c r="K2956" i="2"/>
  <c r="L2956" i="2" s="1"/>
  <c r="K2957" i="2"/>
  <c r="L2957" i="2" s="1"/>
  <c r="K2958" i="2"/>
  <c r="L2958" i="2" s="1"/>
  <c r="K2959" i="2"/>
  <c r="L2959" i="2" s="1"/>
  <c r="K2960" i="2"/>
  <c r="L2960" i="2" s="1"/>
  <c r="K2961" i="2"/>
  <c r="L2961" i="2" s="1"/>
  <c r="K2962" i="2"/>
  <c r="L2962" i="2" s="1"/>
  <c r="K2963" i="2"/>
  <c r="L2963" i="2" s="1"/>
  <c r="K2964" i="2"/>
  <c r="L2964" i="2" s="1"/>
  <c r="K2965" i="2"/>
  <c r="L2965" i="2" s="1"/>
  <c r="K2966" i="2"/>
  <c r="L2966" i="2" s="1"/>
  <c r="K2967" i="2"/>
  <c r="L2967" i="2" s="1"/>
  <c r="K2968" i="2"/>
  <c r="L2968" i="2" s="1"/>
  <c r="K2969" i="2"/>
  <c r="L2969" i="2" s="1"/>
  <c r="K2970" i="2"/>
  <c r="L2970" i="2" s="1"/>
  <c r="K2971" i="2"/>
  <c r="L2971" i="2" s="1"/>
  <c r="K2972" i="2"/>
  <c r="L2972" i="2" s="1"/>
  <c r="K2973" i="2"/>
  <c r="L2973" i="2" s="1"/>
  <c r="K2974" i="2"/>
  <c r="L2974" i="2" s="1"/>
  <c r="K2975" i="2"/>
  <c r="L2975" i="2" s="1"/>
  <c r="K2976" i="2"/>
  <c r="L2976" i="2" s="1"/>
  <c r="K2977" i="2"/>
  <c r="L2977" i="2" s="1"/>
  <c r="K2978" i="2"/>
  <c r="L2978" i="2" s="1"/>
  <c r="K2979" i="2"/>
  <c r="L2979" i="2" s="1"/>
  <c r="K2980" i="2"/>
  <c r="L2980" i="2" s="1"/>
  <c r="K2981" i="2"/>
  <c r="L2981" i="2" s="1"/>
  <c r="K2982" i="2"/>
  <c r="L2982" i="2" s="1"/>
  <c r="K2983" i="2"/>
  <c r="L2983" i="2" s="1"/>
  <c r="K2984" i="2"/>
  <c r="L2984" i="2" s="1"/>
  <c r="K2985" i="2"/>
  <c r="L2985" i="2" s="1"/>
  <c r="K2986" i="2"/>
  <c r="L2986" i="2" s="1"/>
  <c r="K2987" i="2"/>
  <c r="L2987" i="2" s="1"/>
  <c r="K2988" i="2"/>
  <c r="L2988" i="2" s="1"/>
  <c r="K2989" i="2"/>
  <c r="L2989" i="2" s="1"/>
  <c r="K2990" i="2"/>
  <c r="L2990" i="2" s="1"/>
  <c r="K2991" i="2"/>
  <c r="L2991" i="2" s="1"/>
  <c r="K2992" i="2"/>
  <c r="L2992" i="2" s="1"/>
  <c r="K2993" i="2"/>
  <c r="L2993" i="2" s="1"/>
  <c r="K2994" i="2"/>
  <c r="L2994" i="2" s="1"/>
  <c r="K2995" i="2"/>
  <c r="L2995" i="2" s="1"/>
  <c r="K2996" i="2"/>
  <c r="L2996" i="2" s="1"/>
  <c r="K2997" i="2"/>
  <c r="L2997" i="2" s="1"/>
  <c r="K2998" i="2"/>
  <c r="L2998" i="2" s="1"/>
  <c r="K2999" i="2"/>
  <c r="L2999" i="2" s="1"/>
  <c r="K3000" i="2"/>
  <c r="L3000" i="2" s="1"/>
  <c r="K3001" i="2"/>
  <c r="L3001" i="2" s="1"/>
  <c r="K3002" i="2"/>
  <c r="L3002" i="2" s="1"/>
  <c r="K3003" i="2"/>
  <c r="L3003" i="2" s="1"/>
  <c r="K3004" i="2"/>
  <c r="L3004" i="2" s="1"/>
  <c r="K3005" i="2"/>
  <c r="L3005" i="2" s="1"/>
  <c r="K3006" i="2"/>
  <c r="L3006" i="2" s="1"/>
  <c r="K3007" i="2"/>
  <c r="L3007" i="2" s="1"/>
  <c r="K3008" i="2"/>
  <c r="L3008" i="2" s="1"/>
  <c r="K3009" i="2"/>
  <c r="L3009" i="2" s="1"/>
  <c r="K3010" i="2"/>
  <c r="L3010" i="2" s="1"/>
  <c r="K3011" i="2"/>
  <c r="L3011" i="2" s="1"/>
  <c r="K3012" i="2"/>
  <c r="L3012" i="2" s="1"/>
  <c r="K3013" i="2"/>
  <c r="L3013" i="2" s="1"/>
  <c r="K3014" i="2"/>
  <c r="L3014" i="2" s="1"/>
  <c r="K3015" i="2"/>
  <c r="L3015" i="2" s="1"/>
  <c r="K3016" i="2"/>
  <c r="L3016" i="2" s="1"/>
  <c r="K3017" i="2"/>
  <c r="L3017" i="2" s="1"/>
  <c r="K3018" i="2"/>
  <c r="L3018" i="2" s="1"/>
  <c r="K3019" i="2"/>
  <c r="L3019" i="2" s="1"/>
  <c r="K3020" i="2"/>
  <c r="L3020" i="2" s="1"/>
  <c r="K3021" i="2"/>
  <c r="L3021" i="2" s="1"/>
  <c r="K3022" i="2"/>
  <c r="L3022" i="2" s="1"/>
  <c r="K3023" i="2"/>
  <c r="L3023" i="2" s="1"/>
  <c r="K3024" i="2"/>
  <c r="L3024" i="2" s="1"/>
  <c r="K3025" i="2"/>
  <c r="L3025" i="2" s="1"/>
  <c r="K3026" i="2"/>
  <c r="L3026" i="2" s="1"/>
  <c r="K3027" i="2"/>
  <c r="L3027" i="2" s="1"/>
  <c r="K3028" i="2"/>
  <c r="L3028" i="2" s="1"/>
  <c r="K3029" i="2"/>
  <c r="L3029" i="2" s="1"/>
  <c r="K3030" i="2"/>
  <c r="L3030" i="2" s="1"/>
  <c r="K3031" i="2"/>
  <c r="L3031" i="2" s="1"/>
  <c r="K3032" i="2"/>
  <c r="L3032" i="2" s="1"/>
  <c r="K3033" i="2"/>
  <c r="L3033" i="2" s="1"/>
  <c r="K3034" i="2"/>
  <c r="L3034" i="2" s="1"/>
  <c r="K3035" i="2"/>
  <c r="L3035" i="2" s="1"/>
  <c r="K3036" i="2"/>
  <c r="L3036" i="2" s="1"/>
  <c r="K3037" i="2"/>
  <c r="L3037" i="2" s="1"/>
  <c r="K3038" i="2"/>
  <c r="L3038" i="2" s="1"/>
  <c r="K3039" i="2"/>
  <c r="L3039" i="2" s="1"/>
  <c r="K3040" i="2"/>
  <c r="L3040" i="2" s="1"/>
  <c r="K3041" i="2"/>
  <c r="L3041" i="2" s="1"/>
  <c r="K3042" i="2"/>
  <c r="L3042" i="2" s="1"/>
  <c r="K3043" i="2"/>
  <c r="L3043" i="2" s="1"/>
  <c r="K3044" i="2"/>
  <c r="L3044" i="2" s="1"/>
  <c r="K3045" i="2"/>
  <c r="L3045" i="2" s="1"/>
  <c r="K3046" i="2"/>
  <c r="L3046" i="2" s="1"/>
  <c r="K3047" i="2"/>
  <c r="L3047" i="2" s="1"/>
  <c r="K3048" i="2"/>
  <c r="L3048" i="2" s="1"/>
  <c r="K3049" i="2"/>
  <c r="L3049" i="2" s="1"/>
  <c r="K3050" i="2"/>
  <c r="L3050" i="2" s="1"/>
  <c r="K3051" i="2"/>
  <c r="L3051" i="2" s="1"/>
  <c r="K3052" i="2"/>
  <c r="L3052" i="2" s="1"/>
  <c r="K3053" i="2"/>
  <c r="L3053" i="2" s="1"/>
  <c r="K3054" i="2"/>
  <c r="L3054" i="2" s="1"/>
  <c r="K3055" i="2"/>
  <c r="L3055" i="2" s="1"/>
  <c r="K3056" i="2"/>
  <c r="L3056" i="2" s="1"/>
  <c r="K3057" i="2"/>
  <c r="L3057" i="2" s="1"/>
  <c r="K3058" i="2"/>
  <c r="L3058" i="2" s="1"/>
  <c r="K3059" i="2"/>
  <c r="L3059" i="2" s="1"/>
  <c r="K3060" i="2"/>
  <c r="L3060" i="2" s="1"/>
  <c r="K3061" i="2"/>
  <c r="L3061" i="2" s="1"/>
  <c r="K3062" i="2"/>
  <c r="L3062" i="2" s="1"/>
  <c r="K3063" i="2"/>
  <c r="L3063" i="2" s="1"/>
  <c r="K3064" i="2"/>
  <c r="L3064" i="2" s="1"/>
  <c r="K3065" i="2"/>
  <c r="L3065" i="2" s="1"/>
  <c r="K3066" i="2"/>
  <c r="L3066" i="2" s="1"/>
  <c r="K3067" i="2"/>
  <c r="L3067" i="2" s="1"/>
  <c r="K3068" i="2"/>
  <c r="L3068" i="2" s="1"/>
  <c r="K3069" i="2"/>
  <c r="L3069" i="2" s="1"/>
  <c r="K3070" i="2"/>
  <c r="L3070" i="2" s="1"/>
  <c r="K3071" i="2"/>
  <c r="L3071" i="2" s="1"/>
  <c r="K3072" i="2"/>
  <c r="L3072" i="2" s="1"/>
  <c r="K3073" i="2"/>
  <c r="L3073" i="2" s="1"/>
  <c r="K3074" i="2"/>
  <c r="L3074" i="2" s="1"/>
  <c r="K3075" i="2"/>
  <c r="L3075" i="2" s="1"/>
  <c r="K3076" i="2"/>
  <c r="L3076" i="2" s="1"/>
  <c r="K3077" i="2"/>
  <c r="L3077" i="2" s="1"/>
  <c r="K3078" i="2"/>
  <c r="L3078" i="2" s="1"/>
  <c r="K3079" i="2"/>
  <c r="L3079" i="2" s="1"/>
  <c r="K3080" i="2"/>
  <c r="L3080" i="2" s="1"/>
  <c r="K3081" i="2"/>
  <c r="L3081" i="2" s="1"/>
  <c r="K3082" i="2"/>
  <c r="L3082" i="2" s="1"/>
  <c r="K3083" i="2"/>
  <c r="L3083" i="2" s="1"/>
  <c r="K3084" i="2"/>
  <c r="L3084" i="2" s="1"/>
  <c r="K3085" i="2"/>
  <c r="L3085" i="2" s="1"/>
  <c r="K3086" i="2"/>
  <c r="L3086" i="2" s="1"/>
  <c r="K3087" i="2"/>
  <c r="L3087" i="2" s="1"/>
  <c r="K3088" i="2"/>
  <c r="L3088" i="2" s="1"/>
  <c r="K3089" i="2"/>
  <c r="L3089" i="2" s="1"/>
  <c r="K3090" i="2"/>
  <c r="L3090" i="2" s="1"/>
  <c r="K3091" i="2"/>
  <c r="L3091" i="2" s="1"/>
  <c r="K3092" i="2"/>
  <c r="L3092" i="2" s="1"/>
  <c r="K3093" i="2"/>
  <c r="L3093" i="2" s="1"/>
  <c r="K3094" i="2"/>
  <c r="L3094" i="2" s="1"/>
  <c r="K3095" i="2"/>
  <c r="L3095" i="2" s="1"/>
  <c r="K3096" i="2"/>
  <c r="L3096" i="2" s="1"/>
  <c r="K3097" i="2"/>
  <c r="L3097" i="2" s="1"/>
  <c r="K3098" i="2"/>
  <c r="L3098" i="2" s="1"/>
  <c r="K3099" i="2"/>
  <c r="L3099" i="2" s="1"/>
  <c r="K3100" i="2"/>
  <c r="L3100" i="2" s="1"/>
  <c r="K3101" i="2"/>
  <c r="L3101" i="2" s="1"/>
  <c r="K3102" i="2"/>
  <c r="L3102" i="2" s="1"/>
  <c r="K3103" i="2"/>
  <c r="L3103" i="2" s="1"/>
  <c r="K3104" i="2"/>
  <c r="L3104" i="2" s="1"/>
  <c r="K3105" i="2"/>
  <c r="L3105" i="2" s="1"/>
  <c r="K3106" i="2"/>
  <c r="L3106" i="2" s="1"/>
  <c r="K3107" i="2"/>
  <c r="L3107" i="2" s="1"/>
  <c r="K3108" i="2"/>
  <c r="L3108" i="2" s="1"/>
  <c r="K3109" i="2"/>
  <c r="L3109" i="2" s="1"/>
  <c r="K3110" i="2"/>
  <c r="L3110" i="2" s="1"/>
  <c r="K3111" i="2"/>
  <c r="L3111" i="2" s="1"/>
  <c r="K3112" i="2"/>
  <c r="L3112" i="2" s="1"/>
  <c r="K3113" i="2"/>
  <c r="L3113" i="2" s="1"/>
  <c r="K3114" i="2"/>
  <c r="L3114" i="2" s="1"/>
  <c r="K3115" i="2"/>
  <c r="L3115" i="2" s="1"/>
  <c r="K3116" i="2"/>
  <c r="L3116" i="2" s="1"/>
  <c r="K3117" i="2"/>
  <c r="L3117" i="2" s="1"/>
  <c r="K3118" i="2"/>
  <c r="L3118" i="2" s="1"/>
  <c r="K3119" i="2"/>
  <c r="L3119" i="2" s="1"/>
  <c r="K3120" i="2"/>
  <c r="L3120" i="2" s="1"/>
  <c r="K3121" i="2"/>
  <c r="L3121" i="2" s="1"/>
  <c r="K3122" i="2"/>
  <c r="L3122" i="2" s="1"/>
  <c r="K3123" i="2"/>
  <c r="L3123" i="2" s="1"/>
  <c r="K3124" i="2"/>
  <c r="L3124" i="2" s="1"/>
  <c r="K3125" i="2"/>
  <c r="L3125" i="2" s="1"/>
  <c r="K3126" i="2"/>
  <c r="L3126" i="2" s="1"/>
  <c r="K3127" i="2"/>
  <c r="L3127" i="2" s="1"/>
  <c r="K3128" i="2"/>
  <c r="L3128" i="2" s="1"/>
  <c r="K3129" i="2"/>
  <c r="L3129" i="2" s="1"/>
  <c r="K3130" i="2"/>
  <c r="L3130" i="2" s="1"/>
  <c r="K3131" i="2"/>
  <c r="L3131" i="2" s="1"/>
  <c r="K3132" i="2"/>
  <c r="L3132" i="2" s="1"/>
  <c r="K3133" i="2"/>
  <c r="L3133" i="2" s="1"/>
  <c r="K3134" i="2"/>
  <c r="L3134" i="2" s="1"/>
  <c r="K3135" i="2"/>
  <c r="L3135" i="2" s="1"/>
  <c r="K3136" i="2"/>
  <c r="L3136" i="2" s="1"/>
  <c r="K3137" i="2"/>
  <c r="L3137" i="2" s="1"/>
  <c r="K3138" i="2"/>
  <c r="L3138" i="2" s="1"/>
  <c r="K3139" i="2"/>
  <c r="L3139" i="2" s="1"/>
  <c r="K3140" i="2"/>
  <c r="L3140" i="2" s="1"/>
  <c r="K3141" i="2"/>
  <c r="L3141" i="2" s="1"/>
  <c r="K3142" i="2"/>
  <c r="L3142" i="2" s="1"/>
  <c r="K3143" i="2"/>
  <c r="L3143" i="2" s="1"/>
  <c r="K3144" i="2"/>
  <c r="L3144" i="2" s="1"/>
  <c r="K3145" i="2"/>
  <c r="L3145" i="2" s="1"/>
  <c r="K3146" i="2"/>
  <c r="L3146" i="2" s="1"/>
  <c r="K3147" i="2"/>
  <c r="L3147" i="2" s="1"/>
  <c r="K3148" i="2"/>
  <c r="L3148" i="2" s="1"/>
  <c r="K3149" i="2"/>
  <c r="L3149" i="2" s="1"/>
  <c r="K3150" i="2"/>
  <c r="L3150" i="2" s="1"/>
  <c r="K3151" i="2"/>
  <c r="L3151" i="2" s="1"/>
  <c r="K3152" i="2"/>
  <c r="L3152" i="2" s="1"/>
  <c r="K3153" i="2"/>
  <c r="L3153" i="2" s="1"/>
  <c r="K3154" i="2"/>
  <c r="L3154" i="2" s="1"/>
  <c r="K3155" i="2"/>
  <c r="L3155" i="2" s="1"/>
  <c r="K3156" i="2"/>
  <c r="L3156" i="2" s="1"/>
  <c r="K3157" i="2"/>
  <c r="L3157" i="2" s="1"/>
  <c r="K3158" i="2"/>
  <c r="L3158" i="2" s="1"/>
  <c r="K3159" i="2"/>
  <c r="L3159" i="2" s="1"/>
  <c r="K3160" i="2"/>
  <c r="L3160" i="2" s="1"/>
  <c r="K3161" i="2"/>
  <c r="L3161" i="2" s="1"/>
  <c r="K3162" i="2"/>
  <c r="L3162" i="2" s="1"/>
  <c r="K3163" i="2"/>
  <c r="L3163" i="2" s="1"/>
  <c r="K3164" i="2"/>
  <c r="L3164" i="2" s="1"/>
  <c r="K3165" i="2"/>
  <c r="L3165" i="2" s="1"/>
  <c r="K3166" i="2"/>
  <c r="L3166" i="2" s="1"/>
  <c r="K3167" i="2"/>
  <c r="L3167" i="2" s="1"/>
  <c r="K3168" i="2"/>
  <c r="L3168" i="2" s="1"/>
  <c r="K3169" i="2"/>
  <c r="L3169" i="2" s="1"/>
  <c r="K3170" i="2"/>
  <c r="L3170" i="2" s="1"/>
  <c r="K3171" i="2"/>
  <c r="L3171" i="2" s="1"/>
  <c r="K3172" i="2"/>
  <c r="L3172" i="2" s="1"/>
  <c r="K3173" i="2"/>
  <c r="L3173" i="2" s="1"/>
  <c r="K3174" i="2"/>
  <c r="L3174" i="2" s="1"/>
  <c r="K3175" i="2"/>
  <c r="L3175" i="2" s="1"/>
  <c r="K3176" i="2"/>
  <c r="L3176" i="2" s="1"/>
  <c r="K3177" i="2"/>
  <c r="L3177" i="2" s="1"/>
  <c r="K3178" i="2"/>
  <c r="L3178" i="2" s="1"/>
  <c r="K3179" i="2"/>
  <c r="L3179" i="2" s="1"/>
  <c r="K3180" i="2"/>
  <c r="L3180" i="2" s="1"/>
  <c r="K3181" i="2"/>
  <c r="L3181" i="2" s="1"/>
  <c r="K3182" i="2"/>
  <c r="L3182" i="2" s="1"/>
  <c r="K3183" i="2"/>
  <c r="L3183" i="2" s="1"/>
  <c r="K3184" i="2"/>
  <c r="L3184" i="2" s="1"/>
  <c r="K3185" i="2"/>
  <c r="L3185" i="2" s="1"/>
  <c r="K3186" i="2"/>
  <c r="L3186" i="2" s="1"/>
  <c r="K3187" i="2"/>
  <c r="L3187" i="2" s="1"/>
  <c r="K3188" i="2"/>
  <c r="L3188" i="2" s="1"/>
  <c r="K3189" i="2"/>
  <c r="L3189" i="2" s="1"/>
  <c r="K3190" i="2"/>
  <c r="L3190" i="2" s="1"/>
  <c r="K3191" i="2"/>
  <c r="L3191" i="2" s="1"/>
  <c r="K3192" i="2"/>
  <c r="L3192" i="2" s="1"/>
  <c r="K3193" i="2"/>
  <c r="L3193" i="2" s="1"/>
  <c r="K3194" i="2"/>
  <c r="L3194" i="2" s="1"/>
  <c r="K3195" i="2"/>
  <c r="L3195" i="2" s="1"/>
  <c r="K3196" i="2"/>
  <c r="L3196" i="2" s="1"/>
  <c r="K3197" i="2"/>
  <c r="L3197" i="2" s="1"/>
  <c r="K3198" i="2"/>
  <c r="L3198" i="2" s="1"/>
  <c r="K3199" i="2"/>
  <c r="L3199" i="2" s="1"/>
  <c r="K3200" i="2"/>
  <c r="L3200" i="2" s="1"/>
  <c r="K3201" i="2"/>
  <c r="L3201" i="2" s="1"/>
  <c r="K3202" i="2"/>
  <c r="L3202" i="2" s="1"/>
  <c r="K3203" i="2"/>
  <c r="L3203" i="2" s="1"/>
  <c r="K3204" i="2"/>
  <c r="L3204" i="2" s="1"/>
  <c r="K3205" i="2"/>
  <c r="L3205" i="2" s="1"/>
  <c r="K3206" i="2"/>
  <c r="L3206" i="2" s="1"/>
  <c r="K3207" i="2"/>
  <c r="L3207" i="2" s="1"/>
  <c r="K3208" i="2"/>
  <c r="L3208" i="2" s="1"/>
  <c r="K3209" i="2"/>
  <c r="L3209" i="2" s="1"/>
  <c r="K3210" i="2"/>
  <c r="L3210" i="2" s="1"/>
  <c r="K3211" i="2"/>
  <c r="L3211" i="2" s="1"/>
  <c r="K3212" i="2"/>
  <c r="L3212" i="2" s="1"/>
  <c r="K3213" i="2"/>
  <c r="L3213" i="2" s="1"/>
  <c r="K3214" i="2"/>
  <c r="L3214" i="2" s="1"/>
  <c r="K3215" i="2"/>
  <c r="L3215" i="2" s="1"/>
  <c r="K3216" i="2"/>
  <c r="L3216" i="2" s="1"/>
  <c r="K3217" i="2"/>
  <c r="L3217" i="2" s="1"/>
  <c r="K3218" i="2"/>
  <c r="L3218" i="2" s="1"/>
  <c r="K3219" i="2"/>
  <c r="L3219" i="2" s="1"/>
  <c r="K3220" i="2"/>
  <c r="L3220" i="2" s="1"/>
  <c r="K3221" i="2"/>
  <c r="L3221" i="2" s="1"/>
  <c r="K3222" i="2"/>
  <c r="L3222" i="2" s="1"/>
  <c r="K3223" i="2"/>
  <c r="L3223" i="2" s="1"/>
  <c r="K3224" i="2"/>
  <c r="L3224" i="2" s="1"/>
  <c r="K3225" i="2"/>
  <c r="L3225" i="2" s="1"/>
  <c r="K3226" i="2"/>
  <c r="L3226" i="2" s="1"/>
  <c r="K3227" i="2"/>
  <c r="L3227" i="2" s="1"/>
  <c r="K3228" i="2"/>
  <c r="L3228" i="2" s="1"/>
  <c r="K3229" i="2"/>
  <c r="L3229" i="2" s="1"/>
  <c r="K3230" i="2"/>
  <c r="L3230" i="2" s="1"/>
  <c r="K3231" i="2"/>
  <c r="L3231" i="2" s="1"/>
  <c r="K3232" i="2"/>
  <c r="L3232" i="2" s="1"/>
  <c r="K3233" i="2"/>
  <c r="L3233" i="2" s="1"/>
  <c r="K3234" i="2"/>
  <c r="L3234" i="2" s="1"/>
  <c r="K3235" i="2"/>
  <c r="L3235" i="2" s="1"/>
  <c r="K3236" i="2"/>
  <c r="L3236" i="2" s="1"/>
  <c r="K3237" i="2"/>
  <c r="L3237" i="2" s="1"/>
  <c r="K3238" i="2"/>
  <c r="L3238" i="2" s="1"/>
  <c r="K3239" i="2"/>
  <c r="L3239" i="2" s="1"/>
  <c r="K3240" i="2"/>
  <c r="L3240" i="2" s="1"/>
  <c r="K3241" i="2"/>
  <c r="L3241" i="2" s="1"/>
  <c r="K3242" i="2"/>
  <c r="L3242" i="2" s="1"/>
  <c r="K3243" i="2"/>
  <c r="L3243" i="2" s="1"/>
  <c r="K3244" i="2"/>
  <c r="L3244" i="2" s="1"/>
  <c r="K3245" i="2"/>
  <c r="L3245" i="2" s="1"/>
  <c r="K3246" i="2"/>
  <c r="L3246" i="2" s="1"/>
  <c r="K3247" i="2"/>
  <c r="L3247" i="2" s="1"/>
  <c r="K3248" i="2"/>
  <c r="L3248" i="2" s="1"/>
  <c r="K3249" i="2"/>
  <c r="L3249" i="2" s="1"/>
  <c r="K3250" i="2"/>
  <c r="L3250" i="2" s="1"/>
  <c r="K3251" i="2"/>
  <c r="L3251" i="2" s="1"/>
  <c r="K3252" i="2"/>
  <c r="L3252" i="2" s="1"/>
  <c r="K3253" i="2"/>
  <c r="L3253" i="2" s="1"/>
  <c r="K3254" i="2"/>
  <c r="L3254" i="2" s="1"/>
  <c r="K3255" i="2"/>
  <c r="L3255" i="2" s="1"/>
  <c r="K3256" i="2"/>
  <c r="L3256" i="2" s="1"/>
  <c r="K3257" i="2"/>
  <c r="L3257" i="2" s="1"/>
  <c r="K3258" i="2"/>
  <c r="L3258" i="2" s="1"/>
  <c r="K3259" i="2"/>
  <c r="L3259" i="2" s="1"/>
  <c r="K3260" i="2"/>
  <c r="L3260" i="2" s="1"/>
  <c r="K3261" i="2"/>
  <c r="L3261" i="2" s="1"/>
  <c r="K3262" i="2"/>
  <c r="L3262" i="2" s="1"/>
  <c r="K3263" i="2"/>
  <c r="L3263" i="2" s="1"/>
  <c r="K3264" i="2"/>
  <c r="L3264" i="2" s="1"/>
  <c r="K3265" i="2"/>
  <c r="L3265" i="2" s="1"/>
  <c r="K3266" i="2"/>
  <c r="L3266" i="2" s="1"/>
  <c r="K3267" i="2"/>
  <c r="L3267" i="2" s="1"/>
  <c r="K3268" i="2"/>
  <c r="L3268" i="2" s="1"/>
  <c r="K3269" i="2"/>
  <c r="L3269" i="2" s="1"/>
  <c r="K3270" i="2"/>
  <c r="L3270" i="2" s="1"/>
  <c r="K3271" i="2"/>
  <c r="L3271" i="2" s="1"/>
  <c r="K3272" i="2"/>
  <c r="L3272" i="2" s="1"/>
  <c r="K3273" i="2"/>
  <c r="L3273" i="2" s="1"/>
  <c r="K3274" i="2"/>
  <c r="L3274" i="2" s="1"/>
  <c r="K3275" i="2"/>
  <c r="L3275" i="2" s="1"/>
  <c r="K3276" i="2"/>
  <c r="L3276" i="2" s="1"/>
  <c r="K3277" i="2"/>
  <c r="L3277" i="2" s="1"/>
  <c r="K3278" i="2"/>
  <c r="L3278" i="2" s="1"/>
  <c r="K3279" i="2"/>
  <c r="L3279" i="2" s="1"/>
  <c r="K3280" i="2"/>
  <c r="L3280" i="2" s="1"/>
  <c r="K3281" i="2"/>
  <c r="L3281" i="2" s="1"/>
  <c r="K3282" i="2"/>
  <c r="L3282" i="2" s="1"/>
  <c r="K3283" i="2"/>
  <c r="L3283" i="2" s="1"/>
  <c r="K3284" i="2"/>
  <c r="L3284" i="2" s="1"/>
  <c r="K3285" i="2"/>
  <c r="L3285" i="2" s="1"/>
  <c r="K3286" i="2"/>
  <c r="L3286" i="2" s="1"/>
  <c r="K3287" i="2"/>
  <c r="L3287" i="2" s="1"/>
  <c r="K3288" i="2"/>
  <c r="L3288" i="2" s="1"/>
  <c r="K3289" i="2"/>
  <c r="L3289" i="2" s="1"/>
  <c r="K3290" i="2"/>
  <c r="L3290" i="2" s="1"/>
  <c r="K3291" i="2"/>
  <c r="L3291" i="2" s="1"/>
  <c r="K3292" i="2"/>
  <c r="L3292" i="2" s="1"/>
  <c r="K3293" i="2"/>
  <c r="L3293" i="2" s="1"/>
  <c r="K3294" i="2"/>
  <c r="L3294" i="2" s="1"/>
  <c r="K3295" i="2"/>
  <c r="L3295" i="2" s="1"/>
  <c r="K3296" i="2"/>
  <c r="L3296" i="2" s="1"/>
  <c r="K3297" i="2"/>
  <c r="L3297" i="2" s="1"/>
  <c r="K3298" i="2"/>
  <c r="L3298" i="2" s="1"/>
  <c r="K3299" i="2"/>
  <c r="L3299" i="2" s="1"/>
  <c r="K3300" i="2"/>
  <c r="L3300" i="2" s="1"/>
  <c r="K3301" i="2"/>
  <c r="L3301" i="2" s="1"/>
  <c r="K3302" i="2"/>
  <c r="L3302" i="2" s="1"/>
  <c r="K3303" i="2"/>
  <c r="L3303" i="2" s="1"/>
  <c r="K3304" i="2"/>
  <c r="L3304" i="2" s="1"/>
  <c r="K3305" i="2"/>
  <c r="L3305" i="2" s="1"/>
  <c r="K3306" i="2"/>
  <c r="L3306" i="2" s="1"/>
  <c r="K3307" i="2"/>
  <c r="L3307" i="2" s="1"/>
  <c r="K3308" i="2"/>
  <c r="L3308" i="2" s="1"/>
  <c r="K3309" i="2"/>
  <c r="L3309" i="2" s="1"/>
  <c r="K3310" i="2"/>
  <c r="L3310" i="2" s="1"/>
  <c r="K3311" i="2"/>
  <c r="L3311" i="2" s="1"/>
  <c r="K3312" i="2"/>
  <c r="L3312" i="2" s="1"/>
  <c r="K3313" i="2"/>
  <c r="L3313" i="2" s="1"/>
  <c r="K3314" i="2"/>
  <c r="L3314" i="2" s="1"/>
  <c r="K3315" i="2"/>
  <c r="L3315" i="2" s="1"/>
  <c r="K3316" i="2"/>
  <c r="L3316" i="2" s="1"/>
  <c r="K3317" i="2"/>
  <c r="L3317" i="2" s="1"/>
  <c r="K3318" i="2"/>
  <c r="L3318" i="2" s="1"/>
  <c r="K3319" i="2"/>
  <c r="L3319" i="2" s="1"/>
  <c r="K3320" i="2"/>
  <c r="L3320" i="2" s="1"/>
  <c r="K3321" i="2"/>
  <c r="L3321" i="2" s="1"/>
  <c r="K3322" i="2"/>
  <c r="L3322" i="2" s="1"/>
  <c r="K3323" i="2"/>
  <c r="L3323" i="2" s="1"/>
  <c r="K3324" i="2"/>
  <c r="L3324" i="2" s="1"/>
  <c r="K3325" i="2"/>
  <c r="L3325" i="2" s="1"/>
  <c r="K3326" i="2"/>
  <c r="L3326" i="2" s="1"/>
  <c r="K3327" i="2"/>
  <c r="L3327" i="2" s="1"/>
  <c r="K3328" i="2"/>
  <c r="L3328" i="2" s="1"/>
  <c r="K3329" i="2"/>
  <c r="L3329" i="2" s="1"/>
  <c r="K3330" i="2"/>
  <c r="L3330" i="2" s="1"/>
  <c r="K3331" i="2"/>
  <c r="L3331" i="2" s="1"/>
  <c r="K3332" i="2"/>
  <c r="L3332" i="2" s="1"/>
  <c r="K3333" i="2"/>
  <c r="L3333" i="2" s="1"/>
  <c r="K3334" i="2"/>
  <c r="L3334" i="2" s="1"/>
  <c r="K3335" i="2"/>
  <c r="L3335" i="2" s="1"/>
  <c r="K3336" i="2"/>
  <c r="L3336" i="2" s="1"/>
  <c r="K3337" i="2"/>
  <c r="L3337" i="2" s="1"/>
  <c r="K3338" i="2"/>
  <c r="L3338" i="2" s="1"/>
  <c r="K3339" i="2"/>
  <c r="L3339" i="2" s="1"/>
  <c r="K3340" i="2"/>
  <c r="L3340" i="2" s="1"/>
  <c r="K3341" i="2"/>
  <c r="L3341" i="2" s="1"/>
  <c r="K3342" i="2"/>
  <c r="L3342" i="2" s="1"/>
  <c r="K3343" i="2"/>
  <c r="L3343" i="2" s="1"/>
  <c r="K3344" i="2"/>
  <c r="L3344" i="2" s="1"/>
  <c r="K3345" i="2"/>
  <c r="L3345" i="2" s="1"/>
  <c r="K3346" i="2"/>
  <c r="L3346" i="2" s="1"/>
  <c r="K3347" i="2"/>
  <c r="L3347" i="2" s="1"/>
  <c r="K3348" i="2"/>
  <c r="L3348" i="2" s="1"/>
  <c r="K3349" i="2"/>
  <c r="L3349" i="2" s="1"/>
  <c r="K3350" i="2"/>
  <c r="L3350" i="2" s="1"/>
  <c r="K3351" i="2"/>
  <c r="L3351" i="2" s="1"/>
  <c r="K3352" i="2"/>
  <c r="L3352" i="2" s="1"/>
  <c r="K3353" i="2"/>
  <c r="L3353" i="2" s="1"/>
  <c r="K3354" i="2"/>
  <c r="L3354" i="2" s="1"/>
  <c r="K3355" i="2"/>
  <c r="L3355" i="2" s="1"/>
  <c r="K3356" i="2"/>
  <c r="L3356" i="2" s="1"/>
  <c r="K3357" i="2"/>
  <c r="L3357" i="2" s="1"/>
  <c r="K3358" i="2"/>
  <c r="L3358" i="2" s="1"/>
  <c r="K3359" i="2"/>
  <c r="L3359" i="2" s="1"/>
  <c r="K3360" i="2"/>
  <c r="L3360" i="2" s="1"/>
  <c r="K3361" i="2"/>
  <c r="L3361" i="2" s="1"/>
  <c r="K3362" i="2"/>
  <c r="L3362" i="2" s="1"/>
  <c r="K3363" i="2"/>
  <c r="L3363" i="2" s="1"/>
  <c r="K3364" i="2"/>
  <c r="L3364" i="2" s="1"/>
  <c r="K3365" i="2"/>
  <c r="L3365" i="2" s="1"/>
  <c r="K3366" i="2"/>
  <c r="L3366" i="2" s="1"/>
  <c r="K3367" i="2"/>
  <c r="L3367" i="2" s="1"/>
  <c r="K3368" i="2"/>
  <c r="L3368" i="2" s="1"/>
  <c r="K3369" i="2"/>
  <c r="L3369" i="2" s="1"/>
  <c r="K3370" i="2"/>
  <c r="L3370" i="2" s="1"/>
  <c r="K3371" i="2"/>
  <c r="L3371" i="2" s="1"/>
  <c r="K3372" i="2"/>
  <c r="L3372" i="2" s="1"/>
  <c r="K3373" i="2"/>
  <c r="L3373" i="2" s="1"/>
  <c r="K3374" i="2"/>
  <c r="L3374" i="2" s="1"/>
  <c r="K3375" i="2"/>
  <c r="L3375" i="2" s="1"/>
  <c r="K3376" i="2"/>
  <c r="L3376" i="2" s="1"/>
  <c r="K3377" i="2"/>
  <c r="L3377" i="2" s="1"/>
  <c r="K3378" i="2"/>
  <c r="L3378" i="2" s="1"/>
  <c r="K3379" i="2"/>
  <c r="L3379" i="2" s="1"/>
  <c r="K3380" i="2"/>
  <c r="L3380" i="2" s="1"/>
  <c r="K3381" i="2"/>
  <c r="L3381" i="2" s="1"/>
  <c r="K3382" i="2"/>
  <c r="L3382" i="2" s="1"/>
  <c r="K3383" i="2"/>
  <c r="L3383" i="2" s="1"/>
  <c r="K3384" i="2"/>
  <c r="L3384" i="2" s="1"/>
  <c r="K3385" i="2"/>
  <c r="L3385" i="2" s="1"/>
  <c r="K3386" i="2"/>
  <c r="L3386" i="2" s="1"/>
  <c r="K3387" i="2"/>
  <c r="L3387" i="2" s="1"/>
  <c r="K3388" i="2"/>
  <c r="L3388" i="2" s="1"/>
  <c r="K3389" i="2"/>
  <c r="L3389" i="2" s="1"/>
  <c r="K3390" i="2"/>
  <c r="L3390" i="2" s="1"/>
  <c r="K3391" i="2"/>
  <c r="L3391" i="2" s="1"/>
  <c r="K3392" i="2"/>
  <c r="L3392" i="2" s="1"/>
  <c r="K3393" i="2"/>
  <c r="L3393" i="2" s="1"/>
  <c r="K3394" i="2"/>
  <c r="L3394" i="2" s="1"/>
  <c r="K3395" i="2"/>
  <c r="L3395" i="2" s="1"/>
  <c r="K3396" i="2"/>
  <c r="L3396" i="2" s="1"/>
  <c r="K3397" i="2"/>
  <c r="L3397" i="2" s="1"/>
  <c r="K3398" i="2"/>
  <c r="L3398" i="2" s="1"/>
  <c r="K3399" i="2"/>
  <c r="L3399" i="2" s="1"/>
  <c r="K3400" i="2"/>
  <c r="L3400" i="2" s="1"/>
  <c r="K3401" i="2"/>
  <c r="L3401" i="2" s="1"/>
  <c r="K3402" i="2"/>
  <c r="L3402" i="2" s="1"/>
  <c r="K3403" i="2"/>
  <c r="L3403" i="2" s="1"/>
  <c r="K3404" i="2"/>
  <c r="L3404" i="2" s="1"/>
  <c r="K3405" i="2"/>
  <c r="L3405" i="2" s="1"/>
  <c r="K3406" i="2"/>
  <c r="L3406" i="2" s="1"/>
  <c r="K3407" i="2"/>
  <c r="L3407" i="2" s="1"/>
  <c r="K3408" i="2"/>
  <c r="L3408" i="2" s="1"/>
  <c r="K3409" i="2"/>
  <c r="L3409" i="2" s="1"/>
  <c r="K3410" i="2"/>
  <c r="L3410" i="2" s="1"/>
  <c r="K3411" i="2"/>
  <c r="L3411" i="2" s="1"/>
  <c r="K3412" i="2"/>
  <c r="L3412" i="2" s="1"/>
  <c r="K3413" i="2"/>
  <c r="L3413" i="2" s="1"/>
  <c r="K3414" i="2"/>
  <c r="L3414" i="2" s="1"/>
  <c r="K3415" i="2"/>
  <c r="L3415" i="2" s="1"/>
  <c r="K3416" i="2"/>
  <c r="L3416" i="2" s="1"/>
  <c r="K3417" i="2"/>
  <c r="L3417" i="2" s="1"/>
  <c r="K3418" i="2"/>
  <c r="L3418" i="2" s="1"/>
  <c r="K3419" i="2"/>
  <c r="L3419" i="2" s="1"/>
  <c r="K3420" i="2"/>
  <c r="L3420" i="2" s="1"/>
  <c r="K3421" i="2"/>
  <c r="L3421" i="2" s="1"/>
  <c r="K3422" i="2"/>
  <c r="L3422" i="2" s="1"/>
  <c r="K3423" i="2"/>
  <c r="L3423" i="2" s="1"/>
  <c r="K3424" i="2"/>
  <c r="L3424" i="2" s="1"/>
  <c r="K3425" i="2"/>
  <c r="L3425" i="2" s="1"/>
  <c r="K3426" i="2"/>
  <c r="L3426" i="2" s="1"/>
  <c r="K3427" i="2"/>
  <c r="L3427" i="2" s="1"/>
  <c r="K3428" i="2"/>
  <c r="L3428" i="2" s="1"/>
  <c r="K3429" i="2"/>
  <c r="L3429" i="2" s="1"/>
  <c r="K3430" i="2"/>
  <c r="L3430" i="2" s="1"/>
  <c r="K3431" i="2"/>
  <c r="L3431" i="2" s="1"/>
  <c r="K3432" i="2"/>
  <c r="L3432" i="2" s="1"/>
  <c r="K3433" i="2"/>
  <c r="L3433" i="2" s="1"/>
  <c r="K3434" i="2"/>
  <c r="L3434" i="2" s="1"/>
  <c r="K3435" i="2"/>
  <c r="L3435" i="2" s="1"/>
  <c r="K3436" i="2"/>
  <c r="L3436" i="2" s="1"/>
  <c r="K3437" i="2"/>
  <c r="L3437" i="2" s="1"/>
  <c r="K3438" i="2"/>
  <c r="L3438" i="2" s="1"/>
  <c r="K3439" i="2"/>
  <c r="L3439" i="2" s="1"/>
  <c r="K3440" i="2"/>
  <c r="L3440" i="2" s="1"/>
  <c r="K3441" i="2"/>
  <c r="L3441" i="2" s="1"/>
  <c r="K3442" i="2"/>
  <c r="L3442" i="2" s="1"/>
  <c r="K3443" i="2"/>
  <c r="L3443" i="2" s="1"/>
  <c r="K3444" i="2"/>
  <c r="L3444" i="2" s="1"/>
  <c r="K3445" i="2"/>
  <c r="L3445" i="2" s="1"/>
  <c r="K3446" i="2"/>
  <c r="L3446" i="2" s="1"/>
  <c r="K3447" i="2"/>
  <c r="L3447" i="2" s="1"/>
  <c r="K3448" i="2"/>
  <c r="L3448" i="2" s="1"/>
  <c r="K3449" i="2"/>
  <c r="L3449" i="2" s="1"/>
  <c r="K3450" i="2"/>
  <c r="L3450" i="2" s="1"/>
  <c r="K3451" i="2"/>
  <c r="L3451" i="2" s="1"/>
  <c r="K3452" i="2"/>
  <c r="L3452" i="2" s="1"/>
  <c r="K3453" i="2"/>
  <c r="L3453" i="2" s="1"/>
  <c r="K3454" i="2"/>
  <c r="L3454" i="2" s="1"/>
  <c r="K3455" i="2"/>
  <c r="L3455" i="2" s="1"/>
  <c r="K3456" i="2"/>
  <c r="L3456" i="2" s="1"/>
  <c r="K3457" i="2"/>
  <c r="L3457" i="2" s="1"/>
  <c r="K3458" i="2"/>
  <c r="L3458" i="2" s="1"/>
  <c r="K3459" i="2"/>
  <c r="L3459" i="2" s="1"/>
  <c r="K3460" i="2"/>
  <c r="L3460" i="2" s="1"/>
  <c r="K3461" i="2"/>
  <c r="L3461" i="2" s="1"/>
  <c r="K3462" i="2"/>
  <c r="L3462" i="2" s="1"/>
  <c r="K3463" i="2"/>
  <c r="L3463" i="2" s="1"/>
  <c r="K3464" i="2"/>
  <c r="L3464" i="2" s="1"/>
  <c r="K3465" i="2"/>
  <c r="L3465" i="2" s="1"/>
  <c r="K3466" i="2"/>
  <c r="L3466" i="2" s="1"/>
  <c r="K3467" i="2"/>
  <c r="L3467" i="2" s="1"/>
  <c r="K3468" i="2"/>
  <c r="L3468" i="2" s="1"/>
  <c r="K3469" i="2"/>
  <c r="L3469" i="2" s="1"/>
  <c r="K3470" i="2"/>
  <c r="L3470" i="2" s="1"/>
  <c r="K3471" i="2"/>
  <c r="L3471" i="2" s="1"/>
  <c r="K3472" i="2"/>
  <c r="L3472" i="2" s="1"/>
  <c r="K3473" i="2"/>
  <c r="L3473" i="2" s="1"/>
  <c r="K3474" i="2"/>
  <c r="L3474" i="2" s="1"/>
  <c r="K3475" i="2"/>
  <c r="L3475" i="2" s="1"/>
  <c r="K3476" i="2"/>
  <c r="L3476" i="2" s="1"/>
  <c r="K3477" i="2"/>
  <c r="L3477" i="2" s="1"/>
  <c r="K3478" i="2"/>
  <c r="L3478" i="2" s="1"/>
  <c r="K3479" i="2"/>
  <c r="L3479" i="2" s="1"/>
  <c r="K3480" i="2"/>
  <c r="L3480" i="2" s="1"/>
  <c r="K3481" i="2"/>
  <c r="L3481" i="2" s="1"/>
  <c r="K3482" i="2"/>
  <c r="L3482" i="2" s="1"/>
  <c r="K3483" i="2"/>
  <c r="L3483" i="2" s="1"/>
  <c r="K3484" i="2"/>
  <c r="L3484" i="2" s="1"/>
  <c r="K3485" i="2"/>
  <c r="L3485" i="2" s="1"/>
  <c r="K3486" i="2"/>
  <c r="L3486" i="2" s="1"/>
  <c r="K3487" i="2"/>
  <c r="L3487" i="2" s="1"/>
  <c r="K3488" i="2"/>
  <c r="L3488" i="2" s="1"/>
  <c r="K3489" i="2"/>
  <c r="L3489" i="2" s="1"/>
  <c r="K3490" i="2"/>
  <c r="L3490" i="2" s="1"/>
  <c r="K3491" i="2"/>
  <c r="L3491" i="2" s="1"/>
  <c r="K3492" i="2"/>
  <c r="L3492" i="2" s="1"/>
  <c r="K3493" i="2"/>
  <c r="L3493" i="2" s="1"/>
  <c r="K3494" i="2"/>
  <c r="L3494" i="2" s="1"/>
  <c r="K3495" i="2"/>
  <c r="L3495" i="2" s="1"/>
  <c r="K3496" i="2"/>
  <c r="L3496" i="2" s="1"/>
  <c r="K3497" i="2"/>
  <c r="L3497" i="2" s="1"/>
  <c r="K3498" i="2"/>
  <c r="L3498" i="2" s="1"/>
  <c r="K3499" i="2"/>
  <c r="L3499" i="2" s="1"/>
  <c r="K3500" i="2"/>
  <c r="L3500" i="2" s="1"/>
  <c r="K3501" i="2"/>
  <c r="L3501" i="2" s="1"/>
  <c r="K3502" i="2"/>
  <c r="L3502" i="2" s="1"/>
  <c r="K3503" i="2"/>
  <c r="L3503" i="2" s="1"/>
  <c r="K3504" i="2"/>
  <c r="L3504" i="2" s="1"/>
  <c r="K3505" i="2"/>
  <c r="L3505" i="2" s="1"/>
  <c r="K3506" i="2"/>
  <c r="L3506" i="2" s="1"/>
  <c r="K3507" i="2"/>
  <c r="L3507" i="2" s="1"/>
  <c r="K3508" i="2"/>
  <c r="L3508" i="2" s="1"/>
  <c r="K3509" i="2"/>
  <c r="L3509" i="2" s="1"/>
  <c r="K3510" i="2"/>
  <c r="L3510" i="2" s="1"/>
  <c r="K3511" i="2"/>
  <c r="L3511" i="2" s="1"/>
  <c r="K3512" i="2"/>
  <c r="L3512" i="2" s="1"/>
  <c r="K3513" i="2"/>
  <c r="L3513" i="2" s="1"/>
  <c r="K3514" i="2"/>
  <c r="L3514" i="2" s="1"/>
  <c r="K3515" i="2"/>
  <c r="L3515" i="2" s="1"/>
  <c r="K3516" i="2"/>
  <c r="L3516" i="2" s="1"/>
  <c r="K3517" i="2"/>
  <c r="L3517" i="2" s="1"/>
  <c r="K3518" i="2"/>
  <c r="L3518" i="2" s="1"/>
  <c r="K3519" i="2"/>
  <c r="L3519" i="2" s="1"/>
  <c r="K3520" i="2"/>
  <c r="L3520" i="2" s="1"/>
  <c r="K3521" i="2"/>
  <c r="L3521" i="2" s="1"/>
  <c r="K3522" i="2"/>
  <c r="L3522" i="2" s="1"/>
  <c r="K3523" i="2"/>
  <c r="L3523" i="2" s="1"/>
  <c r="K3524" i="2"/>
  <c r="L3524" i="2" s="1"/>
  <c r="K3525" i="2"/>
  <c r="L3525" i="2" s="1"/>
  <c r="K3526" i="2"/>
  <c r="L3526" i="2" s="1"/>
  <c r="K3527" i="2"/>
  <c r="L3527" i="2" s="1"/>
  <c r="K3528" i="2"/>
  <c r="L3528" i="2" s="1"/>
  <c r="K3529" i="2"/>
  <c r="L3529" i="2" s="1"/>
  <c r="K3530" i="2"/>
  <c r="L3530" i="2" s="1"/>
  <c r="K3531" i="2"/>
  <c r="L3531" i="2" s="1"/>
  <c r="K3532" i="2"/>
  <c r="L3532" i="2" s="1"/>
  <c r="K3533" i="2"/>
  <c r="L3533" i="2" s="1"/>
  <c r="K3534" i="2"/>
  <c r="L3534" i="2" s="1"/>
  <c r="K3535" i="2"/>
  <c r="L3535" i="2" s="1"/>
  <c r="K3536" i="2"/>
  <c r="L3536" i="2" s="1"/>
  <c r="K3537" i="2"/>
  <c r="L3537" i="2" s="1"/>
  <c r="K3538" i="2"/>
  <c r="L3538" i="2" s="1"/>
  <c r="K3539" i="2"/>
  <c r="L3539" i="2" s="1"/>
  <c r="K3540" i="2"/>
  <c r="L3540" i="2" s="1"/>
  <c r="K3541" i="2"/>
  <c r="L3541" i="2" s="1"/>
  <c r="K3542" i="2"/>
  <c r="L3542" i="2" s="1"/>
  <c r="K3543" i="2"/>
  <c r="L3543" i="2" s="1"/>
  <c r="K3544" i="2"/>
  <c r="L3544" i="2" s="1"/>
  <c r="K3545" i="2"/>
  <c r="L3545" i="2" s="1"/>
  <c r="K3546" i="2"/>
  <c r="L3546" i="2" s="1"/>
  <c r="K3547" i="2"/>
  <c r="L3547" i="2" s="1"/>
  <c r="K3548" i="2"/>
  <c r="L3548" i="2" s="1"/>
  <c r="K3549" i="2"/>
  <c r="L3549" i="2" s="1"/>
  <c r="K3550" i="2"/>
  <c r="L3550" i="2" s="1"/>
  <c r="K3551" i="2"/>
  <c r="L3551" i="2" s="1"/>
  <c r="K3552" i="2"/>
  <c r="L3552" i="2" s="1"/>
  <c r="K3553" i="2"/>
  <c r="L3553" i="2" s="1"/>
  <c r="K3554" i="2"/>
  <c r="L3554" i="2" s="1"/>
  <c r="K3555" i="2"/>
  <c r="L3555" i="2" s="1"/>
  <c r="K3556" i="2"/>
  <c r="L3556" i="2" s="1"/>
  <c r="K3557" i="2"/>
  <c r="L3557" i="2" s="1"/>
  <c r="K3558" i="2"/>
  <c r="L3558" i="2" s="1"/>
  <c r="K3559" i="2"/>
  <c r="L3559" i="2" s="1"/>
  <c r="K3560" i="2"/>
  <c r="L3560" i="2" s="1"/>
  <c r="K3561" i="2"/>
  <c r="L3561" i="2" s="1"/>
  <c r="K3562" i="2"/>
  <c r="L3562" i="2" s="1"/>
  <c r="K3563" i="2"/>
  <c r="L3563" i="2" s="1"/>
  <c r="K3564" i="2"/>
  <c r="L3564" i="2" s="1"/>
  <c r="K3565" i="2"/>
  <c r="L3565" i="2" s="1"/>
  <c r="K3566" i="2"/>
  <c r="L3566" i="2" s="1"/>
  <c r="K3567" i="2"/>
  <c r="L3567" i="2" s="1"/>
  <c r="K3568" i="2"/>
  <c r="L3568" i="2" s="1"/>
  <c r="K3569" i="2"/>
  <c r="L3569" i="2" s="1"/>
  <c r="K3570" i="2"/>
  <c r="L3570" i="2" s="1"/>
  <c r="K3571" i="2"/>
  <c r="L3571" i="2" s="1"/>
  <c r="K3572" i="2"/>
  <c r="L3572" i="2" s="1"/>
  <c r="K3573" i="2"/>
  <c r="L3573" i="2" s="1"/>
  <c r="K3574" i="2"/>
  <c r="L3574" i="2" s="1"/>
  <c r="K3575" i="2"/>
  <c r="L3575" i="2" s="1"/>
  <c r="K3576" i="2"/>
  <c r="L3576" i="2" s="1"/>
  <c r="K3577" i="2"/>
  <c r="L3577" i="2" s="1"/>
  <c r="K3578" i="2"/>
  <c r="L3578" i="2" s="1"/>
  <c r="K3579" i="2"/>
  <c r="L3579" i="2" s="1"/>
  <c r="K3580" i="2"/>
  <c r="L3580" i="2" s="1"/>
  <c r="K3581" i="2"/>
  <c r="L3581" i="2" s="1"/>
  <c r="K3582" i="2"/>
  <c r="L3582" i="2" s="1"/>
  <c r="K3583" i="2"/>
  <c r="L3583" i="2" s="1"/>
  <c r="K3584" i="2"/>
  <c r="L3584" i="2" s="1"/>
  <c r="K3585" i="2"/>
  <c r="L3585" i="2" s="1"/>
  <c r="K3586" i="2"/>
  <c r="L3586" i="2" s="1"/>
  <c r="K3587" i="2"/>
  <c r="L3587" i="2" s="1"/>
  <c r="K3588" i="2"/>
  <c r="L3588" i="2" s="1"/>
  <c r="K3589" i="2"/>
  <c r="L3589" i="2" s="1"/>
  <c r="K3590" i="2"/>
  <c r="L3590" i="2" s="1"/>
  <c r="K3591" i="2"/>
  <c r="L3591" i="2" s="1"/>
  <c r="K3592" i="2"/>
  <c r="L3592" i="2" s="1"/>
  <c r="K3593" i="2"/>
  <c r="L3593" i="2" s="1"/>
  <c r="K3594" i="2"/>
  <c r="L3594" i="2" s="1"/>
  <c r="K3595" i="2"/>
  <c r="L3595" i="2" s="1"/>
  <c r="K3596" i="2"/>
  <c r="L3596" i="2" s="1"/>
  <c r="K3597" i="2"/>
  <c r="L3597" i="2" s="1"/>
  <c r="K3598" i="2"/>
  <c r="L3598" i="2" s="1"/>
  <c r="K3599" i="2"/>
  <c r="L3599" i="2" s="1"/>
  <c r="K3600" i="2"/>
  <c r="L3600" i="2" s="1"/>
  <c r="K3601" i="2"/>
  <c r="L3601" i="2" s="1"/>
  <c r="K3602" i="2"/>
  <c r="L3602" i="2" s="1"/>
  <c r="K3603" i="2"/>
  <c r="L3603" i="2" s="1"/>
  <c r="K3604" i="2"/>
  <c r="L3604" i="2" s="1"/>
  <c r="K3605" i="2"/>
  <c r="L3605" i="2" s="1"/>
  <c r="K3606" i="2"/>
  <c r="L3606" i="2" s="1"/>
  <c r="K3607" i="2"/>
  <c r="L3607" i="2" s="1"/>
  <c r="K3608" i="2"/>
  <c r="L3608" i="2" s="1"/>
  <c r="K3609" i="2"/>
  <c r="L3609" i="2" s="1"/>
  <c r="K3610" i="2"/>
  <c r="L3610" i="2" s="1"/>
  <c r="K3611" i="2"/>
  <c r="L3611" i="2" s="1"/>
  <c r="K3612" i="2"/>
  <c r="L3612" i="2" s="1"/>
  <c r="K3613" i="2"/>
  <c r="L3613" i="2" s="1"/>
  <c r="K3614" i="2"/>
  <c r="L3614" i="2" s="1"/>
  <c r="K3615" i="2"/>
  <c r="L3615" i="2" s="1"/>
  <c r="K3616" i="2"/>
  <c r="L3616" i="2" s="1"/>
  <c r="K3617" i="2"/>
  <c r="L3617" i="2" s="1"/>
  <c r="K3618" i="2"/>
  <c r="L3618" i="2" s="1"/>
  <c r="K3619" i="2"/>
  <c r="L3619" i="2" s="1"/>
  <c r="K3620" i="2"/>
  <c r="L3620" i="2" s="1"/>
  <c r="K3621" i="2"/>
  <c r="L3621" i="2" s="1"/>
  <c r="K3622" i="2"/>
  <c r="L3622" i="2" s="1"/>
  <c r="K3623" i="2"/>
  <c r="L3623" i="2" s="1"/>
  <c r="K3624" i="2"/>
  <c r="L3624" i="2" s="1"/>
  <c r="K3625" i="2"/>
  <c r="L3625" i="2" s="1"/>
  <c r="K3626" i="2"/>
  <c r="L3626" i="2" s="1"/>
  <c r="K3627" i="2"/>
  <c r="L3627" i="2" s="1"/>
  <c r="K3628" i="2"/>
  <c r="L3628" i="2" s="1"/>
  <c r="K3629" i="2"/>
  <c r="L3629" i="2" s="1"/>
  <c r="K3630" i="2"/>
  <c r="L3630" i="2" s="1"/>
  <c r="K3631" i="2"/>
  <c r="L3631" i="2" s="1"/>
  <c r="K3632" i="2"/>
  <c r="L3632" i="2" s="1"/>
  <c r="K3633" i="2"/>
  <c r="L3633" i="2" s="1"/>
  <c r="K3634" i="2"/>
  <c r="L3634" i="2" s="1"/>
  <c r="K3635" i="2"/>
  <c r="L3635" i="2" s="1"/>
  <c r="K3636" i="2"/>
  <c r="L3636" i="2" s="1"/>
  <c r="K3637" i="2"/>
  <c r="L3637" i="2" s="1"/>
  <c r="K3638" i="2"/>
  <c r="L3638" i="2" s="1"/>
  <c r="K3639" i="2"/>
  <c r="L3639" i="2" s="1"/>
  <c r="K3640" i="2"/>
  <c r="L3640" i="2" s="1"/>
  <c r="K3641" i="2"/>
  <c r="L3641" i="2" s="1"/>
  <c r="K3642" i="2"/>
  <c r="L3642" i="2" s="1"/>
  <c r="K3643" i="2"/>
  <c r="L3643" i="2" s="1"/>
  <c r="K3644" i="2"/>
  <c r="L3644" i="2" s="1"/>
  <c r="K3645" i="2"/>
  <c r="L3645" i="2" s="1"/>
  <c r="K3646" i="2"/>
  <c r="L3646" i="2" s="1"/>
  <c r="K3647" i="2"/>
  <c r="L3647" i="2" s="1"/>
  <c r="K3648" i="2"/>
  <c r="L3648" i="2" s="1"/>
  <c r="K3649" i="2"/>
  <c r="L3649" i="2" s="1"/>
  <c r="K3650" i="2"/>
  <c r="L3650" i="2" s="1"/>
  <c r="K3651" i="2"/>
  <c r="L3651" i="2" s="1"/>
  <c r="K3652" i="2"/>
  <c r="L3652" i="2" s="1"/>
  <c r="K3653" i="2"/>
  <c r="L3653" i="2" s="1"/>
  <c r="K3654" i="2"/>
  <c r="L3654" i="2" s="1"/>
  <c r="K3655" i="2"/>
  <c r="L3655" i="2" s="1"/>
  <c r="K3656" i="2"/>
  <c r="L3656" i="2" s="1"/>
  <c r="K3657" i="2"/>
  <c r="L3657" i="2" s="1"/>
  <c r="K3658" i="2"/>
  <c r="L3658" i="2" s="1"/>
  <c r="K3659" i="2"/>
  <c r="L3659" i="2" s="1"/>
  <c r="K3660" i="2"/>
  <c r="L3660" i="2" s="1"/>
  <c r="K3661" i="2"/>
  <c r="L3661" i="2" s="1"/>
  <c r="K3662" i="2"/>
  <c r="L3662" i="2" s="1"/>
  <c r="K3663" i="2"/>
  <c r="L3663" i="2" s="1"/>
  <c r="K3664" i="2"/>
  <c r="L3664" i="2" s="1"/>
  <c r="K3665" i="2"/>
  <c r="L3665" i="2" s="1"/>
  <c r="K3666" i="2"/>
  <c r="L3666" i="2" s="1"/>
  <c r="K3667" i="2"/>
  <c r="L3667" i="2" s="1"/>
  <c r="K3668" i="2"/>
  <c r="L3668" i="2" s="1"/>
  <c r="K3669" i="2"/>
  <c r="L3669" i="2" s="1"/>
  <c r="K3670" i="2"/>
  <c r="L3670" i="2" s="1"/>
  <c r="K3671" i="2"/>
  <c r="L3671" i="2" s="1"/>
  <c r="K3672" i="2"/>
  <c r="L3672" i="2" s="1"/>
  <c r="K3673" i="2"/>
  <c r="L3673" i="2" s="1"/>
  <c r="K3674" i="2"/>
  <c r="L3674" i="2" s="1"/>
  <c r="K3675" i="2"/>
  <c r="L3675" i="2" s="1"/>
  <c r="K3676" i="2"/>
  <c r="L3676" i="2" s="1"/>
  <c r="K3677" i="2"/>
  <c r="L3677" i="2" s="1"/>
  <c r="K3678" i="2"/>
  <c r="L3678" i="2" s="1"/>
  <c r="K3679" i="2"/>
  <c r="L3679" i="2" s="1"/>
  <c r="K3680" i="2"/>
  <c r="L3680" i="2" s="1"/>
  <c r="K3681" i="2"/>
  <c r="L3681" i="2" s="1"/>
  <c r="K3682" i="2"/>
  <c r="L3682" i="2" s="1"/>
  <c r="K3683" i="2"/>
  <c r="L3683" i="2" s="1"/>
  <c r="K3684" i="2"/>
  <c r="L3684" i="2" s="1"/>
  <c r="K3685" i="2"/>
  <c r="L3685" i="2" s="1"/>
  <c r="K3686" i="2"/>
  <c r="L3686" i="2" s="1"/>
  <c r="K3687" i="2"/>
  <c r="L3687" i="2" s="1"/>
  <c r="K3688" i="2"/>
  <c r="L3688" i="2" s="1"/>
  <c r="K3689" i="2"/>
  <c r="L3689" i="2" s="1"/>
  <c r="K3690" i="2"/>
  <c r="L3690" i="2" s="1"/>
  <c r="K3691" i="2"/>
  <c r="L3691" i="2" s="1"/>
  <c r="K3692" i="2"/>
  <c r="L3692" i="2" s="1"/>
  <c r="K3693" i="2"/>
  <c r="L3693" i="2" s="1"/>
  <c r="K3694" i="2"/>
  <c r="L3694" i="2" s="1"/>
  <c r="K3695" i="2"/>
  <c r="L3695" i="2" s="1"/>
  <c r="K3696" i="2"/>
  <c r="L3696" i="2" s="1"/>
  <c r="K3697" i="2"/>
  <c r="L3697" i="2" s="1"/>
  <c r="K3698" i="2"/>
  <c r="L3698" i="2" s="1"/>
  <c r="K3699" i="2"/>
  <c r="L3699" i="2" s="1"/>
  <c r="K3700" i="2"/>
  <c r="L3700" i="2" s="1"/>
  <c r="K3701" i="2"/>
  <c r="L3701" i="2" s="1"/>
  <c r="K3702" i="2"/>
  <c r="L3702" i="2" s="1"/>
  <c r="K3703" i="2"/>
  <c r="L3703" i="2" s="1"/>
  <c r="K3704" i="2"/>
  <c r="L3704" i="2" s="1"/>
  <c r="K3705" i="2"/>
  <c r="L3705" i="2" s="1"/>
  <c r="K3706" i="2"/>
  <c r="L3706" i="2" s="1"/>
  <c r="K3707" i="2"/>
  <c r="L3707" i="2" s="1"/>
  <c r="K3708" i="2"/>
  <c r="L3708" i="2" s="1"/>
  <c r="K3709" i="2"/>
  <c r="L3709" i="2" s="1"/>
  <c r="K3710" i="2"/>
  <c r="L3710" i="2" s="1"/>
  <c r="K3711" i="2"/>
  <c r="L3711" i="2" s="1"/>
  <c r="K3712" i="2"/>
  <c r="L3712" i="2" s="1"/>
  <c r="K3713" i="2"/>
  <c r="L3713" i="2" s="1"/>
  <c r="K3714" i="2"/>
  <c r="L3714" i="2" s="1"/>
  <c r="K3715" i="2"/>
  <c r="L3715" i="2" s="1"/>
  <c r="K3716" i="2"/>
  <c r="L3716" i="2" s="1"/>
  <c r="K3717" i="2"/>
  <c r="L3717" i="2" s="1"/>
  <c r="K3718" i="2"/>
  <c r="L3718" i="2" s="1"/>
  <c r="K3719" i="2"/>
  <c r="L3719" i="2" s="1"/>
  <c r="K3720" i="2"/>
  <c r="L3720" i="2" s="1"/>
  <c r="K3721" i="2"/>
  <c r="L3721" i="2" s="1"/>
  <c r="K3722" i="2"/>
  <c r="L3722" i="2" s="1"/>
  <c r="K3723" i="2"/>
  <c r="L3723" i="2" s="1"/>
  <c r="K3724" i="2"/>
  <c r="L3724" i="2" s="1"/>
  <c r="K3725" i="2"/>
  <c r="L3725" i="2" s="1"/>
  <c r="K3726" i="2"/>
  <c r="L3726" i="2" s="1"/>
  <c r="K3727" i="2"/>
  <c r="L3727" i="2" s="1"/>
  <c r="K3728" i="2"/>
  <c r="L3728" i="2" s="1"/>
  <c r="K3729" i="2"/>
  <c r="L3729" i="2" s="1"/>
  <c r="K3730" i="2"/>
  <c r="L3730" i="2" s="1"/>
  <c r="K3731" i="2"/>
  <c r="L3731" i="2" s="1"/>
  <c r="K3732" i="2"/>
  <c r="L3732" i="2" s="1"/>
  <c r="K3733" i="2"/>
  <c r="L3733" i="2" s="1"/>
  <c r="K3734" i="2"/>
  <c r="L3734" i="2" s="1"/>
  <c r="K3735" i="2"/>
  <c r="L3735" i="2" s="1"/>
  <c r="K3736" i="2"/>
  <c r="L3736" i="2" s="1"/>
  <c r="K3737" i="2"/>
  <c r="L3737" i="2" s="1"/>
  <c r="K3738" i="2"/>
  <c r="L3738" i="2" s="1"/>
  <c r="K3739" i="2"/>
  <c r="L3739" i="2" s="1"/>
  <c r="K3740" i="2"/>
  <c r="L3740" i="2" s="1"/>
  <c r="K3741" i="2"/>
  <c r="L3741" i="2" s="1"/>
  <c r="K3742" i="2"/>
  <c r="L3742" i="2" s="1"/>
  <c r="K3743" i="2"/>
  <c r="L3743" i="2" s="1"/>
  <c r="K3744" i="2"/>
  <c r="L3744" i="2" s="1"/>
  <c r="K3745" i="2"/>
  <c r="L3745" i="2" s="1"/>
  <c r="K3746" i="2"/>
  <c r="L3746" i="2" s="1"/>
  <c r="K3747" i="2"/>
  <c r="L3747" i="2" s="1"/>
  <c r="K3748" i="2"/>
  <c r="L3748" i="2" s="1"/>
  <c r="K3749" i="2"/>
  <c r="L3749" i="2" s="1"/>
  <c r="K3750" i="2"/>
  <c r="L3750" i="2" s="1"/>
  <c r="K3751" i="2"/>
  <c r="L3751" i="2" s="1"/>
  <c r="K3752" i="2"/>
  <c r="L3752" i="2" s="1"/>
  <c r="K3753" i="2"/>
  <c r="L3753" i="2" s="1"/>
  <c r="K3754" i="2"/>
  <c r="L3754" i="2" s="1"/>
  <c r="K3755" i="2"/>
  <c r="L3755" i="2" s="1"/>
  <c r="K3756" i="2"/>
  <c r="L3756" i="2" s="1"/>
  <c r="K3757" i="2"/>
  <c r="L3757" i="2" s="1"/>
  <c r="K3758" i="2"/>
  <c r="L3758" i="2" s="1"/>
  <c r="K3759" i="2"/>
  <c r="L3759" i="2" s="1"/>
  <c r="K3760" i="2"/>
  <c r="L3760" i="2" s="1"/>
  <c r="K3761" i="2"/>
  <c r="L3761" i="2" s="1"/>
  <c r="K3762" i="2"/>
  <c r="L3762" i="2" s="1"/>
  <c r="K3763" i="2"/>
  <c r="L3763" i="2" s="1"/>
  <c r="K3764" i="2"/>
  <c r="L3764" i="2" s="1"/>
  <c r="K3765" i="2"/>
  <c r="L3765" i="2" s="1"/>
  <c r="K3766" i="2"/>
  <c r="L3766" i="2" s="1"/>
  <c r="K3767" i="2"/>
  <c r="L3767" i="2" s="1"/>
  <c r="K3768" i="2"/>
  <c r="L3768" i="2" s="1"/>
  <c r="K3769" i="2"/>
  <c r="L3769" i="2" s="1"/>
  <c r="K3770" i="2"/>
  <c r="L3770" i="2" s="1"/>
  <c r="K3771" i="2"/>
  <c r="L3771" i="2" s="1"/>
  <c r="K3772" i="2"/>
  <c r="L3772" i="2" s="1"/>
  <c r="K3773" i="2"/>
  <c r="L3773" i="2" s="1"/>
  <c r="K3774" i="2"/>
  <c r="L3774" i="2" s="1"/>
  <c r="K3775" i="2"/>
  <c r="L3775" i="2" s="1"/>
  <c r="K3776" i="2"/>
  <c r="L3776" i="2" s="1"/>
  <c r="K3777" i="2"/>
  <c r="L3777" i="2" s="1"/>
  <c r="K3778" i="2"/>
  <c r="L3778" i="2" s="1"/>
  <c r="K3779" i="2"/>
  <c r="L3779" i="2" s="1"/>
  <c r="K3780" i="2"/>
  <c r="L3780" i="2" s="1"/>
  <c r="K3781" i="2"/>
  <c r="L3781" i="2" s="1"/>
  <c r="K3782" i="2"/>
  <c r="L3782" i="2" s="1"/>
  <c r="K3783" i="2"/>
  <c r="L3783" i="2" s="1"/>
  <c r="K3784" i="2"/>
  <c r="L3784" i="2" s="1"/>
  <c r="K3785" i="2"/>
  <c r="L3785" i="2" s="1"/>
  <c r="K3786" i="2"/>
  <c r="L3786" i="2" s="1"/>
  <c r="K3787" i="2"/>
  <c r="L3787" i="2" s="1"/>
  <c r="K3788" i="2"/>
  <c r="L3788" i="2" s="1"/>
  <c r="K3789" i="2"/>
  <c r="L3789" i="2" s="1"/>
  <c r="K3790" i="2"/>
  <c r="L3790" i="2" s="1"/>
  <c r="K3791" i="2"/>
  <c r="L3791" i="2" s="1"/>
  <c r="K3792" i="2"/>
  <c r="L3792" i="2" s="1"/>
  <c r="K3793" i="2"/>
  <c r="L3793" i="2" s="1"/>
  <c r="K3794" i="2"/>
  <c r="L3794" i="2" s="1"/>
  <c r="K3795" i="2"/>
  <c r="L3795" i="2" s="1"/>
  <c r="K3796" i="2"/>
  <c r="L3796" i="2" s="1"/>
  <c r="K3797" i="2"/>
  <c r="L3797" i="2" s="1"/>
  <c r="K3798" i="2"/>
  <c r="L3798" i="2" s="1"/>
  <c r="K3799" i="2"/>
  <c r="L3799" i="2" s="1"/>
  <c r="K3800" i="2"/>
  <c r="L3800" i="2" s="1"/>
  <c r="K3801" i="2"/>
  <c r="L3801" i="2" s="1"/>
  <c r="K3802" i="2"/>
  <c r="L3802" i="2" s="1"/>
  <c r="K3803" i="2"/>
  <c r="L3803" i="2" s="1"/>
  <c r="K3804" i="2"/>
  <c r="L3804" i="2" s="1"/>
  <c r="K3805" i="2"/>
  <c r="L3805" i="2" s="1"/>
  <c r="K3806" i="2"/>
  <c r="L3806" i="2" s="1"/>
  <c r="K3807" i="2"/>
  <c r="L3807" i="2" s="1"/>
  <c r="K3808" i="2"/>
  <c r="L3808" i="2" s="1"/>
  <c r="K3809" i="2"/>
  <c r="L3809" i="2" s="1"/>
  <c r="K3810" i="2"/>
  <c r="L3810" i="2" s="1"/>
  <c r="K3811" i="2"/>
  <c r="L3811" i="2" s="1"/>
  <c r="K3812" i="2"/>
  <c r="L3812" i="2" s="1"/>
  <c r="K3813" i="2"/>
  <c r="L3813" i="2" s="1"/>
  <c r="K3814" i="2"/>
  <c r="L3814" i="2" s="1"/>
  <c r="K3815" i="2"/>
  <c r="L3815" i="2" s="1"/>
  <c r="K3816" i="2"/>
  <c r="L3816" i="2" s="1"/>
  <c r="K3817" i="2"/>
  <c r="L3817" i="2" s="1"/>
  <c r="K3818" i="2"/>
  <c r="L3818" i="2" s="1"/>
  <c r="K3819" i="2"/>
  <c r="L3819" i="2" s="1"/>
  <c r="K3820" i="2"/>
  <c r="L3820" i="2" s="1"/>
  <c r="K3821" i="2"/>
  <c r="L3821" i="2" s="1"/>
  <c r="K3822" i="2"/>
  <c r="L3822" i="2" s="1"/>
  <c r="K3823" i="2"/>
  <c r="L3823" i="2" s="1"/>
  <c r="K3824" i="2"/>
  <c r="L3824" i="2" s="1"/>
  <c r="K3825" i="2"/>
  <c r="L3825" i="2" s="1"/>
  <c r="K3826" i="2"/>
  <c r="L3826" i="2" s="1"/>
  <c r="K3827" i="2"/>
  <c r="L3827" i="2" s="1"/>
  <c r="K3828" i="2"/>
  <c r="L3828" i="2" s="1"/>
  <c r="K3829" i="2"/>
  <c r="L3829" i="2" s="1"/>
  <c r="K3830" i="2"/>
  <c r="L3830" i="2" s="1"/>
  <c r="K3831" i="2"/>
  <c r="L3831" i="2" s="1"/>
  <c r="K3832" i="2"/>
  <c r="L3832" i="2" s="1"/>
  <c r="K3833" i="2"/>
  <c r="L3833" i="2" s="1"/>
  <c r="K3834" i="2"/>
  <c r="L3834" i="2" s="1"/>
  <c r="K3835" i="2"/>
  <c r="L3835" i="2" s="1"/>
  <c r="K3836" i="2"/>
  <c r="L3836" i="2" s="1"/>
  <c r="K3837" i="2"/>
  <c r="L3837" i="2" s="1"/>
  <c r="K3838" i="2"/>
  <c r="L3838" i="2" s="1"/>
  <c r="K3839" i="2"/>
  <c r="L3839" i="2" s="1"/>
  <c r="K3840" i="2"/>
  <c r="L3840" i="2" s="1"/>
  <c r="K3841" i="2"/>
  <c r="L3841" i="2" s="1"/>
  <c r="K3842" i="2"/>
  <c r="L3842" i="2" s="1"/>
  <c r="K3843" i="2"/>
  <c r="L3843" i="2" s="1"/>
  <c r="K3844" i="2"/>
  <c r="L3844" i="2" s="1"/>
  <c r="K3845" i="2"/>
  <c r="L3845" i="2" s="1"/>
  <c r="K3846" i="2"/>
  <c r="L3846" i="2" s="1"/>
  <c r="K3847" i="2"/>
  <c r="L3847" i="2" s="1"/>
  <c r="K3848" i="2"/>
  <c r="L3848" i="2" s="1"/>
  <c r="K3849" i="2"/>
  <c r="L3849" i="2" s="1"/>
  <c r="K3850" i="2"/>
  <c r="L3850" i="2" s="1"/>
  <c r="K3851" i="2"/>
  <c r="L3851" i="2" s="1"/>
  <c r="K3852" i="2"/>
  <c r="L3852" i="2" s="1"/>
  <c r="K3853" i="2"/>
  <c r="L3853" i="2" s="1"/>
  <c r="K3854" i="2"/>
  <c r="L3854" i="2" s="1"/>
  <c r="K3855" i="2"/>
  <c r="L3855" i="2" s="1"/>
  <c r="K3856" i="2"/>
  <c r="L3856" i="2" s="1"/>
  <c r="K3857" i="2"/>
  <c r="L3857" i="2" s="1"/>
  <c r="K3858" i="2"/>
  <c r="L3858" i="2" s="1"/>
  <c r="K3859" i="2"/>
  <c r="L3859" i="2" s="1"/>
  <c r="K3860" i="2"/>
  <c r="L3860" i="2" s="1"/>
  <c r="K3861" i="2"/>
  <c r="L3861" i="2" s="1"/>
  <c r="K3862" i="2"/>
  <c r="L3862" i="2" s="1"/>
  <c r="K3863" i="2"/>
  <c r="L3863" i="2" s="1"/>
  <c r="K3864" i="2"/>
  <c r="L3864" i="2" s="1"/>
  <c r="K3865" i="2"/>
  <c r="L3865" i="2" s="1"/>
  <c r="K3866" i="2"/>
  <c r="L3866" i="2" s="1"/>
  <c r="K3867" i="2"/>
  <c r="L3867" i="2" s="1"/>
  <c r="K3868" i="2"/>
  <c r="L3868" i="2" s="1"/>
  <c r="K3869" i="2"/>
  <c r="L3869" i="2" s="1"/>
  <c r="K3870" i="2"/>
  <c r="L3870" i="2" s="1"/>
  <c r="K3871" i="2"/>
  <c r="L3871" i="2" s="1"/>
  <c r="K3872" i="2"/>
  <c r="L3872" i="2" s="1"/>
  <c r="K3873" i="2"/>
  <c r="L3873" i="2" s="1"/>
  <c r="K3874" i="2"/>
  <c r="L3874" i="2" s="1"/>
  <c r="K3875" i="2"/>
  <c r="L3875" i="2" s="1"/>
  <c r="K3876" i="2"/>
  <c r="L3876" i="2" s="1"/>
  <c r="K3877" i="2"/>
  <c r="L3877" i="2" s="1"/>
  <c r="K3878" i="2"/>
  <c r="L3878" i="2" s="1"/>
  <c r="K3879" i="2"/>
  <c r="L3879" i="2" s="1"/>
  <c r="K3880" i="2"/>
  <c r="L3880" i="2" s="1"/>
  <c r="K3881" i="2"/>
  <c r="L3881" i="2" s="1"/>
  <c r="K3882" i="2"/>
  <c r="L3882" i="2" s="1"/>
  <c r="K3883" i="2"/>
  <c r="L3883" i="2" s="1"/>
  <c r="K3884" i="2"/>
  <c r="L3884" i="2" s="1"/>
  <c r="K3885" i="2"/>
  <c r="L3885" i="2" s="1"/>
  <c r="K3886" i="2"/>
  <c r="L3886" i="2" s="1"/>
  <c r="K3887" i="2"/>
  <c r="L3887" i="2" s="1"/>
  <c r="K3888" i="2"/>
  <c r="L3888" i="2" s="1"/>
  <c r="K3889" i="2"/>
  <c r="L3889" i="2" s="1"/>
  <c r="K3890" i="2"/>
  <c r="L3890" i="2" s="1"/>
  <c r="K3891" i="2"/>
  <c r="L3891" i="2" s="1"/>
  <c r="K3892" i="2"/>
  <c r="L3892" i="2" s="1"/>
  <c r="K3893" i="2"/>
  <c r="L3893" i="2" s="1"/>
  <c r="K3894" i="2"/>
  <c r="L3894" i="2" s="1"/>
  <c r="K3895" i="2"/>
  <c r="L3895" i="2" s="1"/>
  <c r="K3896" i="2"/>
  <c r="L3896" i="2" s="1"/>
  <c r="K3897" i="2"/>
  <c r="L3897" i="2" s="1"/>
  <c r="K3898" i="2"/>
  <c r="L3898" i="2" s="1"/>
  <c r="K3899" i="2"/>
  <c r="L3899" i="2" s="1"/>
  <c r="K3900" i="2"/>
  <c r="L3900" i="2" s="1"/>
  <c r="K3901" i="2"/>
  <c r="L3901" i="2" s="1"/>
  <c r="K3902" i="2"/>
  <c r="L3902" i="2" s="1"/>
  <c r="K3903" i="2"/>
  <c r="L3903" i="2" s="1"/>
  <c r="K3904" i="2"/>
  <c r="L3904" i="2" s="1"/>
  <c r="K3905" i="2"/>
  <c r="L3905" i="2" s="1"/>
  <c r="K3906" i="2"/>
  <c r="L3906" i="2" s="1"/>
  <c r="K3907" i="2"/>
  <c r="L3907" i="2" s="1"/>
  <c r="K3908" i="2"/>
  <c r="L3908" i="2" s="1"/>
  <c r="K3909" i="2"/>
  <c r="L3909" i="2" s="1"/>
  <c r="K3910" i="2"/>
  <c r="L3910" i="2" s="1"/>
  <c r="K3911" i="2"/>
  <c r="L3911" i="2" s="1"/>
  <c r="K3912" i="2"/>
  <c r="L3912" i="2" s="1"/>
  <c r="K3913" i="2"/>
  <c r="L3913" i="2" s="1"/>
  <c r="K3914" i="2"/>
  <c r="L3914" i="2" s="1"/>
  <c r="K3915" i="2"/>
  <c r="L3915" i="2" s="1"/>
  <c r="K3916" i="2"/>
  <c r="L3916" i="2" s="1"/>
  <c r="K3917" i="2"/>
  <c r="L3917" i="2" s="1"/>
  <c r="K3918" i="2"/>
  <c r="L3918" i="2" s="1"/>
  <c r="K3919" i="2"/>
  <c r="L3919" i="2" s="1"/>
  <c r="K3920" i="2"/>
  <c r="L3920" i="2" s="1"/>
  <c r="K3921" i="2"/>
  <c r="L3921" i="2" s="1"/>
  <c r="K3922" i="2"/>
  <c r="L3922" i="2" s="1"/>
  <c r="K3923" i="2"/>
  <c r="L3923" i="2" s="1"/>
  <c r="K3924" i="2"/>
  <c r="L3924" i="2" s="1"/>
  <c r="K3925" i="2"/>
  <c r="L3925" i="2" s="1"/>
  <c r="K3926" i="2"/>
  <c r="L3926" i="2" s="1"/>
  <c r="K3927" i="2"/>
  <c r="L3927" i="2" s="1"/>
  <c r="K3928" i="2"/>
  <c r="L3928" i="2" s="1"/>
  <c r="K3929" i="2"/>
  <c r="L3929" i="2" s="1"/>
  <c r="K3930" i="2"/>
  <c r="L3930" i="2" s="1"/>
  <c r="K3931" i="2"/>
  <c r="L3931" i="2" s="1"/>
  <c r="K3932" i="2"/>
  <c r="L3932" i="2" s="1"/>
  <c r="K3933" i="2"/>
  <c r="L3933" i="2" s="1"/>
  <c r="K3934" i="2"/>
  <c r="L3934" i="2" s="1"/>
  <c r="K3935" i="2"/>
  <c r="L3935" i="2" s="1"/>
  <c r="K3936" i="2"/>
  <c r="L3936" i="2" s="1"/>
  <c r="K3937" i="2"/>
  <c r="L3937" i="2" s="1"/>
  <c r="K3938" i="2"/>
  <c r="L3938" i="2" s="1"/>
  <c r="K3939" i="2"/>
  <c r="L3939" i="2" s="1"/>
  <c r="K3940" i="2"/>
  <c r="L3940" i="2" s="1"/>
  <c r="K3941" i="2"/>
  <c r="L3941" i="2" s="1"/>
  <c r="K3942" i="2"/>
  <c r="L3942" i="2" s="1"/>
  <c r="K3943" i="2"/>
  <c r="L3943" i="2" s="1"/>
  <c r="K3944" i="2"/>
  <c r="L3944" i="2" s="1"/>
  <c r="K3945" i="2"/>
  <c r="L3945" i="2" s="1"/>
  <c r="K3946" i="2"/>
  <c r="L3946" i="2" s="1"/>
  <c r="K3947" i="2"/>
  <c r="L3947" i="2" s="1"/>
  <c r="K3948" i="2"/>
  <c r="L3948" i="2" s="1"/>
  <c r="K3949" i="2"/>
  <c r="L3949" i="2" s="1"/>
  <c r="K3950" i="2"/>
  <c r="L3950" i="2" s="1"/>
  <c r="K3951" i="2"/>
  <c r="L3951" i="2" s="1"/>
  <c r="K3952" i="2"/>
  <c r="L3952" i="2" s="1"/>
  <c r="K3953" i="2"/>
  <c r="L3953" i="2" s="1"/>
  <c r="K3954" i="2"/>
  <c r="L3954" i="2" s="1"/>
  <c r="K3955" i="2"/>
  <c r="L3955" i="2" s="1"/>
  <c r="K3956" i="2"/>
  <c r="L3956" i="2" s="1"/>
  <c r="K3957" i="2"/>
  <c r="L3957" i="2" s="1"/>
  <c r="K3958" i="2"/>
  <c r="L3958" i="2" s="1"/>
  <c r="K3959" i="2"/>
  <c r="L3959" i="2" s="1"/>
  <c r="K3960" i="2"/>
  <c r="L3960" i="2" s="1"/>
  <c r="K3961" i="2"/>
  <c r="L3961" i="2" s="1"/>
  <c r="K3962" i="2"/>
  <c r="L3962" i="2" s="1"/>
  <c r="K3963" i="2"/>
  <c r="L3963" i="2" s="1"/>
  <c r="K3964" i="2"/>
  <c r="L3964" i="2" s="1"/>
  <c r="K3965" i="2"/>
  <c r="L3965" i="2" s="1"/>
  <c r="K3966" i="2"/>
  <c r="L3966" i="2" s="1"/>
  <c r="K3967" i="2"/>
  <c r="L3967" i="2" s="1"/>
  <c r="K3968" i="2"/>
  <c r="L3968" i="2" s="1"/>
  <c r="K3969" i="2"/>
  <c r="L3969" i="2" s="1"/>
  <c r="K3970" i="2"/>
  <c r="L3970" i="2" s="1"/>
  <c r="K3971" i="2"/>
  <c r="L3971" i="2" s="1"/>
  <c r="K3972" i="2"/>
  <c r="L3972" i="2" s="1"/>
  <c r="K3973" i="2"/>
  <c r="L3973" i="2" s="1"/>
  <c r="K3974" i="2"/>
  <c r="L3974" i="2" s="1"/>
  <c r="K3975" i="2"/>
  <c r="L3975" i="2" s="1"/>
  <c r="K3976" i="2"/>
  <c r="L3976" i="2" s="1"/>
  <c r="K3977" i="2"/>
  <c r="L3977" i="2" s="1"/>
  <c r="K3978" i="2"/>
  <c r="L3978" i="2" s="1"/>
  <c r="K3979" i="2"/>
  <c r="L3979" i="2" s="1"/>
  <c r="K3980" i="2"/>
  <c r="L3980" i="2" s="1"/>
  <c r="K3981" i="2"/>
  <c r="L3981" i="2" s="1"/>
  <c r="K3982" i="2"/>
  <c r="L3982" i="2" s="1"/>
  <c r="K3983" i="2"/>
  <c r="L3983" i="2" s="1"/>
  <c r="K3984" i="2"/>
  <c r="L3984" i="2" s="1"/>
  <c r="K3985" i="2"/>
  <c r="L3985" i="2" s="1"/>
  <c r="K3986" i="2"/>
  <c r="L3986" i="2" s="1"/>
  <c r="K3987" i="2"/>
  <c r="L3987" i="2" s="1"/>
  <c r="K3988" i="2"/>
  <c r="L3988" i="2" s="1"/>
  <c r="K3989" i="2"/>
  <c r="L3989" i="2" s="1"/>
  <c r="K3990" i="2"/>
  <c r="L3990" i="2" s="1"/>
  <c r="K3991" i="2"/>
  <c r="L3991" i="2" s="1"/>
  <c r="K3992" i="2"/>
  <c r="L3992" i="2" s="1"/>
  <c r="K3993" i="2"/>
  <c r="L3993" i="2" s="1"/>
  <c r="K3994" i="2"/>
  <c r="L3994" i="2" s="1"/>
  <c r="K3995" i="2"/>
  <c r="L3995" i="2" s="1"/>
  <c r="K3996" i="2"/>
  <c r="L3996" i="2" s="1"/>
  <c r="K3997" i="2"/>
  <c r="L3997" i="2" s="1"/>
  <c r="K3998" i="2"/>
  <c r="L3998" i="2" s="1"/>
  <c r="K3999" i="2"/>
  <c r="L3999" i="2" s="1"/>
  <c r="K4000" i="2"/>
  <c r="L4000" i="2" s="1"/>
  <c r="K4001" i="2"/>
  <c r="L4001" i="2" s="1"/>
  <c r="K4002" i="2"/>
  <c r="L4002" i="2" s="1"/>
  <c r="K4003" i="2"/>
  <c r="L4003" i="2" s="1"/>
  <c r="K4004" i="2"/>
  <c r="L4004" i="2" s="1"/>
  <c r="K4005" i="2"/>
  <c r="L4005" i="2" s="1"/>
  <c r="K4006" i="2"/>
  <c r="L4006" i="2" s="1"/>
  <c r="K4007" i="2"/>
  <c r="L4007" i="2" s="1"/>
  <c r="K4008" i="2"/>
  <c r="L4008" i="2" s="1"/>
  <c r="K4009" i="2"/>
  <c r="L4009" i="2" s="1"/>
  <c r="K4010" i="2"/>
  <c r="L4010" i="2" s="1"/>
  <c r="K4011" i="2"/>
  <c r="L4011" i="2" s="1"/>
  <c r="K4012" i="2"/>
  <c r="L4012" i="2" s="1"/>
  <c r="K4013" i="2"/>
  <c r="L4013" i="2" s="1"/>
  <c r="K4014" i="2"/>
  <c r="L4014" i="2" s="1"/>
  <c r="K4015" i="2"/>
  <c r="L4015" i="2" s="1"/>
  <c r="K4016" i="2"/>
  <c r="L4016" i="2" s="1"/>
  <c r="K4017" i="2"/>
  <c r="L4017" i="2" s="1"/>
  <c r="K4018" i="2"/>
  <c r="L4018" i="2" s="1"/>
  <c r="K4019" i="2"/>
  <c r="L4019" i="2" s="1"/>
  <c r="K4020" i="2"/>
  <c r="L4020" i="2" s="1"/>
  <c r="K4021" i="2"/>
  <c r="L4021" i="2" s="1"/>
  <c r="K4022" i="2"/>
  <c r="L4022" i="2" s="1"/>
  <c r="K4023" i="2"/>
  <c r="L4023" i="2" s="1"/>
  <c r="K4024" i="2"/>
  <c r="L4024" i="2" s="1"/>
  <c r="K4025" i="2"/>
  <c r="L4025" i="2" s="1"/>
  <c r="K4026" i="2"/>
  <c r="L4026" i="2" s="1"/>
  <c r="K4027" i="2"/>
  <c r="L4027" i="2" s="1"/>
  <c r="K4028" i="2"/>
  <c r="L4028" i="2" s="1"/>
  <c r="K4029" i="2"/>
  <c r="L4029" i="2" s="1"/>
  <c r="K4030" i="2"/>
  <c r="L4030" i="2" s="1"/>
  <c r="K4031" i="2"/>
  <c r="L4031" i="2" s="1"/>
  <c r="K4032" i="2"/>
  <c r="L4032" i="2" s="1"/>
  <c r="K4033" i="2"/>
  <c r="L4033" i="2" s="1"/>
  <c r="K4034" i="2"/>
  <c r="L4034" i="2" s="1"/>
  <c r="K4035" i="2"/>
  <c r="L4035" i="2" s="1"/>
  <c r="K4036" i="2"/>
  <c r="L4036" i="2" s="1"/>
  <c r="K4037" i="2"/>
  <c r="L4037" i="2" s="1"/>
  <c r="K4038" i="2"/>
  <c r="L4038" i="2" s="1"/>
  <c r="K4039" i="2"/>
  <c r="L4039" i="2" s="1"/>
  <c r="K4040" i="2"/>
  <c r="L4040" i="2" s="1"/>
  <c r="K4041" i="2"/>
  <c r="L4041" i="2" s="1"/>
  <c r="K4042" i="2"/>
  <c r="L4042" i="2" s="1"/>
  <c r="K4043" i="2"/>
  <c r="L4043" i="2" s="1"/>
  <c r="K4044" i="2"/>
  <c r="L4044" i="2" s="1"/>
  <c r="K4045" i="2"/>
  <c r="L4045" i="2" s="1"/>
  <c r="K4046" i="2"/>
  <c r="L4046" i="2" s="1"/>
  <c r="K4047" i="2"/>
  <c r="L4047" i="2" s="1"/>
  <c r="K4048" i="2"/>
  <c r="L4048" i="2" s="1"/>
  <c r="K4049" i="2"/>
  <c r="L4049" i="2" s="1"/>
  <c r="K4050" i="2"/>
  <c r="L4050" i="2" s="1"/>
  <c r="K4051" i="2"/>
  <c r="L4051" i="2" s="1"/>
  <c r="K4052" i="2"/>
  <c r="L4052" i="2" s="1"/>
  <c r="K4053" i="2"/>
  <c r="L4053" i="2" s="1"/>
  <c r="K4054" i="2"/>
  <c r="L4054" i="2" s="1"/>
  <c r="K4055" i="2"/>
  <c r="L4055" i="2" s="1"/>
  <c r="K4056" i="2"/>
  <c r="L4056" i="2" s="1"/>
  <c r="K4057" i="2"/>
  <c r="L4057" i="2" s="1"/>
  <c r="K4058" i="2"/>
  <c r="L4058" i="2" s="1"/>
  <c r="K4059" i="2"/>
  <c r="L4059" i="2" s="1"/>
  <c r="K4060" i="2"/>
  <c r="L4060" i="2" s="1"/>
  <c r="K4061" i="2"/>
  <c r="L4061" i="2" s="1"/>
  <c r="K4062" i="2"/>
  <c r="L4062" i="2" s="1"/>
  <c r="K4063" i="2"/>
  <c r="L4063" i="2" s="1"/>
  <c r="K4064" i="2"/>
  <c r="L4064" i="2" s="1"/>
  <c r="K4065" i="2"/>
  <c r="L4065" i="2" s="1"/>
  <c r="K4066" i="2"/>
  <c r="L4066" i="2" s="1"/>
  <c r="K4067" i="2"/>
  <c r="L4067" i="2" s="1"/>
  <c r="K4068" i="2"/>
  <c r="L4068" i="2" s="1"/>
  <c r="K4069" i="2"/>
  <c r="L4069" i="2" s="1"/>
  <c r="K4070" i="2"/>
  <c r="L4070" i="2" s="1"/>
  <c r="K4071" i="2"/>
  <c r="L4071" i="2" s="1"/>
  <c r="K4072" i="2"/>
  <c r="L4072" i="2" s="1"/>
  <c r="K4073" i="2"/>
  <c r="L4073" i="2" s="1"/>
  <c r="K4074" i="2"/>
  <c r="L4074" i="2" s="1"/>
  <c r="K4075" i="2"/>
  <c r="L4075" i="2" s="1"/>
  <c r="K4076" i="2"/>
  <c r="L4076" i="2" s="1"/>
  <c r="K4077" i="2"/>
  <c r="L4077" i="2" s="1"/>
  <c r="K4078" i="2"/>
  <c r="L4078" i="2" s="1"/>
  <c r="K4079" i="2"/>
  <c r="L4079" i="2" s="1"/>
  <c r="K4080" i="2"/>
  <c r="L4080" i="2" s="1"/>
  <c r="K4081" i="2"/>
  <c r="L4081" i="2" s="1"/>
  <c r="K4082" i="2"/>
  <c r="L4082" i="2" s="1"/>
  <c r="K4083" i="2"/>
  <c r="L4083" i="2" s="1"/>
  <c r="K4084" i="2"/>
  <c r="L4084" i="2" s="1"/>
  <c r="K4085" i="2"/>
  <c r="L4085" i="2" s="1"/>
  <c r="K4086" i="2"/>
  <c r="L4086" i="2" s="1"/>
  <c r="K4087" i="2"/>
  <c r="L4087" i="2" s="1"/>
  <c r="K4088" i="2"/>
  <c r="L4088" i="2" s="1"/>
  <c r="K4089" i="2"/>
  <c r="L4089" i="2" s="1"/>
  <c r="K4090" i="2"/>
  <c r="L4090" i="2" s="1"/>
  <c r="K4091" i="2"/>
  <c r="L4091" i="2" s="1"/>
  <c r="K4092" i="2"/>
  <c r="L4092" i="2" s="1"/>
  <c r="K4093" i="2"/>
  <c r="L4093" i="2" s="1"/>
  <c r="K4094" i="2"/>
  <c r="L4094" i="2" s="1"/>
  <c r="K4095" i="2"/>
  <c r="L4095" i="2" s="1"/>
  <c r="K4096" i="2"/>
  <c r="L4096" i="2" s="1"/>
  <c r="K4097" i="2"/>
  <c r="L4097" i="2" s="1"/>
  <c r="K4098" i="2"/>
  <c r="L4098" i="2" s="1"/>
  <c r="K4099" i="2"/>
  <c r="L4099" i="2" s="1"/>
  <c r="K4100" i="2"/>
  <c r="L4100" i="2" s="1"/>
  <c r="K4101" i="2"/>
  <c r="L4101" i="2" s="1"/>
  <c r="K4102" i="2"/>
  <c r="L4102" i="2" s="1"/>
  <c r="K4103" i="2"/>
  <c r="L4103" i="2" s="1"/>
  <c r="K4104" i="2"/>
  <c r="L4104" i="2" s="1"/>
  <c r="K4105" i="2"/>
  <c r="L4105" i="2" s="1"/>
  <c r="K4106" i="2"/>
  <c r="L4106" i="2" s="1"/>
  <c r="K4107" i="2"/>
  <c r="L4107" i="2" s="1"/>
  <c r="K4108" i="2"/>
  <c r="L4108" i="2" s="1"/>
  <c r="K4109" i="2"/>
  <c r="L4109" i="2" s="1"/>
  <c r="K4110" i="2"/>
  <c r="L4110" i="2" s="1"/>
  <c r="K4111" i="2"/>
  <c r="L4111" i="2" s="1"/>
  <c r="K4112" i="2"/>
  <c r="L4112" i="2" s="1"/>
  <c r="K4113" i="2"/>
  <c r="L4113" i="2" s="1"/>
  <c r="K4114" i="2"/>
  <c r="L4114" i="2" s="1"/>
  <c r="K4115" i="2"/>
  <c r="L4115" i="2" s="1"/>
  <c r="K4116" i="2"/>
  <c r="L4116" i="2" s="1"/>
  <c r="K4117" i="2"/>
  <c r="L4117" i="2" s="1"/>
  <c r="K4118" i="2"/>
  <c r="L4118" i="2" s="1"/>
  <c r="K4119" i="2"/>
  <c r="L4119" i="2" s="1"/>
  <c r="K4120" i="2"/>
  <c r="L4120" i="2" s="1"/>
  <c r="K4121" i="2"/>
  <c r="L4121" i="2" s="1"/>
  <c r="K4122" i="2"/>
  <c r="L4122" i="2" s="1"/>
  <c r="K4123" i="2"/>
  <c r="L4123" i="2" s="1"/>
  <c r="K4124" i="2"/>
  <c r="L4124" i="2" s="1"/>
  <c r="K4125" i="2"/>
  <c r="L4125" i="2" s="1"/>
  <c r="K4126" i="2"/>
  <c r="L4126" i="2" s="1"/>
  <c r="K4127" i="2"/>
  <c r="L4127" i="2" s="1"/>
  <c r="K4128" i="2"/>
  <c r="L4128" i="2" s="1"/>
  <c r="K4129" i="2"/>
  <c r="L4129" i="2" s="1"/>
  <c r="K4130" i="2"/>
  <c r="L4130" i="2" s="1"/>
  <c r="K4131" i="2"/>
  <c r="L4131" i="2" s="1"/>
  <c r="K4132" i="2"/>
  <c r="L4132" i="2" s="1"/>
  <c r="K4133" i="2"/>
  <c r="L4133" i="2" s="1"/>
  <c r="K4134" i="2"/>
  <c r="L4134" i="2" s="1"/>
  <c r="K4135" i="2"/>
  <c r="L4135" i="2" s="1"/>
  <c r="K4136" i="2"/>
  <c r="L4136" i="2" s="1"/>
  <c r="K4137" i="2"/>
  <c r="L4137" i="2" s="1"/>
  <c r="K4138" i="2"/>
  <c r="L4138" i="2" s="1"/>
  <c r="K4139" i="2"/>
  <c r="L4139" i="2" s="1"/>
  <c r="K4140" i="2"/>
  <c r="L4140" i="2" s="1"/>
  <c r="K4141" i="2"/>
  <c r="L4141" i="2" s="1"/>
  <c r="K4142" i="2"/>
  <c r="L4142" i="2" s="1"/>
  <c r="K4143" i="2"/>
  <c r="L4143" i="2" s="1"/>
  <c r="K4144" i="2"/>
  <c r="L4144" i="2" s="1"/>
  <c r="K4145" i="2"/>
  <c r="L4145" i="2" s="1"/>
  <c r="K4146" i="2"/>
  <c r="L4146" i="2" s="1"/>
  <c r="K4147" i="2"/>
  <c r="L4147" i="2" s="1"/>
  <c r="K4148" i="2"/>
  <c r="L4148" i="2" s="1"/>
  <c r="K4149" i="2"/>
  <c r="L4149" i="2" s="1"/>
  <c r="K4150" i="2"/>
  <c r="L4150" i="2" s="1"/>
  <c r="K4151" i="2"/>
  <c r="L4151" i="2" s="1"/>
  <c r="K4152" i="2"/>
  <c r="L4152" i="2" s="1"/>
  <c r="K4153" i="2"/>
  <c r="L4153" i="2" s="1"/>
  <c r="K4154" i="2"/>
  <c r="L4154" i="2" s="1"/>
  <c r="K4155" i="2"/>
  <c r="L4155" i="2" s="1"/>
  <c r="K4156" i="2"/>
  <c r="L4156" i="2" s="1"/>
  <c r="K4157" i="2"/>
  <c r="L4157" i="2" s="1"/>
  <c r="K4158" i="2"/>
  <c r="L4158" i="2" s="1"/>
  <c r="K4159" i="2"/>
  <c r="L4159" i="2" s="1"/>
  <c r="K4160" i="2"/>
  <c r="L4160" i="2" s="1"/>
  <c r="K4161" i="2"/>
  <c r="L4161" i="2" s="1"/>
  <c r="K4162" i="2"/>
  <c r="L4162" i="2" s="1"/>
  <c r="K4163" i="2"/>
  <c r="L4163" i="2" s="1"/>
  <c r="K4164" i="2"/>
  <c r="L4164" i="2" s="1"/>
  <c r="K4165" i="2"/>
  <c r="L4165" i="2" s="1"/>
  <c r="K4166" i="2"/>
  <c r="L4166" i="2" s="1"/>
  <c r="K4167" i="2"/>
  <c r="L4167" i="2" s="1"/>
  <c r="K4168" i="2"/>
  <c r="L4168" i="2" s="1"/>
  <c r="K4169" i="2"/>
  <c r="L4169" i="2" s="1"/>
  <c r="K4170" i="2"/>
  <c r="L4170" i="2" s="1"/>
  <c r="K4171" i="2"/>
  <c r="L4171" i="2" s="1"/>
  <c r="K4172" i="2"/>
  <c r="L4172" i="2" s="1"/>
  <c r="K4173" i="2"/>
  <c r="L4173" i="2" s="1"/>
  <c r="K4174" i="2"/>
  <c r="L4174" i="2" s="1"/>
  <c r="K4175" i="2"/>
  <c r="L4175" i="2" s="1"/>
  <c r="K4176" i="2"/>
  <c r="L4176" i="2" s="1"/>
  <c r="K4177" i="2"/>
  <c r="L4177" i="2" s="1"/>
  <c r="K4178" i="2"/>
  <c r="L4178" i="2" s="1"/>
  <c r="K4179" i="2"/>
  <c r="L4179" i="2" s="1"/>
  <c r="K4180" i="2"/>
  <c r="L4180" i="2" s="1"/>
  <c r="K4181" i="2"/>
  <c r="L4181" i="2" s="1"/>
  <c r="K4182" i="2"/>
  <c r="L4182" i="2" s="1"/>
  <c r="K4183" i="2"/>
  <c r="L4183" i="2" s="1"/>
  <c r="K4184" i="2"/>
  <c r="L4184" i="2" s="1"/>
  <c r="K4185" i="2"/>
  <c r="L4185" i="2" s="1"/>
  <c r="K4186" i="2"/>
  <c r="L4186" i="2" s="1"/>
  <c r="K4187" i="2"/>
  <c r="L4187" i="2" s="1"/>
  <c r="K4188" i="2"/>
  <c r="L4188" i="2" s="1"/>
  <c r="K4189" i="2"/>
  <c r="L4189" i="2" s="1"/>
  <c r="K4190" i="2"/>
  <c r="L4190" i="2" s="1"/>
  <c r="K4191" i="2"/>
  <c r="L4191" i="2" s="1"/>
  <c r="K4192" i="2"/>
  <c r="L4192" i="2" s="1"/>
  <c r="K4193" i="2"/>
  <c r="L4193" i="2" s="1"/>
  <c r="K4194" i="2"/>
  <c r="L4194" i="2" s="1"/>
  <c r="K4195" i="2"/>
  <c r="L4195" i="2" s="1"/>
  <c r="K4196" i="2"/>
  <c r="L4196" i="2" s="1"/>
  <c r="K4197" i="2"/>
  <c r="L4197" i="2" s="1"/>
  <c r="K4198" i="2"/>
  <c r="L4198" i="2" s="1"/>
  <c r="K4199" i="2"/>
  <c r="L4199" i="2" s="1"/>
  <c r="K4200" i="2"/>
  <c r="L4200" i="2" s="1"/>
  <c r="K4201" i="2"/>
  <c r="L4201" i="2" s="1"/>
  <c r="K4202" i="2"/>
  <c r="L4202" i="2" s="1"/>
  <c r="K4203" i="2"/>
  <c r="L4203" i="2" s="1"/>
  <c r="K4204" i="2"/>
  <c r="L4204" i="2" s="1"/>
  <c r="K4205" i="2"/>
  <c r="L4205" i="2" s="1"/>
  <c r="K4206" i="2"/>
  <c r="L4206" i="2" s="1"/>
  <c r="K4207" i="2"/>
  <c r="L4207" i="2" s="1"/>
  <c r="K4208" i="2"/>
  <c r="L4208" i="2" s="1"/>
  <c r="K4209" i="2"/>
  <c r="L4209" i="2" s="1"/>
  <c r="K4210" i="2"/>
  <c r="L4210" i="2" s="1"/>
  <c r="K4211" i="2"/>
  <c r="L4211" i="2" s="1"/>
  <c r="K4212" i="2"/>
  <c r="L4212" i="2" s="1"/>
  <c r="K4213" i="2"/>
  <c r="L4213" i="2" s="1"/>
  <c r="K4214" i="2"/>
  <c r="L4214" i="2" s="1"/>
  <c r="K4215" i="2"/>
  <c r="L4215" i="2" s="1"/>
  <c r="K4216" i="2"/>
  <c r="L4216" i="2" s="1"/>
  <c r="K4217" i="2"/>
  <c r="L4217" i="2" s="1"/>
  <c r="K4218" i="2"/>
  <c r="L4218" i="2" s="1"/>
  <c r="K4219" i="2"/>
  <c r="L4219" i="2" s="1"/>
  <c r="K4220" i="2"/>
  <c r="L4220" i="2" s="1"/>
  <c r="K4221" i="2"/>
  <c r="L4221" i="2" s="1"/>
  <c r="K4222" i="2"/>
  <c r="L4222" i="2" s="1"/>
  <c r="K4223" i="2"/>
  <c r="L4223" i="2" s="1"/>
  <c r="K4224" i="2"/>
  <c r="L4224" i="2" s="1"/>
  <c r="K4225" i="2"/>
  <c r="L4225" i="2" s="1"/>
  <c r="K4226" i="2"/>
  <c r="L4226" i="2" s="1"/>
  <c r="K4227" i="2"/>
  <c r="L4227" i="2" s="1"/>
  <c r="K4228" i="2"/>
  <c r="L4228" i="2" s="1"/>
  <c r="K4229" i="2"/>
  <c r="L4229" i="2" s="1"/>
  <c r="K4230" i="2"/>
  <c r="L4230" i="2" s="1"/>
  <c r="K4231" i="2"/>
  <c r="L4231" i="2" s="1"/>
  <c r="K4232" i="2"/>
  <c r="L4232" i="2" s="1"/>
  <c r="K4233" i="2"/>
  <c r="L4233" i="2" s="1"/>
  <c r="K4234" i="2"/>
  <c r="L4234" i="2" s="1"/>
  <c r="K4235" i="2"/>
  <c r="L4235" i="2" s="1"/>
  <c r="K4236" i="2"/>
  <c r="L4236" i="2" s="1"/>
  <c r="K4237" i="2"/>
  <c r="L4237" i="2" s="1"/>
  <c r="K4238" i="2"/>
  <c r="L4238" i="2" s="1"/>
  <c r="K4239" i="2"/>
  <c r="L4239" i="2" s="1"/>
  <c r="K4240" i="2"/>
  <c r="L4240" i="2" s="1"/>
  <c r="K4241" i="2"/>
  <c r="L4241" i="2" s="1"/>
  <c r="K4242" i="2"/>
  <c r="L4242" i="2" s="1"/>
  <c r="K4243" i="2"/>
  <c r="L4243" i="2" s="1"/>
  <c r="K4244" i="2"/>
  <c r="L4244" i="2" s="1"/>
  <c r="K4245" i="2"/>
  <c r="L4245" i="2" s="1"/>
  <c r="K4246" i="2"/>
  <c r="L4246" i="2" s="1"/>
  <c r="K4247" i="2"/>
  <c r="L4247" i="2" s="1"/>
  <c r="K4248" i="2"/>
  <c r="L4248" i="2" s="1"/>
  <c r="K4249" i="2"/>
  <c r="L4249" i="2" s="1"/>
  <c r="K4250" i="2"/>
  <c r="L4250" i="2" s="1"/>
  <c r="K4251" i="2"/>
  <c r="L4251" i="2" s="1"/>
  <c r="K4252" i="2"/>
  <c r="L4252" i="2" s="1"/>
  <c r="K4253" i="2"/>
  <c r="L4253" i="2" s="1"/>
  <c r="K4254" i="2"/>
  <c r="L4254" i="2" s="1"/>
  <c r="K4255" i="2"/>
  <c r="L4255" i="2" s="1"/>
  <c r="K4256" i="2"/>
  <c r="L4256" i="2" s="1"/>
  <c r="K4257" i="2"/>
  <c r="L4257" i="2" s="1"/>
  <c r="K4258" i="2"/>
  <c r="L4258" i="2" s="1"/>
  <c r="K4259" i="2"/>
  <c r="L4259" i="2" s="1"/>
  <c r="K4260" i="2"/>
  <c r="L4260" i="2" s="1"/>
  <c r="K4261" i="2"/>
  <c r="L4261" i="2" s="1"/>
  <c r="K4262" i="2"/>
  <c r="L4262" i="2" s="1"/>
  <c r="K4263" i="2"/>
  <c r="L4263" i="2" s="1"/>
  <c r="K4264" i="2"/>
  <c r="L4264" i="2" s="1"/>
  <c r="K4265" i="2"/>
  <c r="L4265" i="2" s="1"/>
  <c r="K4266" i="2"/>
  <c r="L4266" i="2" s="1"/>
  <c r="K4267" i="2"/>
  <c r="L4267" i="2" s="1"/>
  <c r="K4268" i="2"/>
  <c r="L4268" i="2" s="1"/>
  <c r="K4269" i="2"/>
  <c r="L4269" i="2" s="1"/>
  <c r="K4270" i="2"/>
  <c r="L4270" i="2" s="1"/>
  <c r="K4271" i="2"/>
  <c r="L4271" i="2" s="1"/>
  <c r="K4272" i="2"/>
  <c r="L4272" i="2" s="1"/>
  <c r="K4273" i="2"/>
  <c r="L4273" i="2" s="1"/>
  <c r="K4274" i="2"/>
  <c r="L4274" i="2" s="1"/>
  <c r="K4275" i="2"/>
  <c r="L4275" i="2" s="1"/>
  <c r="K4276" i="2"/>
  <c r="L4276" i="2" s="1"/>
  <c r="K4277" i="2"/>
  <c r="L4277" i="2" s="1"/>
  <c r="K4278" i="2"/>
  <c r="L4278" i="2" s="1"/>
  <c r="K4279" i="2"/>
  <c r="L4279" i="2" s="1"/>
  <c r="K4280" i="2"/>
  <c r="L4280" i="2" s="1"/>
  <c r="K4281" i="2"/>
  <c r="L4281" i="2" s="1"/>
  <c r="K4282" i="2"/>
  <c r="L4282" i="2" s="1"/>
  <c r="K4283" i="2"/>
  <c r="L4283" i="2" s="1"/>
  <c r="K4284" i="2"/>
  <c r="L4284" i="2" s="1"/>
  <c r="K4285" i="2"/>
  <c r="L4285" i="2" s="1"/>
  <c r="K4286" i="2"/>
  <c r="L4286" i="2" s="1"/>
  <c r="K4287" i="2"/>
  <c r="L4287" i="2" s="1"/>
  <c r="K4288" i="2"/>
  <c r="L4288" i="2" s="1"/>
  <c r="K4289" i="2"/>
  <c r="L4289" i="2" s="1"/>
  <c r="K4290" i="2"/>
  <c r="L4290" i="2" s="1"/>
  <c r="K4291" i="2"/>
  <c r="L4291" i="2" s="1"/>
  <c r="K4292" i="2"/>
  <c r="L4292" i="2" s="1"/>
  <c r="K4293" i="2"/>
  <c r="L4293" i="2" s="1"/>
  <c r="K4294" i="2"/>
  <c r="L4294" i="2" s="1"/>
  <c r="K4295" i="2"/>
  <c r="L4295" i="2" s="1"/>
  <c r="K4296" i="2"/>
  <c r="L4296" i="2" s="1"/>
  <c r="K4297" i="2"/>
  <c r="L4297" i="2" s="1"/>
  <c r="K4298" i="2"/>
  <c r="L4298" i="2" s="1"/>
  <c r="K4299" i="2"/>
  <c r="L4299" i="2" s="1"/>
  <c r="K4300" i="2"/>
  <c r="L4300" i="2" s="1"/>
  <c r="K4301" i="2"/>
  <c r="L4301" i="2" s="1"/>
  <c r="K4302" i="2"/>
  <c r="L4302" i="2" s="1"/>
  <c r="K4303" i="2"/>
  <c r="L4303" i="2" s="1"/>
  <c r="K4304" i="2"/>
  <c r="L4304" i="2" s="1"/>
  <c r="K4305" i="2"/>
  <c r="L4305" i="2" s="1"/>
  <c r="K4306" i="2"/>
  <c r="L4306" i="2" s="1"/>
  <c r="K4307" i="2"/>
  <c r="L4307" i="2" s="1"/>
  <c r="K4308" i="2"/>
  <c r="L4308" i="2" s="1"/>
  <c r="K4309" i="2"/>
  <c r="L4309" i="2" s="1"/>
  <c r="K4310" i="2"/>
  <c r="L4310" i="2" s="1"/>
  <c r="K4311" i="2"/>
  <c r="L4311" i="2" s="1"/>
  <c r="K4312" i="2"/>
  <c r="L4312" i="2" s="1"/>
  <c r="K4313" i="2"/>
  <c r="L4313" i="2" s="1"/>
  <c r="K4314" i="2"/>
  <c r="L4314" i="2" s="1"/>
  <c r="K4315" i="2"/>
  <c r="L4315" i="2" s="1"/>
  <c r="K4316" i="2"/>
  <c r="L4316" i="2" s="1"/>
  <c r="K4317" i="2"/>
  <c r="L4317" i="2" s="1"/>
  <c r="K4318" i="2"/>
  <c r="L4318" i="2" s="1"/>
  <c r="K4319" i="2"/>
  <c r="L4319" i="2" s="1"/>
  <c r="K4320" i="2"/>
  <c r="L4320" i="2" s="1"/>
  <c r="K4321" i="2"/>
  <c r="L4321" i="2" s="1"/>
  <c r="K4322" i="2"/>
  <c r="L4322" i="2" s="1"/>
  <c r="K4323" i="2"/>
  <c r="L4323" i="2" s="1"/>
  <c r="K4324" i="2"/>
  <c r="L4324" i="2" s="1"/>
  <c r="K4325" i="2"/>
  <c r="L4325" i="2" s="1"/>
  <c r="K4326" i="2"/>
  <c r="L4326" i="2" s="1"/>
  <c r="K4327" i="2"/>
  <c r="L4327" i="2" s="1"/>
  <c r="K4328" i="2"/>
  <c r="L4328" i="2" s="1"/>
  <c r="K4329" i="2"/>
  <c r="L4329" i="2" s="1"/>
  <c r="K4330" i="2"/>
  <c r="L4330" i="2" s="1"/>
  <c r="K4331" i="2"/>
  <c r="L4331" i="2" s="1"/>
  <c r="K4332" i="2"/>
  <c r="L4332" i="2" s="1"/>
  <c r="K4333" i="2"/>
  <c r="L4333" i="2" s="1"/>
  <c r="K4334" i="2"/>
  <c r="L4334" i="2" s="1"/>
  <c r="K4335" i="2"/>
  <c r="L4335" i="2" s="1"/>
  <c r="K4336" i="2"/>
  <c r="L4336" i="2" s="1"/>
  <c r="K4337" i="2"/>
  <c r="L4337" i="2" s="1"/>
  <c r="K4338" i="2"/>
  <c r="L4338" i="2" s="1"/>
  <c r="K4339" i="2"/>
  <c r="L4339" i="2" s="1"/>
  <c r="K4340" i="2"/>
  <c r="L4340" i="2" s="1"/>
  <c r="K4341" i="2"/>
  <c r="L4341" i="2" s="1"/>
  <c r="K4342" i="2"/>
  <c r="L4342" i="2" s="1"/>
  <c r="K4343" i="2"/>
  <c r="L4343" i="2" s="1"/>
  <c r="K4344" i="2"/>
  <c r="L4344" i="2" s="1"/>
  <c r="K4345" i="2"/>
  <c r="L4345" i="2" s="1"/>
  <c r="K4346" i="2"/>
  <c r="L4346" i="2" s="1"/>
  <c r="K4347" i="2"/>
  <c r="L4347" i="2" s="1"/>
  <c r="K4348" i="2"/>
  <c r="L4348" i="2" s="1"/>
  <c r="K4349" i="2"/>
  <c r="L4349" i="2" s="1"/>
  <c r="K4350" i="2"/>
  <c r="L4350" i="2" s="1"/>
  <c r="K4351" i="2"/>
  <c r="L4351" i="2" s="1"/>
  <c r="K4352" i="2"/>
  <c r="L4352" i="2" s="1"/>
  <c r="K4353" i="2"/>
  <c r="L4353" i="2" s="1"/>
  <c r="K4354" i="2"/>
  <c r="L4354" i="2" s="1"/>
  <c r="K4355" i="2"/>
  <c r="L4355" i="2" s="1"/>
  <c r="K4356" i="2"/>
  <c r="L4356" i="2" s="1"/>
  <c r="K4357" i="2"/>
  <c r="L4357" i="2" s="1"/>
  <c r="K4358" i="2"/>
  <c r="L4358" i="2" s="1"/>
  <c r="K4359" i="2"/>
  <c r="L4359" i="2" s="1"/>
  <c r="K4360" i="2"/>
  <c r="L4360" i="2" s="1"/>
  <c r="K4361" i="2"/>
  <c r="L4361" i="2" s="1"/>
  <c r="K4362" i="2"/>
  <c r="L4362" i="2" s="1"/>
  <c r="K4363" i="2"/>
  <c r="L4363" i="2" s="1"/>
  <c r="K4364" i="2"/>
  <c r="L4364" i="2" s="1"/>
  <c r="K4365" i="2"/>
  <c r="L4365" i="2" s="1"/>
  <c r="K4366" i="2"/>
  <c r="L4366" i="2" s="1"/>
  <c r="K4367" i="2"/>
  <c r="L4367" i="2" s="1"/>
  <c r="K4368" i="2"/>
  <c r="L4368" i="2" s="1"/>
  <c r="K4369" i="2"/>
  <c r="L4369" i="2" s="1"/>
  <c r="K4370" i="2"/>
  <c r="L4370" i="2" s="1"/>
  <c r="K4371" i="2"/>
  <c r="L4371" i="2" s="1"/>
  <c r="K4372" i="2"/>
  <c r="L4372" i="2" s="1"/>
  <c r="K4373" i="2"/>
  <c r="L4373" i="2" s="1"/>
  <c r="K4374" i="2"/>
  <c r="L4374" i="2" s="1"/>
  <c r="K4375" i="2"/>
  <c r="L4375" i="2" s="1"/>
  <c r="K4376" i="2"/>
  <c r="L4376" i="2" s="1"/>
  <c r="K4377" i="2"/>
  <c r="L4377" i="2" s="1"/>
  <c r="K4378" i="2"/>
  <c r="L4378" i="2" s="1"/>
  <c r="K4379" i="2"/>
  <c r="L4379" i="2" s="1"/>
  <c r="K4380" i="2"/>
  <c r="L4380" i="2" s="1"/>
  <c r="K4381" i="2"/>
  <c r="L4381" i="2" s="1"/>
  <c r="K4382" i="2"/>
  <c r="L4382" i="2" s="1"/>
  <c r="K4383" i="2"/>
  <c r="L4383" i="2" s="1"/>
  <c r="K4384" i="2"/>
  <c r="L4384" i="2" s="1"/>
  <c r="K4385" i="2"/>
  <c r="L4385" i="2" s="1"/>
  <c r="K4386" i="2"/>
  <c r="L4386" i="2" s="1"/>
  <c r="K4387" i="2"/>
  <c r="L4387" i="2" s="1"/>
  <c r="K4388" i="2"/>
  <c r="L4388" i="2" s="1"/>
  <c r="K4389" i="2"/>
  <c r="L4389" i="2" s="1"/>
  <c r="K4390" i="2"/>
  <c r="L4390" i="2" s="1"/>
  <c r="K4391" i="2"/>
  <c r="L4391" i="2" s="1"/>
  <c r="K4392" i="2"/>
  <c r="L4392" i="2" s="1"/>
  <c r="K4393" i="2"/>
  <c r="L4393" i="2" s="1"/>
  <c r="K4394" i="2"/>
  <c r="L4394" i="2" s="1"/>
  <c r="K4395" i="2"/>
  <c r="L4395" i="2" s="1"/>
  <c r="K4396" i="2"/>
  <c r="L4396" i="2" s="1"/>
  <c r="K4397" i="2"/>
  <c r="L4397" i="2" s="1"/>
  <c r="K4398" i="2"/>
  <c r="L4398" i="2" s="1"/>
  <c r="K4399" i="2"/>
  <c r="L4399" i="2" s="1"/>
  <c r="K4400" i="2"/>
  <c r="L4400" i="2" s="1"/>
  <c r="K4401" i="2"/>
  <c r="L4401" i="2" s="1"/>
  <c r="K4402" i="2"/>
  <c r="L4402" i="2" s="1"/>
  <c r="K4403" i="2"/>
  <c r="L4403" i="2" s="1"/>
  <c r="K4404" i="2"/>
  <c r="L4404" i="2" s="1"/>
  <c r="K4405" i="2"/>
  <c r="L4405" i="2" s="1"/>
  <c r="K4406" i="2"/>
  <c r="L4406" i="2" s="1"/>
  <c r="K4407" i="2"/>
  <c r="L4407" i="2" s="1"/>
  <c r="K4408" i="2"/>
  <c r="L4408" i="2" s="1"/>
  <c r="K4409" i="2"/>
  <c r="L4409" i="2" s="1"/>
  <c r="K4410" i="2"/>
  <c r="L4410" i="2" s="1"/>
  <c r="K4411" i="2"/>
  <c r="L4411" i="2" s="1"/>
  <c r="K4412" i="2"/>
  <c r="L4412" i="2" s="1"/>
  <c r="K4413" i="2"/>
  <c r="L4413" i="2" s="1"/>
  <c r="K4414" i="2"/>
  <c r="L4414" i="2" s="1"/>
  <c r="K4415" i="2"/>
  <c r="L4415" i="2" s="1"/>
  <c r="K4416" i="2"/>
  <c r="L4416" i="2" s="1"/>
  <c r="K4417" i="2"/>
  <c r="L4417" i="2" s="1"/>
  <c r="K4418" i="2"/>
  <c r="L4418" i="2" s="1"/>
  <c r="K4419" i="2"/>
  <c r="L4419" i="2" s="1"/>
  <c r="K4420" i="2"/>
  <c r="L4420" i="2" s="1"/>
  <c r="K4421" i="2"/>
  <c r="L4421" i="2" s="1"/>
  <c r="K4422" i="2"/>
  <c r="L4422" i="2" s="1"/>
  <c r="K4423" i="2"/>
  <c r="L4423" i="2" s="1"/>
  <c r="K4424" i="2"/>
  <c r="L4424" i="2" s="1"/>
  <c r="K4425" i="2"/>
  <c r="L4425" i="2" s="1"/>
  <c r="K4426" i="2"/>
  <c r="L4426" i="2" s="1"/>
  <c r="K4427" i="2"/>
  <c r="L4427" i="2" s="1"/>
  <c r="K4428" i="2"/>
  <c r="L4428" i="2" s="1"/>
  <c r="K4429" i="2"/>
  <c r="L4429" i="2" s="1"/>
  <c r="K4430" i="2"/>
  <c r="L4430" i="2" s="1"/>
  <c r="K4431" i="2"/>
  <c r="L4431" i="2" s="1"/>
  <c r="K4432" i="2"/>
  <c r="L4432" i="2" s="1"/>
  <c r="K4433" i="2"/>
  <c r="L4433" i="2" s="1"/>
  <c r="K4434" i="2"/>
  <c r="L4434" i="2" s="1"/>
  <c r="K4435" i="2"/>
  <c r="L4435" i="2" s="1"/>
  <c r="K4436" i="2"/>
  <c r="L4436" i="2" s="1"/>
  <c r="K4437" i="2"/>
  <c r="L4437" i="2" s="1"/>
  <c r="K4438" i="2"/>
  <c r="L4438" i="2" s="1"/>
  <c r="K4439" i="2"/>
  <c r="L4439" i="2" s="1"/>
  <c r="K4440" i="2"/>
  <c r="L4440" i="2" s="1"/>
  <c r="K4441" i="2"/>
  <c r="L4441" i="2" s="1"/>
  <c r="K4442" i="2"/>
  <c r="L4442" i="2" s="1"/>
  <c r="K4443" i="2"/>
  <c r="L4443" i="2" s="1"/>
  <c r="K4444" i="2"/>
  <c r="L4444" i="2" s="1"/>
  <c r="K4445" i="2"/>
  <c r="L4445" i="2" s="1"/>
  <c r="K4446" i="2"/>
  <c r="L4446" i="2" s="1"/>
  <c r="K4447" i="2"/>
  <c r="L4447" i="2" s="1"/>
  <c r="K4448" i="2"/>
  <c r="L4448" i="2" s="1"/>
  <c r="K4449" i="2"/>
  <c r="L4449" i="2" s="1"/>
  <c r="K4450" i="2"/>
  <c r="L4450" i="2" s="1"/>
  <c r="K4451" i="2"/>
  <c r="L4451" i="2" s="1"/>
  <c r="K4452" i="2"/>
  <c r="L4452" i="2" s="1"/>
  <c r="K4453" i="2"/>
  <c r="L4453" i="2" s="1"/>
  <c r="K4454" i="2"/>
  <c r="L4454" i="2" s="1"/>
  <c r="K4455" i="2"/>
  <c r="L4455" i="2" s="1"/>
  <c r="K4456" i="2"/>
  <c r="L4456" i="2" s="1"/>
  <c r="K4457" i="2"/>
  <c r="L4457" i="2" s="1"/>
  <c r="K4458" i="2"/>
  <c r="L4458" i="2" s="1"/>
  <c r="K4459" i="2"/>
  <c r="L4459" i="2" s="1"/>
  <c r="K4460" i="2"/>
  <c r="L4460" i="2" s="1"/>
  <c r="K4461" i="2"/>
  <c r="L4461" i="2" s="1"/>
  <c r="K4462" i="2"/>
  <c r="L4462" i="2" s="1"/>
  <c r="K4463" i="2"/>
  <c r="L4463" i="2" s="1"/>
  <c r="K4464" i="2"/>
  <c r="L4464" i="2" s="1"/>
  <c r="K4465" i="2"/>
  <c r="L4465" i="2" s="1"/>
  <c r="K4466" i="2"/>
  <c r="L4466" i="2" s="1"/>
  <c r="K4467" i="2"/>
  <c r="L4467" i="2" s="1"/>
  <c r="K4468" i="2"/>
  <c r="L4468" i="2" s="1"/>
  <c r="K4469" i="2"/>
  <c r="L4469" i="2" s="1"/>
  <c r="K4470" i="2"/>
  <c r="L4470" i="2" s="1"/>
  <c r="K4471" i="2"/>
  <c r="L4471" i="2" s="1"/>
  <c r="K4472" i="2"/>
  <c r="L4472" i="2" s="1"/>
  <c r="K4473" i="2"/>
  <c r="L4473" i="2" s="1"/>
  <c r="K4474" i="2"/>
  <c r="L4474" i="2" s="1"/>
  <c r="K4475" i="2"/>
  <c r="L4475" i="2" s="1"/>
  <c r="K4476" i="2"/>
  <c r="L4476" i="2" s="1"/>
  <c r="K4477" i="2"/>
  <c r="L4477" i="2" s="1"/>
  <c r="K4478" i="2"/>
  <c r="L4478" i="2" s="1"/>
  <c r="K4479" i="2"/>
  <c r="L4479" i="2" s="1"/>
  <c r="K4480" i="2"/>
  <c r="L4480" i="2" s="1"/>
  <c r="K4481" i="2"/>
  <c r="L4481" i="2" s="1"/>
  <c r="K4482" i="2"/>
  <c r="L4482" i="2" s="1"/>
  <c r="K4483" i="2"/>
  <c r="L4483" i="2" s="1"/>
  <c r="K4484" i="2"/>
  <c r="L4484" i="2" s="1"/>
  <c r="K4485" i="2"/>
  <c r="L4485" i="2" s="1"/>
  <c r="K4486" i="2"/>
  <c r="L4486" i="2" s="1"/>
  <c r="K4487" i="2"/>
  <c r="L4487" i="2" s="1"/>
  <c r="K4488" i="2"/>
  <c r="L4488" i="2" s="1"/>
  <c r="K4489" i="2"/>
  <c r="L4489" i="2" s="1"/>
  <c r="K4490" i="2"/>
  <c r="L4490" i="2" s="1"/>
  <c r="K4491" i="2"/>
  <c r="L4491" i="2" s="1"/>
  <c r="K4492" i="2"/>
  <c r="L4492" i="2" s="1"/>
  <c r="K4493" i="2"/>
  <c r="L4493" i="2" s="1"/>
  <c r="K4494" i="2"/>
  <c r="L4494" i="2" s="1"/>
  <c r="K4495" i="2"/>
  <c r="L4495" i="2" s="1"/>
  <c r="K4496" i="2"/>
  <c r="L4496" i="2" s="1"/>
  <c r="K4497" i="2"/>
  <c r="L4497" i="2" s="1"/>
  <c r="K4498" i="2"/>
  <c r="L4498" i="2" s="1"/>
  <c r="K4499" i="2"/>
  <c r="L4499" i="2" s="1"/>
  <c r="K4500" i="2"/>
  <c r="L4500" i="2" s="1"/>
  <c r="K4501" i="2"/>
  <c r="L4501" i="2" s="1"/>
  <c r="K4502" i="2"/>
  <c r="L4502" i="2" s="1"/>
  <c r="K4503" i="2"/>
  <c r="L4503" i="2" s="1"/>
  <c r="K4504" i="2"/>
  <c r="L4504" i="2" s="1"/>
  <c r="K4505" i="2"/>
  <c r="L4505" i="2" s="1"/>
  <c r="K4506" i="2"/>
  <c r="L4506" i="2" s="1"/>
  <c r="K4507" i="2"/>
  <c r="L4507" i="2" s="1"/>
  <c r="K4508" i="2"/>
  <c r="L4508" i="2" s="1"/>
  <c r="K4509" i="2"/>
  <c r="L4509" i="2" s="1"/>
  <c r="K4510" i="2"/>
  <c r="L4510" i="2" s="1"/>
  <c r="K4511" i="2"/>
  <c r="L4511" i="2" s="1"/>
  <c r="K4512" i="2"/>
  <c r="L4512" i="2" s="1"/>
  <c r="K4513" i="2"/>
  <c r="L4513" i="2" s="1"/>
  <c r="K4514" i="2"/>
  <c r="L4514" i="2" s="1"/>
  <c r="K4515" i="2"/>
  <c r="L4515" i="2" s="1"/>
  <c r="K4516" i="2"/>
  <c r="L4516" i="2" s="1"/>
  <c r="K4517" i="2"/>
  <c r="L4517" i="2" s="1"/>
  <c r="K4518" i="2"/>
  <c r="L4518" i="2" s="1"/>
  <c r="K4519" i="2"/>
  <c r="L4519" i="2" s="1"/>
  <c r="K4520" i="2"/>
  <c r="L4520" i="2" s="1"/>
  <c r="K4521" i="2"/>
  <c r="L4521" i="2" s="1"/>
  <c r="K4522" i="2"/>
  <c r="L4522" i="2" s="1"/>
  <c r="K4523" i="2"/>
  <c r="L4523" i="2" s="1"/>
  <c r="K4524" i="2"/>
  <c r="L4524" i="2" s="1"/>
  <c r="K4525" i="2"/>
  <c r="L4525" i="2" s="1"/>
  <c r="K4526" i="2"/>
  <c r="L4526" i="2" s="1"/>
  <c r="K4527" i="2"/>
  <c r="L4527" i="2" s="1"/>
  <c r="K4528" i="2"/>
  <c r="L4528" i="2" s="1"/>
  <c r="K4529" i="2"/>
  <c r="L4529" i="2" s="1"/>
  <c r="K4530" i="2"/>
  <c r="L4530" i="2" s="1"/>
  <c r="K4531" i="2"/>
  <c r="L4531" i="2" s="1"/>
  <c r="K4532" i="2"/>
  <c r="L4532" i="2" s="1"/>
  <c r="K4533" i="2"/>
  <c r="L4533" i="2" s="1"/>
  <c r="K4534" i="2"/>
  <c r="L4534" i="2" s="1"/>
  <c r="K4535" i="2"/>
  <c r="L4535" i="2" s="1"/>
  <c r="K4536" i="2"/>
  <c r="L4536" i="2" s="1"/>
  <c r="K4537" i="2"/>
  <c r="L4537" i="2" s="1"/>
  <c r="K4538" i="2"/>
  <c r="L4538" i="2" s="1"/>
  <c r="K4539" i="2"/>
  <c r="L4539" i="2" s="1"/>
  <c r="K4540" i="2"/>
  <c r="L4540" i="2" s="1"/>
  <c r="K4541" i="2"/>
  <c r="L4541" i="2" s="1"/>
  <c r="K4542" i="2"/>
  <c r="L4542" i="2" s="1"/>
  <c r="K4543" i="2"/>
  <c r="L4543" i="2" s="1"/>
  <c r="K4544" i="2"/>
  <c r="L4544" i="2" s="1"/>
  <c r="K4545" i="2"/>
  <c r="L4545" i="2" s="1"/>
  <c r="K4546" i="2"/>
  <c r="L4546" i="2" s="1"/>
  <c r="K4547" i="2"/>
  <c r="L4547" i="2" s="1"/>
  <c r="K4548" i="2"/>
  <c r="L4548" i="2" s="1"/>
  <c r="K4549" i="2"/>
  <c r="L4549" i="2" s="1"/>
  <c r="K4550" i="2"/>
  <c r="L4550" i="2" s="1"/>
  <c r="K4551" i="2"/>
  <c r="L4551" i="2" s="1"/>
  <c r="K4552" i="2"/>
  <c r="L4552" i="2" s="1"/>
  <c r="K4553" i="2"/>
  <c r="L4553" i="2" s="1"/>
  <c r="K4554" i="2"/>
  <c r="L4554" i="2" s="1"/>
  <c r="K4555" i="2"/>
  <c r="L4555" i="2" s="1"/>
  <c r="K4556" i="2"/>
  <c r="L4556" i="2" s="1"/>
  <c r="K4557" i="2"/>
  <c r="L4557" i="2" s="1"/>
  <c r="K4558" i="2"/>
  <c r="L4558" i="2" s="1"/>
  <c r="K4559" i="2"/>
  <c r="L4559" i="2" s="1"/>
  <c r="K4560" i="2"/>
  <c r="L4560" i="2" s="1"/>
  <c r="K4561" i="2"/>
  <c r="L4561" i="2" s="1"/>
  <c r="K4562" i="2"/>
  <c r="L4562" i="2" s="1"/>
  <c r="K4563" i="2"/>
  <c r="L4563" i="2" s="1"/>
  <c r="K4564" i="2"/>
  <c r="L4564" i="2" s="1"/>
  <c r="K4565" i="2"/>
  <c r="L4565" i="2" s="1"/>
  <c r="K4566" i="2"/>
  <c r="L4566" i="2" s="1"/>
  <c r="K4567" i="2"/>
  <c r="L4567" i="2" s="1"/>
  <c r="K4568" i="2"/>
  <c r="L4568" i="2" s="1"/>
  <c r="K4569" i="2"/>
  <c r="L4569" i="2" s="1"/>
  <c r="K4570" i="2"/>
  <c r="L4570" i="2" s="1"/>
  <c r="K4571" i="2"/>
  <c r="L4571" i="2" s="1"/>
  <c r="K4572" i="2"/>
  <c r="L4572" i="2" s="1"/>
  <c r="K4573" i="2"/>
  <c r="L4573" i="2" s="1"/>
  <c r="K4574" i="2"/>
  <c r="L4574" i="2" s="1"/>
  <c r="K4575" i="2"/>
  <c r="L4575" i="2" s="1"/>
  <c r="K4576" i="2"/>
  <c r="L4576" i="2" s="1"/>
  <c r="K4577" i="2"/>
  <c r="L4577" i="2" s="1"/>
  <c r="K4578" i="2"/>
  <c r="L4578" i="2" s="1"/>
  <c r="K4579" i="2"/>
  <c r="L4579" i="2" s="1"/>
  <c r="K4580" i="2"/>
  <c r="L4580" i="2" s="1"/>
  <c r="K4581" i="2"/>
  <c r="L4581" i="2" s="1"/>
  <c r="K4582" i="2"/>
  <c r="L4582" i="2" s="1"/>
  <c r="K4583" i="2"/>
  <c r="L4583" i="2" s="1"/>
  <c r="K4584" i="2"/>
  <c r="L4584" i="2" s="1"/>
  <c r="K4585" i="2"/>
  <c r="L4585" i="2" s="1"/>
  <c r="K4586" i="2"/>
  <c r="L4586" i="2" s="1"/>
  <c r="K4587" i="2"/>
  <c r="L4587" i="2" s="1"/>
  <c r="K4588" i="2"/>
  <c r="L4588" i="2" s="1"/>
  <c r="K4589" i="2"/>
  <c r="L4589" i="2" s="1"/>
  <c r="K4590" i="2"/>
  <c r="L4590" i="2" s="1"/>
  <c r="K4591" i="2"/>
  <c r="L4591" i="2" s="1"/>
  <c r="K4592" i="2"/>
  <c r="L4592" i="2" s="1"/>
  <c r="K4593" i="2"/>
  <c r="L4593" i="2" s="1"/>
  <c r="K4594" i="2"/>
  <c r="L4594" i="2" s="1"/>
  <c r="K4595" i="2"/>
  <c r="L4595" i="2" s="1"/>
  <c r="K4596" i="2"/>
  <c r="L4596" i="2" s="1"/>
  <c r="K4597" i="2"/>
  <c r="L4597" i="2" s="1"/>
  <c r="K4598" i="2"/>
  <c r="L4598" i="2" s="1"/>
  <c r="K4599" i="2"/>
  <c r="L4599" i="2" s="1"/>
  <c r="K4600" i="2"/>
  <c r="L4600" i="2" s="1"/>
  <c r="K4601" i="2"/>
  <c r="L4601" i="2" s="1"/>
  <c r="K4602" i="2"/>
  <c r="L4602" i="2" s="1"/>
  <c r="K4603" i="2"/>
  <c r="L4603" i="2" s="1"/>
  <c r="K4604" i="2"/>
  <c r="L4604" i="2" s="1"/>
  <c r="K4605" i="2"/>
  <c r="L4605" i="2" s="1"/>
  <c r="K4606" i="2"/>
  <c r="L4606" i="2" s="1"/>
  <c r="K4607" i="2"/>
  <c r="L4607" i="2" s="1"/>
  <c r="K4608" i="2"/>
  <c r="L4608" i="2" s="1"/>
  <c r="K4609" i="2"/>
  <c r="L4609" i="2" s="1"/>
  <c r="K4610" i="2"/>
  <c r="L4610" i="2" s="1"/>
  <c r="K4611" i="2"/>
  <c r="L4611" i="2" s="1"/>
  <c r="K4612" i="2"/>
  <c r="L4612" i="2" s="1"/>
  <c r="K4613" i="2"/>
  <c r="L4613" i="2" s="1"/>
  <c r="K4614" i="2"/>
  <c r="L4614" i="2" s="1"/>
  <c r="K4615" i="2"/>
  <c r="L4615" i="2" s="1"/>
  <c r="K4616" i="2"/>
  <c r="L4616" i="2" s="1"/>
  <c r="K4617" i="2"/>
  <c r="L4617" i="2" s="1"/>
  <c r="K4618" i="2"/>
  <c r="L4618" i="2" s="1"/>
  <c r="K4619" i="2"/>
  <c r="L4619" i="2" s="1"/>
  <c r="K4620" i="2"/>
  <c r="L4620" i="2" s="1"/>
  <c r="K4621" i="2"/>
  <c r="L4621" i="2" s="1"/>
  <c r="K4622" i="2"/>
  <c r="L4622" i="2" s="1"/>
  <c r="K4623" i="2"/>
  <c r="L4623" i="2" s="1"/>
  <c r="K4624" i="2"/>
  <c r="L4624" i="2" s="1"/>
  <c r="K4625" i="2"/>
  <c r="L4625" i="2" s="1"/>
  <c r="K4626" i="2"/>
  <c r="L4626" i="2" s="1"/>
  <c r="K4627" i="2"/>
  <c r="L4627" i="2" s="1"/>
  <c r="K4628" i="2"/>
  <c r="L4628" i="2" s="1"/>
  <c r="K4629" i="2"/>
  <c r="L4629" i="2" s="1"/>
  <c r="K4630" i="2"/>
  <c r="L4630" i="2" s="1"/>
  <c r="K4631" i="2"/>
  <c r="L4631" i="2" s="1"/>
  <c r="K4632" i="2"/>
  <c r="L4632" i="2" s="1"/>
  <c r="K4633" i="2"/>
  <c r="L4633" i="2" s="1"/>
  <c r="K4634" i="2"/>
  <c r="L4634" i="2" s="1"/>
  <c r="K4635" i="2"/>
  <c r="L4635" i="2" s="1"/>
  <c r="K4636" i="2"/>
  <c r="L4636" i="2" s="1"/>
  <c r="K4637" i="2"/>
  <c r="L4637" i="2" s="1"/>
  <c r="K4638" i="2"/>
  <c r="L4638" i="2" s="1"/>
  <c r="K4639" i="2"/>
  <c r="L4639" i="2" s="1"/>
  <c r="K4640" i="2"/>
  <c r="L4640" i="2" s="1"/>
  <c r="K4641" i="2"/>
  <c r="L4641" i="2" s="1"/>
  <c r="K4642" i="2"/>
  <c r="L4642" i="2" s="1"/>
  <c r="K4643" i="2"/>
  <c r="L4643" i="2" s="1"/>
  <c r="K4644" i="2"/>
  <c r="L4644" i="2" s="1"/>
  <c r="K4645" i="2"/>
  <c r="L4645" i="2" s="1"/>
  <c r="K4646" i="2"/>
  <c r="L4646" i="2" s="1"/>
  <c r="K4647" i="2"/>
  <c r="L4647" i="2" s="1"/>
  <c r="K4648" i="2"/>
  <c r="L4648" i="2" s="1"/>
  <c r="K4649" i="2"/>
  <c r="L4649" i="2" s="1"/>
  <c r="K4650" i="2"/>
  <c r="L4650" i="2" s="1"/>
  <c r="K4651" i="2"/>
  <c r="L4651" i="2" s="1"/>
  <c r="K4652" i="2"/>
  <c r="L4652" i="2" s="1"/>
  <c r="K4653" i="2"/>
  <c r="L4653" i="2" s="1"/>
  <c r="K4654" i="2"/>
  <c r="L4654" i="2" s="1"/>
  <c r="K4655" i="2"/>
  <c r="L4655" i="2" s="1"/>
  <c r="K4656" i="2"/>
  <c r="L4656" i="2" s="1"/>
  <c r="K4657" i="2"/>
  <c r="L4657" i="2" s="1"/>
  <c r="K4658" i="2"/>
  <c r="L4658" i="2" s="1"/>
  <c r="K4659" i="2"/>
  <c r="L4659" i="2" s="1"/>
  <c r="K4660" i="2"/>
  <c r="L4660" i="2" s="1"/>
  <c r="K4661" i="2"/>
  <c r="L4661" i="2" s="1"/>
  <c r="K4662" i="2"/>
  <c r="L4662" i="2" s="1"/>
  <c r="K4663" i="2"/>
  <c r="L4663" i="2" s="1"/>
  <c r="K4664" i="2"/>
  <c r="L4664" i="2" s="1"/>
  <c r="K4665" i="2"/>
  <c r="L4665" i="2" s="1"/>
  <c r="K4666" i="2"/>
  <c r="L4666" i="2" s="1"/>
  <c r="K4667" i="2"/>
  <c r="L4667" i="2" s="1"/>
  <c r="K4668" i="2"/>
  <c r="L4668" i="2" s="1"/>
  <c r="K4669" i="2"/>
  <c r="L4669" i="2" s="1"/>
  <c r="K4670" i="2"/>
  <c r="L4670" i="2" s="1"/>
  <c r="K4671" i="2"/>
  <c r="L4671" i="2" s="1"/>
  <c r="K4672" i="2"/>
  <c r="L4672" i="2" s="1"/>
  <c r="K4673" i="2"/>
  <c r="L4673" i="2" s="1"/>
  <c r="K4674" i="2"/>
  <c r="L4674" i="2" s="1"/>
  <c r="K4675" i="2"/>
  <c r="L4675" i="2" s="1"/>
  <c r="K4676" i="2"/>
  <c r="L4676" i="2" s="1"/>
  <c r="K4677" i="2"/>
  <c r="L4677" i="2" s="1"/>
  <c r="K4678" i="2"/>
  <c r="L4678" i="2" s="1"/>
  <c r="K4679" i="2"/>
  <c r="L4679" i="2" s="1"/>
  <c r="K4680" i="2"/>
  <c r="L4680" i="2" s="1"/>
  <c r="K4681" i="2"/>
  <c r="L4681" i="2" s="1"/>
  <c r="K4682" i="2"/>
  <c r="L4682" i="2" s="1"/>
  <c r="K4683" i="2"/>
  <c r="L4683" i="2" s="1"/>
  <c r="K4684" i="2"/>
  <c r="L4684" i="2" s="1"/>
  <c r="K4685" i="2"/>
  <c r="L4685" i="2" s="1"/>
  <c r="K4686" i="2"/>
  <c r="L4686" i="2" s="1"/>
  <c r="K4687" i="2"/>
  <c r="L4687" i="2" s="1"/>
  <c r="K4688" i="2"/>
  <c r="L4688" i="2" s="1"/>
  <c r="K4689" i="2"/>
  <c r="L4689" i="2" s="1"/>
  <c r="K4690" i="2"/>
  <c r="L4690" i="2" s="1"/>
  <c r="K4691" i="2"/>
  <c r="L4691" i="2" s="1"/>
  <c r="K4692" i="2"/>
  <c r="L4692" i="2" s="1"/>
  <c r="K4693" i="2"/>
  <c r="L4693" i="2" s="1"/>
  <c r="K4694" i="2"/>
  <c r="L4694" i="2" s="1"/>
  <c r="K4695" i="2"/>
  <c r="L4695" i="2" s="1"/>
  <c r="K4696" i="2"/>
  <c r="L4696" i="2" s="1"/>
  <c r="K4697" i="2"/>
  <c r="L4697" i="2" s="1"/>
  <c r="K4698" i="2"/>
  <c r="L4698" i="2" s="1"/>
  <c r="K4699" i="2"/>
  <c r="L4699" i="2" s="1"/>
  <c r="K4700" i="2"/>
  <c r="L4700" i="2" s="1"/>
  <c r="K4701" i="2"/>
  <c r="L4701" i="2" s="1"/>
  <c r="K4702" i="2"/>
  <c r="L4702" i="2" s="1"/>
  <c r="K4703" i="2"/>
  <c r="L4703" i="2" s="1"/>
  <c r="K4704" i="2"/>
  <c r="L4704" i="2" s="1"/>
  <c r="K4705" i="2"/>
  <c r="L4705" i="2" s="1"/>
  <c r="K4706" i="2"/>
  <c r="L4706" i="2" s="1"/>
  <c r="K4707" i="2"/>
  <c r="L4707" i="2" s="1"/>
  <c r="K4708" i="2"/>
  <c r="L4708" i="2" s="1"/>
  <c r="K4709" i="2"/>
  <c r="L4709" i="2" s="1"/>
  <c r="K4710" i="2"/>
  <c r="L4710" i="2" s="1"/>
  <c r="K4711" i="2"/>
  <c r="L4711" i="2" s="1"/>
  <c r="K4712" i="2"/>
  <c r="L4712" i="2" s="1"/>
  <c r="K4713" i="2"/>
  <c r="L4713" i="2" s="1"/>
  <c r="K4714" i="2"/>
  <c r="L4714" i="2" s="1"/>
  <c r="K4715" i="2"/>
  <c r="L4715" i="2" s="1"/>
  <c r="K4716" i="2"/>
  <c r="L4716" i="2" s="1"/>
  <c r="K4717" i="2"/>
  <c r="L4717" i="2" s="1"/>
  <c r="K4718" i="2"/>
  <c r="L4718" i="2" s="1"/>
  <c r="K4719" i="2"/>
  <c r="L4719" i="2" s="1"/>
  <c r="K4720" i="2"/>
  <c r="L4720" i="2" s="1"/>
  <c r="K4721" i="2"/>
  <c r="L4721" i="2" s="1"/>
  <c r="K4722" i="2"/>
  <c r="L4722" i="2" s="1"/>
  <c r="K4723" i="2"/>
  <c r="L4723" i="2" s="1"/>
  <c r="K4724" i="2"/>
  <c r="L4724" i="2" s="1"/>
  <c r="K4725" i="2"/>
  <c r="L4725" i="2" s="1"/>
  <c r="K4726" i="2"/>
  <c r="L4726" i="2" s="1"/>
  <c r="K4727" i="2"/>
  <c r="L4727" i="2" s="1"/>
  <c r="K4728" i="2"/>
  <c r="L4728" i="2" s="1"/>
  <c r="K4729" i="2"/>
  <c r="L4729" i="2" s="1"/>
  <c r="K4730" i="2"/>
  <c r="L4730" i="2" s="1"/>
  <c r="K4731" i="2"/>
  <c r="L4731" i="2" s="1"/>
  <c r="K4732" i="2"/>
  <c r="L4732" i="2" s="1"/>
  <c r="K4733" i="2"/>
  <c r="L4733" i="2" s="1"/>
  <c r="K4734" i="2"/>
  <c r="L4734" i="2" s="1"/>
  <c r="K4735" i="2"/>
  <c r="L4735" i="2" s="1"/>
  <c r="K4736" i="2"/>
  <c r="L4736" i="2" s="1"/>
  <c r="K4737" i="2"/>
  <c r="L4737" i="2" s="1"/>
  <c r="K4738" i="2"/>
  <c r="L4738" i="2" s="1"/>
  <c r="K4739" i="2"/>
  <c r="L4739" i="2" s="1"/>
  <c r="K4740" i="2"/>
  <c r="L4740" i="2" s="1"/>
  <c r="K4741" i="2"/>
  <c r="L4741" i="2" s="1"/>
  <c r="K4742" i="2"/>
  <c r="L4742" i="2" s="1"/>
  <c r="K4743" i="2"/>
  <c r="L4743" i="2" s="1"/>
  <c r="K4744" i="2"/>
  <c r="L4744" i="2" s="1"/>
  <c r="K4745" i="2"/>
  <c r="L4745" i="2" s="1"/>
  <c r="K4746" i="2"/>
  <c r="L4746" i="2" s="1"/>
  <c r="K4747" i="2"/>
  <c r="L4747" i="2" s="1"/>
  <c r="K4748" i="2"/>
  <c r="L4748" i="2" s="1"/>
  <c r="K4749" i="2"/>
  <c r="L4749" i="2" s="1"/>
  <c r="K4750" i="2"/>
  <c r="L4750" i="2" s="1"/>
  <c r="K4751" i="2"/>
  <c r="L4751" i="2" s="1"/>
  <c r="K4752" i="2"/>
  <c r="L4752" i="2" s="1"/>
  <c r="K4753" i="2"/>
  <c r="L4753" i="2" s="1"/>
  <c r="K4754" i="2"/>
  <c r="L4754" i="2" s="1"/>
  <c r="K4755" i="2"/>
  <c r="L4755" i="2" s="1"/>
  <c r="K4756" i="2"/>
  <c r="L4756" i="2" s="1"/>
  <c r="K4757" i="2"/>
  <c r="L4757" i="2" s="1"/>
  <c r="K4758" i="2"/>
  <c r="L4758" i="2" s="1"/>
  <c r="K4759" i="2"/>
  <c r="L4759" i="2" s="1"/>
  <c r="K4760" i="2"/>
  <c r="L4760" i="2" s="1"/>
  <c r="K4761" i="2"/>
  <c r="L4761" i="2" s="1"/>
  <c r="K4762" i="2"/>
  <c r="L4762" i="2" s="1"/>
  <c r="K4763" i="2"/>
  <c r="L4763" i="2" s="1"/>
  <c r="K4764" i="2"/>
  <c r="L4764" i="2" s="1"/>
  <c r="K4765" i="2"/>
  <c r="L4765" i="2" s="1"/>
  <c r="K4766" i="2"/>
  <c r="L4766" i="2" s="1"/>
  <c r="K4767" i="2"/>
  <c r="L4767" i="2" s="1"/>
  <c r="K4768" i="2"/>
  <c r="L4768" i="2" s="1"/>
  <c r="K4769" i="2"/>
  <c r="L4769" i="2" s="1"/>
  <c r="K4770" i="2"/>
  <c r="L4770" i="2" s="1"/>
  <c r="K4771" i="2"/>
  <c r="L4771" i="2" s="1"/>
  <c r="K4772" i="2"/>
  <c r="L4772" i="2" s="1"/>
  <c r="K4773" i="2"/>
  <c r="L4773" i="2" s="1"/>
  <c r="K4774" i="2"/>
  <c r="L4774" i="2" s="1"/>
  <c r="K4775" i="2"/>
  <c r="L4775" i="2" s="1"/>
  <c r="K4776" i="2"/>
  <c r="L4776" i="2" s="1"/>
  <c r="K4777" i="2"/>
  <c r="L4777" i="2" s="1"/>
  <c r="K4778" i="2"/>
  <c r="L4778" i="2" s="1"/>
  <c r="K4779" i="2"/>
  <c r="L4779" i="2" s="1"/>
  <c r="K4780" i="2"/>
  <c r="L4780" i="2" s="1"/>
  <c r="K4781" i="2"/>
  <c r="L4781" i="2" s="1"/>
  <c r="K4782" i="2"/>
  <c r="L4782" i="2" s="1"/>
  <c r="K4783" i="2"/>
  <c r="L4783" i="2" s="1"/>
  <c r="K4784" i="2"/>
  <c r="L4784" i="2" s="1"/>
  <c r="K4785" i="2"/>
  <c r="L4785" i="2" s="1"/>
  <c r="K4786" i="2"/>
  <c r="L4786" i="2" s="1"/>
  <c r="K4787" i="2"/>
  <c r="L4787" i="2" s="1"/>
  <c r="K4788" i="2"/>
  <c r="L4788" i="2" s="1"/>
  <c r="K4789" i="2"/>
  <c r="L4789" i="2" s="1"/>
  <c r="K4790" i="2"/>
  <c r="L4790" i="2" s="1"/>
  <c r="K4791" i="2"/>
  <c r="L4791" i="2" s="1"/>
  <c r="K4792" i="2"/>
  <c r="L4792" i="2" s="1"/>
  <c r="K4793" i="2"/>
  <c r="L4793" i="2" s="1"/>
  <c r="K4794" i="2"/>
  <c r="L4794" i="2" s="1"/>
  <c r="K4795" i="2"/>
  <c r="L4795" i="2" s="1"/>
  <c r="K4796" i="2"/>
  <c r="L4796" i="2" s="1"/>
  <c r="K4797" i="2"/>
  <c r="L4797" i="2" s="1"/>
  <c r="K4798" i="2"/>
  <c r="L4798" i="2" s="1"/>
  <c r="K4799" i="2"/>
  <c r="L4799" i="2" s="1"/>
  <c r="K4800" i="2"/>
  <c r="L4800" i="2" s="1"/>
  <c r="K4801" i="2"/>
  <c r="L4801" i="2" s="1"/>
  <c r="K4802" i="2"/>
  <c r="L4802" i="2" s="1"/>
  <c r="K4803" i="2"/>
  <c r="L4803" i="2" s="1"/>
  <c r="K4804" i="2"/>
  <c r="L4804" i="2" s="1"/>
  <c r="K4805" i="2"/>
  <c r="L4805" i="2" s="1"/>
  <c r="K4806" i="2"/>
  <c r="L4806" i="2" s="1"/>
  <c r="K4807" i="2"/>
  <c r="L4807" i="2" s="1"/>
  <c r="K4808" i="2"/>
  <c r="L4808" i="2" s="1"/>
  <c r="K4809" i="2"/>
  <c r="L4809" i="2" s="1"/>
  <c r="K4810" i="2"/>
  <c r="L4810" i="2" s="1"/>
  <c r="K4811" i="2"/>
  <c r="L4811" i="2" s="1"/>
  <c r="K4812" i="2"/>
  <c r="L4812" i="2" s="1"/>
  <c r="K4813" i="2"/>
  <c r="L4813" i="2" s="1"/>
  <c r="K4814" i="2"/>
  <c r="L4814" i="2" s="1"/>
  <c r="K4815" i="2"/>
  <c r="L4815" i="2" s="1"/>
  <c r="K4816" i="2"/>
  <c r="L4816" i="2" s="1"/>
  <c r="K4817" i="2"/>
  <c r="L4817" i="2" s="1"/>
  <c r="K4818" i="2"/>
  <c r="L4818" i="2" s="1"/>
  <c r="K4819" i="2"/>
  <c r="L4819" i="2" s="1"/>
  <c r="K4820" i="2"/>
  <c r="L4820" i="2" s="1"/>
  <c r="K4821" i="2"/>
  <c r="L4821" i="2" s="1"/>
  <c r="K4822" i="2"/>
  <c r="L4822" i="2" s="1"/>
  <c r="K4823" i="2"/>
  <c r="L4823" i="2" s="1"/>
  <c r="K4824" i="2"/>
  <c r="L4824" i="2" s="1"/>
  <c r="K4825" i="2"/>
  <c r="L4825" i="2" s="1"/>
  <c r="K4826" i="2"/>
  <c r="L4826" i="2" s="1"/>
  <c r="K4827" i="2"/>
  <c r="L4827" i="2" s="1"/>
  <c r="K4828" i="2"/>
  <c r="L4828" i="2" s="1"/>
  <c r="K4829" i="2"/>
  <c r="L4829" i="2" s="1"/>
  <c r="K4830" i="2"/>
  <c r="L4830" i="2" s="1"/>
  <c r="K4831" i="2"/>
  <c r="L4831" i="2" s="1"/>
  <c r="K4832" i="2"/>
  <c r="L4832" i="2" s="1"/>
  <c r="K4833" i="2"/>
  <c r="L4833" i="2" s="1"/>
  <c r="K4834" i="2"/>
  <c r="L4834" i="2" s="1"/>
  <c r="K4835" i="2"/>
  <c r="L4835" i="2" s="1"/>
  <c r="K4836" i="2"/>
  <c r="L4836" i="2" s="1"/>
  <c r="K4837" i="2"/>
  <c r="L4837" i="2" s="1"/>
  <c r="K4838" i="2"/>
  <c r="L4838" i="2" s="1"/>
  <c r="K4839" i="2"/>
  <c r="L4839" i="2" s="1"/>
  <c r="K4840" i="2"/>
  <c r="L4840" i="2" s="1"/>
  <c r="K4841" i="2"/>
  <c r="L4841" i="2" s="1"/>
  <c r="K4842" i="2"/>
  <c r="L4842" i="2" s="1"/>
  <c r="K4843" i="2"/>
  <c r="L4843" i="2" s="1"/>
  <c r="K4844" i="2"/>
  <c r="L4844" i="2" s="1"/>
  <c r="K4845" i="2"/>
  <c r="L4845" i="2" s="1"/>
  <c r="K4846" i="2"/>
  <c r="L4846" i="2" s="1"/>
  <c r="K4847" i="2"/>
  <c r="L4847" i="2" s="1"/>
  <c r="K4848" i="2"/>
  <c r="L4848" i="2" s="1"/>
  <c r="K4849" i="2"/>
  <c r="L4849" i="2" s="1"/>
  <c r="K4850" i="2"/>
  <c r="L4850" i="2" s="1"/>
  <c r="K4851" i="2"/>
  <c r="L4851" i="2" s="1"/>
  <c r="K4852" i="2"/>
  <c r="L4852" i="2" s="1"/>
  <c r="K4853" i="2"/>
  <c r="L4853" i="2" s="1"/>
  <c r="K4854" i="2"/>
  <c r="L4854" i="2" s="1"/>
  <c r="K4855" i="2"/>
  <c r="L4855" i="2" s="1"/>
  <c r="K4856" i="2"/>
  <c r="L4856" i="2" s="1"/>
  <c r="K4857" i="2"/>
  <c r="L4857" i="2" s="1"/>
  <c r="K4858" i="2"/>
  <c r="L4858" i="2" s="1"/>
  <c r="K4859" i="2"/>
  <c r="L4859" i="2" s="1"/>
  <c r="K4860" i="2"/>
  <c r="L4860" i="2" s="1"/>
  <c r="K4861" i="2"/>
  <c r="L4861" i="2" s="1"/>
  <c r="K4862" i="2"/>
  <c r="L4862" i="2" s="1"/>
  <c r="K4863" i="2"/>
  <c r="L4863" i="2" s="1"/>
  <c r="K4864" i="2"/>
  <c r="L4864" i="2" s="1"/>
  <c r="K4865" i="2"/>
  <c r="L4865" i="2" s="1"/>
  <c r="K4866" i="2"/>
  <c r="L4866" i="2" s="1"/>
  <c r="K4867" i="2"/>
  <c r="L4867" i="2" s="1"/>
  <c r="K4868" i="2"/>
  <c r="L4868" i="2" s="1"/>
  <c r="K4869" i="2"/>
  <c r="L4869" i="2" s="1"/>
  <c r="K4870" i="2"/>
  <c r="L4870" i="2" s="1"/>
  <c r="K4871" i="2"/>
  <c r="L4871" i="2" s="1"/>
  <c r="K4872" i="2"/>
  <c r="L4872" i="2" s="1"/>
  <c r="K4873" i="2"/>
  <c r="L4873" i="2" s="1"/>
  <c r="K4874" i="2"/>
  <c r="L4874" i="2" s="1"/>
  <c r="K4875" i="2"/>
  <c r="L4875" i="2" s="1"/>
  <c r="K4876" i="2"/>
  <c r="L4876" i="2" s="1"/>
  <c r="K4877" i="2"/>
  <c r="L4877" i="2" s="1"/>
  <c r="K4878" i="2"/>
  <c r="L4878" i="2" s="1"/>
  <c r="K4879" i="2"/>
  <c r="L4879" i="2" s="1"/>
  <c r="K4880" i="2"/>
  <c r="L4880" i="2" s="1"/>
  <c r="K4881" i="2"/>
  <c r="L4881" i="2" s="1"/>
  <c r="K4882" i="2"/>
  <c r="L4882" i="2" s="1"/>
  <c r="K4883" i="2"/>
  <c r="L4883" i="2" s="1"/>
  <c r="K4884" i="2"/>
  <c r="L4884" i="2" s="1"/>
  <c r="K4885" i="2"/>
  <c r="L4885" i="2" s="1"/>
  <c r="K4886" i="2"/>
  <c r="L4886" i="2" s="1"/>
  <c r="K4887" i="2"/>
  <c r="L4887" i="2" s="1"/>
  <c r="K4888" i="2"/>
  <c r="L4888" i="2" s="1"/>
  <c r="K4889" i="2"/>
  <c r="L4889" i="2" s="1"/>
  <c r="K4890" i="2"/>
  <c r="L4890" i="2" s="1"/>
  <c r="K4891" i="2"/>
  <c r="L4891" i="2" s="1"/>
  <c r="K4892" i="2"/>
  <c r="L4892" i="2" s="1"/>
  <c r="K4893" i="2"/>
  <c r="L4893" i="2" s="1"/>
  <c r="K4894" i="2"/>
  <c r="L4894" i="2" s="1"/>
  <c r="K4895" i="2"/>
  <c r="L4895" i="2" s="1"/>
  <c r="K4896" i="2"/>
  <c r="L4896" i="2" s="1"/>
  <c r="K4897" i="2"/>
  <c r="L4897" i="2" s="1"/>
  <c r="K4898" i="2"/>
  <c r="L4898" i="2" s="1"/>
  <c r="K4899" i="2"/>
  <c r="L4899" i="2" s="1"/>
  <c r="K4900" i="2"/>
  <c r="L4900" i="2" s="1"/>
  <c r="K4901" i="2"/>
  <c r="L4901" i="2" s="1"/>
  <c r="K4902" i="2"/>
  <c r="L4902" i="2" s="1"/>
  <c r="K4903" i="2"/>
  <c r="L4903" i="2" s="1"/>
  <c r="K4904" i="2"/>
  <c r="L4904" i="2" s="1"/>
  <c r="K4905" i="2"/>
  <c r="L4905" i="2" s="1"/>
  <c r="K4906" i="2"/>
  <c r="L4906" i="2" s="1"/>
  <c r="K4907" i="2"/>
  <c r="L4907" i="2" s="1"/>
  <c r="K4908" i="2"/>
  <c r="L4908" i="2" s="1"/>
  <c r="K4909" i="2"/>
  <c r="L4909" i="2" s="1"/>
  <c r="K4910" i="2"/>
  <c r="L4910" i="2" s="1"/>
  <c r="K4911" i="2"/>
  <c r="L4911" i="2" s="1"/>
  <c r="K4912" i="2"/>
  <c r="L4912" i="2" s="1"/>
  <c r="K4913" i="2"/>
  <c r="L4913" i="2" s="1"/>
  <c r="K4914" i="2"/>
  <c r="L4914" i="2" s="1"/>
  <c r="K4915" i="2"/>
  <c r="L4915" i="2" s="1"/>
  <c r="K4916" i="2"/>
  <c r="L4916" i="2" s="1"/>
  <c r="K4917" i="2"/>
  <c r="L4917" i="2" s="1"/>
  <c r="K4918" i="2"/>
  <c r="L4918" i="2" s="1"/>
  <c r="K4919" i="2"/>
  <c r="L4919" i="2" s="1"/>
  <c r="K4920" i="2"/>
  <c r="L4920" i="2" s="1"/>
  <c r="K4921" i="2"/>
  <c r="L4921" i="2" s="1"/>
  <c r="K4922" i="2"/>
  <c r="L4922" i="2" s="1"/>
  <c r="K4923" i="2"/>
  <c r="L4923" i="2" s="1"/>
  <c r="K4924" i="2"/>
  <c r="L4924" i="2" s="1"/>
  <c r="K4925" i="2"/>
  <c r="L4925" i="2" s="1"/>
  <c r="K4926" i="2"/>
  <c r="L4926" i="2" s="1"/>
  <c r="K4927" i="2"/>
  <c r="L4927" i="2" s="1"/>
  <c r="K4928" i="2"/>
  <c r="L4928" i="2" s="1"/>
  <c r="K4929" i="2"/>
  <c r="L4929" i="2" s="1"/>
  <c r="K4930" i="2"/>
  <c r="L4930" i="2" s="1"/>
  <c r="K4931" i="2"/>
  <c r="L4931" i="2" s="1"/>
  <c r="K4932" i="2"/>
  <c r="L4932" i="2" s="1"/>
  <c r="K4933" i="2"/>
  <c r="L4933" i="2" s="1"/>
  <c r="K4934" i="2"/>
  <c r="L4934" i="2" s="1"/>
  <c r="K4935" i="2"/>
  <c r="L4935" i="2" s="1"/>
  <c r="K4936" i="2"/>
  <c r="L4936" i="2" s="1"/>
  <c r="K4937" i="2"/>
  <c r="L4937" i="2" s="1"/>
  <c r="K4938" i="2"/>
  <c r="L4938" i="2" s="1"/>
  <c r="K4939" i="2"/>
  <c r="L4939" i="2" s="1"/>
  <c r="K4940" i="2"/>
  <c r="L4940" i="2" s="1"/>
  <c r="K4941" i="2"/>
  <c r="L4941" i="2" s="1"/>
  <c r="K4942" i="2"/>
  <c r="L4942" i="2" s="1"/>
  <c r="K4943" i="2"/>
  <c r="L4943" i="2" s="1"/>
  <c r="K4944" i="2"/>
  <c r="L4944" i="2" s="1"/>
  <c r="K4945" i="2"/>
  <c r="L4945" i="2" s="1"/>
  <c r="K4946" i="2"/>
  <c r="L4946" i="2" s="1"/>
  <c r="K4947" i="2"/>
  <c r="L4947" i="2" s="1"/>
  <c r="K4948" i="2"/>
  <c r="L4948" i="2" s="1"/>
  <c r="K4949" i="2"/>
  <c r="L4949" i="2" s="1"/>
  <c r="K4950" i="2"/>
  <c r="L4950" i="2" s="1"/>
  <c r="K4951" i="2"/>
  <c r="L4951" i="2" s="1"/>
  <c r="K4952" i="2"/>
  <c r="L4952" i="2" s="1"/>
  <c r="K4953" i="2"/>
  <c r="L4953" i="2" s="1"/>
  <c r="K4954" i="2"/>
  <c r="L4954" i="2" s="1"/>
  <c r="K4955" i="2"/>
  <c r="L4955" i="2" s="1"/>
  <c r="K4956" i="2"/>
  <c r="L4956" i="2" s="1"/>
  <c r="K4957" i="2"/>
  <c r="L4957" i="2" s="1"/>
  <c r="K4958" i="2"/>
  <c r="L4958" i="2" s="1"/>
  <c r="K4959" i="2"/>
  <c r="L4959" i="2" s="1"/>
  <c r="K4960" i="2"/>
  <c r="L4960" i="2" s="1"/>
  <c r="K4961" i="2"/>
  <c r="L4961" i="2" s="1"/>
  <c r="K4962" i="2"/>
  <c r="L4962" i="2" s="1"/>
  <c r="K4963" i="2"/>
  <c r="L4963" i="2" s="1"/>
  <c r="K4964" i="2"/>
  <c r="L4964" i="2" s="1"/>
  <c r="K4965" i="2"/>
  <c r="L4965" i="2" s="1"/>
  <c r="K4966" i="2"/>
  <c r="L4966" i="2" s="1"/>
  <c r="K4967" i="2"/>
  <c r="L4967" i="2" s="1"/>
  <c r="K4968" i="2"/>
  <c r="L4968" i="2" s="1"/>
  <c r="K4969" i="2"/>
  <c r="L4969" i="2" s="1"/>
  <c r="K4970" i="2"/>
  <c r="L4970" i="2" s="1"/>
  <c r="K4971" i="2"/>
  <c r="L4971" i="2" s="1"/>
  <c r="K4972" i="2"/>
  <c r="L4972" i="2" s="1"/>
  <c r="K4973" i="2"/>
  <c r="L4973" i="2" s="1"/>
  <c r="K4974" i="2"/>
  <c r="L4974" i="2" s="1"/>
  <c r="K4975" i="2"/>
  <c r="L4975" i="2" s="1"/>
  <c r="K4976" i="2"/>
  <c r="L4976" i="2" s="1"/>
  <c r="K4977" i="2"/>
  <c r="L4977" i="2" s="1"/>
  <c r="K4978" i="2"/>
  <c r="L4978" i="2" s="1"/>
  <c r="K4979" i="2"/>
  <c r="L4979" i="2" s="1"/>
  <c r="K4980" i="2"/>
  <c r="L4980" i="2" s="1"/>
  <c r="K4981" i="2"/>
  <c r="L4981" i="2" s="1"/>
  <c r="K4982" i="2"/>
  <c r="L4982" i="2" s="1"/>
  <c r="K4983" i="2"/>
  <c r="L4983" i="2" s="1"/>
  <c r="I83" i="2" l="1"/>
  <c r="K83" i="2" s="1"/>
  <c r="L83" i="2" s="1"/>
  <c r="I84" i="2"/>
  <c r="K84" i="2" s="1"/>
  <c r="L84" i="2" s="1"/>
  <c r="I4" i="2"/>
  <c r="K4" i="2" s="1"/>
  <c r="L4" i="2" s="1"/>
  <c r="I5" i="2"/>
  <c r="K5" i="2" s="1"/>
  <c r="L5" i="2" s="1"/>
  <c r="I6" i="2"/>
  <c r="K6" i="2" s="1"/>
  <c r="L6" i="2" s="1"/>
  <c r="I7" i="2"/>
  <c r="K7" i="2" s="1"/>
  <c r="L7" i="2" s="1"/>
  <c r="K8" i="2"/>
  <c r="L8" i="2" s="1"/>
  <c r="I9" i="2"/>
  <c r="K9" i="2" s="1"/>
  <c r="L9" i="2" s="1"/>
  <c r="I10" i="2"/>
  <c r="K10" i="2" s="1"/>
  <c r="L10" i="2" s="1"/>
  <c r="I11" i="2"/>
  <c r="K11" i="2" s="1"/>
  <c r="L11" i="2" s="1"/>
  <c r="I12" i="2"/>
  <c r="K12" i="2" s="1"/>
  <c r="L12" i="2" s="1"/>
  <c r="I14" i="2"/>
  <c r="K14" i="2" s="1"/>
  <c r="L14" i="2" s="1"/>
  <c r="I15" i="2"/>
  <c r="K15" i="2" s="1"/>
  <c r="L15" i="2" s="1"/>
  <c r="I21" i="2"/>
  <c r="K21" i="2" s="1"/>
  <c r="L21" i="2" s="1"/>
  <c r="I22" i="2"/>
  <c r="K22" i="2" s="1"/>
  <c r="L22" i="2" s="1"/>
  <c r="I23" i="2"/>
  <c r="K23" i="2" s="1"/>
  <c r="L23" i="2" s="1"/>
  <c r="I24" i="2"/>
  <c r="K24" i="2" s="1"/>
  <c r="L24" i="2" s="1"/>
  <c r="I25" i="2"/>
  <c r="K25" i="2" s="1"/>
  <c r="L25" i="2" s="1"/>
  <c r="I26" i="2"/>
  <c r="K26" i="2" s="1"/>
  <c r="L26" i="2" s="1"/>
  <c r="I27" i="2"/>
  <c r="K27" i="2" s="1"/>
  <c r="L27" i="2" s="1"/>
  <c r="I28" i="2"/>
  <c r="K28" i="2" s="1"/>
  <c r="L28" i="2" s="1"/>
  <c r="I29" i="2"/>
  <c r="K29" i="2" s="1"/>
  <c r="L29" i="2" s="1"/>
  <c r="I95" i="2"/>
  <c r="K95" i="2" s="1"/>
  <c r="L95" i="2" s="1"/>
  <c r="I30" i="2"/>
  <c r="K30" i="2" s="1"/>
  <c r="L30" i="2" s="1"/>
  <c r="I31" i="2"/>
  <c r="K31" i="2" s="1"/>
  <c r="L31" i="2" s="1"/>
  <c r="I32" i="2"/>
  <c r="K32" i="2" s="1"/>
  <c r="L32" i="2" s="1"/>
  <c r="I33" i="2"/>
  <c r="K33" i="2" s="1"/>
  <c r="L33" i="2" s="1"/>
  <c r="I34" i="2"/>
  <c r="K34" i="2" s="1"/>
  <c r="L34" i="2" s="1"/>
  <c r="I35" i="2"/>
  <c r="K35" i="2" s="1"/>
  <c r="L35" i="2" s="1"/>
  <c r="I36" i="2"/>
  <c r="K36" i="2" s="1"/>
  <c r="L36" i="2" s="1"/>
  <c r="I37" i="2"/>
  <c r="K37" i="2" s="1"/>
  <c r="L37" i="2" s="1"/>
  <c r="I38" i="2"/>
  <c r="K38" i="2" s="1"/>
  <c r="L38" i="2" s="1"/>
  <c r="I39" i="2"/>
  <c r="K39" i="2" s="1"/>
  <c r="L39" i="2" s="1"/>
  <c r="I40" i="2"/>
  <c r="K40" i="2" s="1"/>
  <c r="L40" i="2" s="1"/>
  <c r="I41" i="2"/>
  <c r="K41" i="2" s="1"/>
  <c r="L41" i="2" s="1"/>
  <c r="I42" i="2"/>
  <c r="K42" i="2" s="1"/>
  <c r="L42" i="2" s="1"/>
  <c r="I43" i="2"/>
  <c r="K43" i="2" s="1"/>
  <c r="L43" i="2" s="1"/>
  <c r="I44" i="2"/>
  <c r="K44" i="2" s="1"/>
  <c r="L44" i="2" s="1"/>
  <c r="I45" i="2"/>
  <c r="K45" i="2" s="1"/>
  <c r="L45" i="2" s="1"/>
  <c r="I46" i="2"/>
  <c r="K46" i="2" s="1"/>
  <c r="L46" i="2" s="1"/>
  <c r="I47" i="2"/>
  <c r="K47" i="2" s="1"/>
  <c r="L47" i="2" s="1"/>
  <c r="I48" i="2"/>
  <c r="K48" i="2" s="1"/>
  <c r="L48" i="2" s="1"/>
  <c r="I70" i="2"/>
  <c r="K70" i="2" s="1"/>
  <c r="L70" i="2" s="1"/>
  <c r="I53" i="2"/>
  <c r="K53" i="2" s="1"/>
  <c r="L53" i="2" s="1"/>
  <c r="I49" i="2"/>
  <c r="K49" i="2" s="1"/>
  <c r="L49" i="2" s="1"/>
  <c r="I50" i="2"/>
  <c r="K50" i="2" s="1"/>
  <c r="L50" i="2" s="1"/>
  <c r="I51" i="2"/>
  <c r="K51" i="2" s="1"/>
  <c r="L51" i="2" s="1"/>
  <c r="I52" i="2"/>
  <c r="K52" i="2" s="1"/>
  <c r="L52" i="2" s="1"/>
  <c r="I54" i="2"/>
  <c r="K54" i="2" s="1"/>
  <c r="L54" i="2" s="1"/>
  <c r="I97" i="2"/>
  <c r="K97" i="2" s="1"/>
  <c r="L97" i="2" s="1"/>
  <c r="I55" i="2"/>
  <c r="K55" i="2" s="1"/>
  <c r="L55" i="2" s="1"/>
  <c r="I56" i="2"/>
  <c r="K56" i="2" s="1"/>
  <c r="L56" i="2" s="1"/>
  <c r="I57" i="2"/>
  <c r="K57" i="2" s="1"/>
  <c r="L57" i="2" s="1"/>
  <c r="I59" i="2"/>
  <c r="K59" i="2" s="1"/>
  <c r="L59" i="2" s="1"/>
  <c r="I58" i="2"/>
  <c r="K58" i="2" s="1"/>
  <c r="L58" i="2" s="1"/>
  <c r="I60" i="2"/>
  <c r="K60" i="2" s="1"/>
  <c r="L60" i="2" s="1"/>
  <c r="I61" i="2"/>
  <c r="K61" i="2" s="1"/>
  <c r="L61" i="2" s="1"/>
  <c r="I62" i="2"/>
  <c r="K62" i="2" s="1"/>
  <c r="L62" i="2" s="1"/>
  <c r="I63" i="2"/>
  <c r="K63" i="2" s="1"/>
  <c r="L63" i="2" s="1"/>
  <c r="I64" i="2"/>
  <c r="K64" i="2" s="1"/>
  <c r="L64" i="2" s="1"/>
  <c r="I65" i="2"/>
  <c r="K65" i="2" s="1"/>
  <c r="L65" i="2" s="1"/>
  <c r="I66" i="2"/>
  <c r="K66" i="2" s="1"/>
  <c r="L66" i="2" s="1"/>
  <c r="I67" i="2"/>
  <c r="K67" i="2" s="1"/>
  <c r="L67" i="2" s="1"/>
  <c r="I68" i="2"/>
  <c r="K68" i="2" s="1"/>
  <c r="L68" i="2" s="1"/>
  <c r="I69" i="2"/>
  <c r="K69" i="2" s="1"/>
  <c r="L69" i="2" s="1"/>
  <c r="I71" i="2"/>
  <c r="K71" i="2" s="1"/>
  <c r="L71" i="2" s="1"/>
  <c r="I72" i="2"/>
  <c r="K72" i="2" s="1"/>
  <c r="L72" i="2" s="1"/>
  <c r="I73" i="2"/>
  <c r="K73" i="2" s="1"/>
  <c r="L73" i="2" s="1"/>
  <c r="I74" i="2"/>
  <c r="K74" i="2" s="1"/>
  <c r="L74" i="2" s="1"/>
  <c r="I75" i="2"/>
  <c r="K75" i="2" s="1"/>
  <c r="L75" i="2" s="1"/>
  <c r="I76" i="2"/>
  <c r="K76" i="2" s="1"/>
  <c r="L76" i="2" s="1"/>
  <c r="I77" i="2"/>
  <c r="K77" i="2" s="1"/>
  <c r="L77" i="2" s="1"/>
  <c r="I78" i="2"/>
  <c r="K78" i="2" s="1"/>
  <c r="L78" i="2" s="1"/>
  <c r="I79" i="2"/>
  <c r="K79" i="2" s="1"/>
  <c r="L79" i="2" s="1"/>
  <c r="I94" i="2"/>
  <c r="K94" i="2" s="1"/>
  <c r="L94" i="2" s="1"/>
  <c r="I80" i="2"/>
  <c r="K80" i="2" s="1"/>
  <c r="L80" i="2" s="1"/>
  <c r="I81" i="2"/>
  <c r="K81" i="2" s="1"/>
  <c r="L81" i="2" s="1"/>
  <c r="I82" i="2"/>
  <c r="K82" i="2" s="1"/>
  <c r="L82" i="2" s="1"/>
  <c r="J83" i="2" l="1"/>
  <c r="O3" i="2" l="1"/>
  <c r="T3" i="2" l="1"/>
  <c r="I85" i="2"/>
  <c r="K85" i="2" s="1"/>
  <c r="L85" i="2" s="1"/>
  <c r="I86" i="2"/>
  <c r="K86" i="2" s="1"/>
  <c r="L86" i="2" s="1"/>
  <c r="I87" i="2"/>
  <c r="K87" i="2" s="1"/>
  <c r="L87" i="2" s="1"/>
  <c r="I88" i="2"/>
  <c r="K88" i="2" s="1"/>
  <c r="L88" i="2" s="1"/>
  <c r="I89" i="2"/>
  <c r="K89" i="2" s="1"/>
  <c r="L89" i="2" s="1"/>
  <c r="I90" i="2"/>
  <c r="K90" i="2" s="1"/>
  <c r="L90" i="2" s="1"/>
  <c r="I91" i="2"/>
  <c r="K91" i="2" s="1"/>
  <c r="L91" i="2" s="1"/>
  <c r="I92" i="2"/>
  <c r="K92" i="2" s="1"/>
  <c r="L92" i="2" s="1"/>
  <c r="I93" i="2"/>
  <c r="K93" i="2" s="1"/>
  <c r="L93" i="2" s="1"/>
  <c r="I96" i="2"/>
  <c r="K96" i="2" s="1"/>
  <c r="L96" i="2" s="1"/>
  <c r="I98" i="2"/>
  <c r="K98" i="2" s="1"/>
  <c r="L98" i="2" s="1"/>
  <c r="I99" i="2"/>
  <c r="K99" i="2" s="1"/>
  <c r="L99" i="2" s="1"/>
  <c r="I100" i="2"/>
  <c r="K100" i="2" s="1"/>
  <c r="L100" i="2" s="1"/>
  <c r="I101" i="2"/>
  <c r="K101" i="2" s="1"/>
  <c r="L101" i="2" s="1"/>
  <c r="I102" i="2"/>
  <c r="K102" i="2" s="1"/>
  <c r="L102" i="2" s="1"/>
  <c r="I135" i="2"/>
  <c r="K135" i="2" s="1"/>
  <c r="L135" i="2" s="1"/>
  <c r="I103" i="2"/>
  <c r="K103" i="2" s="1"/>
  <c r="L103" i="2" s="1"/>
  <c r="I104" i="2"/>
  <c r="K104" i="2" s="1"/>
  <c r="I105" i="2"/>
  <c r="K105" i="2" s="1"/>
  <c r="L105" i="2" s="1"/>
  <c r="I106" i="2"/>
  <c r="K106" i="2" s="1"/>
  <c r="L106" i="2" s="1"/>
  <c r="I107" i="2"/>
  <c r="K107" i="2" s="1"/>
  <c r="L107" i="2" s="1"/>
  <c r="I121" i="2"/>
  <c r="K121" i="2" s="1"/>
  <c r="L121" i="2" s="1"/>
  <c r="I173" i="2"/>
  <c r="K173" i="2" s="1"/>
  <c r="L173" i="2" s="1"/>
  <c r="I175" i="2"/>
  <c r="K175" i="2" s="1"/>
  <c r="L175" i="2" s="1"/>
  <c r="I176" i="2"/>
  <c r="K176" i="2" s="1"/>
  <c r="L176" i="2" s="1"/>
  <c r="I177" i="2"/>
  <c r="K177" i="2" s="1"/>
  <c r="L177" i="2" s="1"/>
  <c r="I178" i="2"/>
  <c r="K178" i="2" s="1"/>
  <c r="L178" i="2" s="1"/>
  <c r="I179" i="2"/>
  <c r="K179" i="2" s="1"/>
  <c r="L179" i="2" s="1"/>
  <c r="I180" i="2"/>
  <c r="K180" i="2" s="1"/>
  <c r="L180" i="2" s="1"/>
  <c r="I181" i="2"/>
  <c r="K181" i="2" s="1"/>
  <c r="L181" i="2" s="1"/>
  <c r="I182" i="2"/>
  <c r="K182" i="2" s="1"/>
  <c r="L182" i="2" s="1"/>
  <c r="I183" i="2"/>
  <c r="K183" i="2" s="1"/>
  <c r="L183" i="2" s="1"/>
  <c r="I184" i="2"/>
  <c r="K184" i="2" s="1"/>
  <c r="L184" i="2" s="1"/>
  <c r="I185" i="2"/>
  <c r="K185" i="2" s="1"/>
  <c r="L185" i="2" s="1"/>
  <c r="I186" i="2"/>
  <c r="K186" i="2" s="1"/>
  <c r="L186" i="2" s="1"/>
  <c r="I108" i="2"/>
  <c r="K108" i="2" s="1"/>
  <c r="L108" i="2" s="1"/>
  <c r="I109" i="2"/>
  <c r="K109" i="2" s="1"/>
  <c r="L109" i="2" s="1"/>
  <c r="I110" i="2"/>
  <c r="K110" i="2" s="1"/>
  <c r="L110" i="2" s="1"/>
  <c r="I111" i="2"/>
  <c r="K111" i="2" s="1"/>
  <c r="L111" i="2" s="1"/>
  <c r="I112" i="2"/>
  <c r="K112" i="2" s="1"/>
  <c r="L112" i="2" s="1"/>
  <c r="I113" i="2"/>
  <c r="K113" i="2" s="1"/>
  <c r="L113" i="2" s="1"/>
  <c r="I114" i="2"/>
  <c r="K114" i="2" s="1"/>
  <c r="L114" i="2" s="1"/>
  <c r="I115" i="2"/>
  <c r="K115" i="2" s="1"/>
  <c r="L115" i="2" s="1"/>
  <c r="I116" i="2"/>
  <c r="K116" i="2" s="1"/>
  <c r="L116" i="2" s="1"/>
  <c r="I117" i="2"/>
  <c r="K117" i="2" s="1"/>
  <c r="L117" i="2" s="1"/>
  <c r="I118" i="2"/>
  <c r="K118" i="2" s="1"/>
  <c r="L118" i="2" s="1"/>
  <c r="I119" i="2"/>
  <c r="K119" i="2" s="1"/>
  <c r="L119" i="2" s="1"/>
  <c r="I143" i="2"/>
  <c r="K143" i="2" s="1"/>
  <c r="L143" i="2" s="1"/>
  <c r="I120" i="2"/>
  <c r="K120" i="2" s="1"/>
  <c r="L120" i="2" s="1"/>
  <c r="I122" i="2"/>
  <c r="K122" i="2" s="1"/>
  <c r="L122" i="2" s="1"/>
  <c r="I123" i="2"/>
  <c r="K123" i="2" s="1"/>
  <c r="L123" i="2" s="1"/>
  <c r="I124" i="2"/>
  <c r="K124" i="2" s="1"/>
  <c r="L124" i="2" s="1"/>
  <c r="I125" i="2"/>
  <c r="K125" i="2" s="1"/>
  <c r="L125" i="2" s="1"/>
  <c r="I126" i="2"/>
  <c r="K126" i="2" s="1"/>
  <c r="L126" i="2" s="1"/>
  <c r="I127" i="2"/>
  <c r="K127" i="2" s="1"/>
  <c r="L127" i="2" s="1"/>
  <c r="I128" i="2"/>
  <c r="K128" i="2" s="1"/>
  <c r="L128" i="2" s="1"/>
  <c r="I129" i="2"/>
  <c r="K129" i="2" s="1"/>
  <c r="L129" i="2" s="1"/>
  <c r="I130" i="2"/>
  <c r="K130" i="2" s="1"/>
  <c r="L130" i="2" s="1"/>
  <c r="I131" i="2"/>
  <c r="K131" i="2" s="1"/>
  <c r="L131" i="2" s="1"/>
  <c r="I132" i="2"/>
  <c r="K132" i="2" s="1"/>
  <c r="L132" i="2" s="1"/>
  <c r="I133" i="2"/>
  <c r="K133" i="2" s="1"/>
  <c r="L133" i="2" s="1"/>
  <c r="I134" i="2"/>
  <c r="K134" i="2" s="1"/>
  <c r="L134" i="2" s="1"/>
  <c r="I136" i="2"/>
  <c r="K136" i="2" s="1"/>
  <c r="L136" i="2" s="1"/>
  <c r="I144" i="2"/>
  <c r="K144" i="2" s="1"/>
  <c r="L144" i="2" s="1"/>
  <c r="I137" i="2"/>
  <c r="K137" i="2" s="1"/>
  <c r="L137" i="2" s="1"/>
  <c r="I138" i="2"/>
  <c r="K138" i="2" s="1"/>
  <c r="L138" i="2" s="1"/>
  <c r="I139" i="2"/>
  <c r="K139" i="2" s="1"/>
  <c r="L139" i="2" s="1"/>
  <c r="I140" i="2"/>
  <c r="K140" i="2" s="1"/>
  <c r="L140" i="2" s="1"/>
  <c r="I141" i="2"/>
  <c r="K141" i="2" s="1"/>
  <c r="L141" i="2" s="1"/>
  <c r="I142" i="2"/>
  <c r="K142" i="2" s="1"/>
  <c r="L142" i="2" s="1"/>
  <c r="I145" i="2"/>
  <c r="K145" i="2" s="1"/>
  <c r="L145" i="2" s="1"/>
  <c r="I146" i="2"/>
  <c r="K146" i="2" s="1"/>
  <c r="L146" i="2" s="1"/>
  <c r="I147" i="2"/>
  <c r="K147" i="2" s="1"/>
  <c r="L147" i="2" s="1"/>
  <c r="I148" i="2"/>
  <c r="K148" i="2" s="1"/>
  <c r="L148" i="2" s="1"/>
  <c r="I149" i="2"/>
  <c r="K149" i="2" s="1"/>
  <c r="L149" i="2" s="1"/>
  <c r="I150" i="2"/>
  <c r="K150" i="2" s="1"/>
  <c r="L150" i="2" s="1"/>
  <c r="I151" i="2"/>
  <c r="K151" i="2" s="1"/>
  <c r="L151" i="2" s="1"/>
  <c r="I152" i="2"/>
  <c r="K152" i="2" s="1"/>
  <c r="L152" i="2" s="1"/>
  <c r="I153" i="2"/>
  <c r="K153" i="2" s="1"/>
  <c r="L153" i="2" s="1"/>
  <c r="I154" i="2"/>
  <c r="K154" i="2" s="1"/>
  <c r="L154" i="2" s="1"/>
  <c r="I155" i="2"/>
  <c r="K155" i="2" s="1"/>
  <c r="L155" i="2" s="1"/>
  <c r="I156" i="2"/>
  <c r="K156" i="2" s="1"/>
  <c r="L156" i="2" s="1"/>
  <c r="I157" i="2"/>
  <c r="K157" i="2" s="1"/>
  <c r="L157" i="2" s="1"/>
  <c r="I158" i="2"/>
  <c r="K158" i="2" s="1"/>
  <c r="L158" i="2" s="1"/>
  <c r="I159" i="2"/>
  <c r="K159" i="2" s="1"/>
  <c r="L159" i="2" s="1"/>
  <c r="I160" i="2"/>
  <c r="K160" i="2" s="1"/>
  <c r="L160" i="2" s="1"/>
  <c r="I161" i="2"/>
  <c r="K161" i="2" s="1"/>
  <c r="L161" i="2" s="1"/>
  <c r="I162" i="2"/>
  <c r="K162" i="2" s="1"/>
  <c r="L162" i="2" s="1"/>
  <c r="I163" i="2"/>
  <c r="K163" i="2" s="1"/>
  <c r="L163" i="2" s="1"/>
  <c r="I164" i="2"/>
  <c r="K164" i="2" s="1"/>
  <c r="L164" i="2" s="1"/>
  <c r="I165" i="2"/>
  <c r="K165" i="2" s="1"/>
  <c r="L165" i="2" s="1"/>
  <c r="I166" i="2"/>
  <c r="K166" i="2" s="1"/>
  <c r="L166" i="2" s="1"/>
  <c r="I167" i="2"/>
  <c r="K167" i="2" s="1"/>
  <c r="L167" i="2" s="1"/>
  <c r="I168" i="2"/>
  <c r="K168" i="2" s="1"/>
  <c r="L168" i="2" s="1"/>
  <c r="L104" i="2" l="1"/>
  <c r="T4" i="2"/>
  <c r="J10" i="2"/>
  <c r="O16" i="2" s="1"/>
  <c r="I169" i="2" l="1"/>
  <c r="K169" i="2" s="1"/>
  <c r="I170" i="2"/>
  <c r="K170" i="2" s="1"/>
  <c r="L170" i="2" s="1"/>
  <c r="I171" i="2"/>
  <c r="K171" i="2" s="1"/>
  <c r="I172" i="2"/>
  <c r="K172" i="2" s="1"/>
  <c r="L172" i="2" s="1"/>
  <c r="I174" i="2"/>
  <c r="K174" i="2" s="1"/>
  <c r="L174" i="2" s="1"/>
  <c r="I187" i="2"/>
  <c r="K187" i="2" s="1"/>
  <c r="L187" i="2" s="1"/>
  <c r="I188" i="2"/>
  <c r="K188" i="2" s="1"/>
  <c r="L188" i="2" s="1"/>
  <c r="I189" i="2"/>
  <c r="K189" i="2" s="1"/>
  <c r="L189" i="2" s="1"/>
  <c r="I190" i="2"/>
  <c r="K190" i="2" s="1"/>
  <c r="L190" i="2" s="1"/>
  <c r="I191" i="2"/>
  <c r="K191" i="2" s="1"/>
  <c r="L191" i="2" s="1"/>
  <c r="I192" i="2"/>
  <c r="K192" i="2" s="1"/>
  <c r="L192" i="2" s="1"/>
  <c r="O3525" i="2"/>
  <c r="O3526" i="2"/>
  <c r="O3527" i="2"/>
  <c r="O3528" i="2"/>
  <c r="O3529" i="2"/>
  <c r="O3530" i="2"/>
  <c r="O3531" i="2"/>
  <c r="O3532" i="2"/>
  <c r="O3533" i="2"/>
  <c r="O3534" i="2"/>
  <c r="O3535" i="2"/>
  <c r="O3536" i="2"/>
  <c r="O3537" i="2"/>
  <c r="O3538" i="2"/>
  <c r="O3539" i="2"/>
  <c r="O3540" i="2"/>
  <c r="O3541" i="2"/>
  <c r="O3542" i="2"/>
  <c r="O3543" i="2"/>
  <c r="O3544" i="2"/>
  <c r="O3545" i="2"/>
  <c r="O3546" i="2"/>
  <c r="O3547" i="2"/>
  <c r="O3548" i="2"/>
  <c r="O3549" i="2"/>
  <c r="O3550" i="2"/>
  <c r="O3551" i="2"/>
  <c r="O3552" i="2"/>
  <c r="O3553" i="2"/>
  <c r="O3554" i="2"/>
  <c r="O3555" i="2"/>
  <c r="O3556" i="2"/>
  <c r="O3557" i="2"/>
  <c r="O3558" i="2"/>
  <c r="O3559" i="2"/>
  <c r="O3560" i="2"/>
  <c r="O3561" i="2"/>
  <c r="O3562" i="2"/>
  <c r="O3563" i="2"/>
  <c r="O3564" i="2"/>
  <c r="O3565" i="2"/>
  <c r="O3566" i="2"/>
  <c r="O3567" i="2"/>
  <c r="O3568" i="2"/>
  <c r="O3569" i="2"/>
  <c r="O3570" i="2"/>
  <c r="O3571" i="2"/>
  <c r="O3572" i="2"/>
  <c r="O3573" i="2"/>
  <c r="O3574" i="2"/>
  <c r="O3575" i="2"/>
  <c r="O3576" i="2"/>
  <c r="O3577" i="2"/>
  <c r="O3578" i="2"/>
  <c r="O3579" i="2"/>
  <c r="O3580" i="2"/>
  <c r="O3581" i="2"/>
  <c r="O3582" i="2"/>
  <c r="O3583" i="2"/>
  <c r="O3584" i="2"/>
  <c r="O3585" i="2"/>
  <c r="O3586" i="2"/>
  <c r="O3587" i="2"/>
  <c r="O3588" i="2"/>
  <c r="O3589" i="2"/>
  <c r="O3590" i="2"/>
  <c r="O3591" i="2"/>
  <c r="O3592" i="2"/>
  <c r="O3593" i="2"/>
  <c r="O3594" i="2"/>
  <c r="O3595" i="2"/>
  <c r="O3596" i="2"/>
  <c r="O3597" i="2"/>
  <c r="O3598" i="2"/>
  <c r="O3599" i="2"/>
  <c r="O3600" i="2"/>
  <c r="O3601" i="2"/>
  <c r="O3602" i="2"/>
  <c r="O3603" i="2"/>
  <c r="O3604" i="2"/>
  <c r="O3605" i="2"/>
  <c r="O3606" i="2"/>
  <c r="O3607" i="2"/>
  <c r="O3608" i="2"/>
  <c r="O3609" i="2"/>
  <c r="O3610" i="2"/>
  <c r="O3611" i="2"/>
  <c r="O3612" i="2"/>
  <c r="O3613" i="2"/>
  <c r="O3614" i="2"/>
  <c r="O3615" i="2"/>
  <c r="O3616" i="2"/>
  <c r="O3617" i="2"/>
  <c r="O3618" i="2"/>
  <c r="O3619" i="2"/>
  <c r="O3620" i="2"/>
  <c r="O3621" i="2"/>
  <c r="O3622" i="2"/>
  <c r="O3623" i="2"/>
  <c r="O3624" i="2"/>
  <c r="O3625" i="2"/>
  <c r="O3626" i="2"/>
  <c r="O3627" i="2"/>
  <c r="O3628" i="2"/>
  <c r="O3629" i="2"/>
  <c r="O3630" i="2"/>
  <c r="O3631" i="2"/>
  <c r="O3632" i="2"/>
  <c r="O3633" i="2"/>
  <c r="O3634" i="2"/>
  <c r="O3635" i="2"/>
  <c r="O3636" i="2"/>
  <c r="O3637" i="2"/>
  <c r="O3638" i="2"/>
  <c r="O3639" i="2"/>
  <c r="O3640" i="2"/>
  <c r="O3641" i="2"/>
  <c r="O3642" i="2"/>
  <c r="O3643" i="2"/>
  <c r="O3644" i="2"/>
  <c r="O3645" i="2"/>
  <c r="O3646" i="2"/>
  <c r="O3647" i="2"/>
  <c r="O3648" i="2"/>
  <c r="O3649" i="2"/>
  <c r="O3650" i="2"/>
  <c r="O3651" i="2"/>
  <c r="O3652" i="2"/>
  <c r="O3653" i="2"/>
  <c r="O3654" i="2"/>
  <c r="O3655" i="2"/>
  <c r="O3656" i="2"/>
  <c r="O3657" i="2"/>
  <c r="O3658" i="2"/>
  <c r="O3659" i="2"/>
  <c r="O3660" i="2"/>
  <c r="O3661" i="2"/>
  <c r="O3662" i="2"/>
  <c r="O3663" i="2"/>
  <c r="O3664" i="2"/>
  <c r="O3665" i="2"/>
  <c r="O3666" i="2"/>
  <c r="O3667" i="2"/>
  <c r="O3668" i="2"/>
  <c r="O3669" i="2"/>
  <c r="O3670" i="2"/>
  <c r="O3671" i="2"/>
  <c r="O3672" i="2"/>
  <c r="O3673" i="2"/>
  <c r="O3674" i="2"/>
  <c r="O3675" i="2"/>
  <c r="O3676" i="2"/>
  <c r="O3677" i="2"/>
  <c r="O3678" i="2"/>
  <c r="O3679" i="2"/>
  <c r="O3680" i="2"/>
  <c r="O3681" i="2"/>
  <c r="O3682" i="2"/>
  <c r="O3683" i="2"/>
  <c r="O3684" i="2"/>
  <c r="O3685" i="2"/>
  <c r="O3686" i="2"/>
  <c r="O3687" i="2"/>
  <c r="O3688" i="2"/>
  <c r="O3689" i="2"/>
  <c r="O3690" i="2"/>
  <c r="O3691" i="2"/>
  <c r="O3692" i="2"/>
  <c r="O3693" i="2"/>
  <c r="O3694" i="2"/>
  <c r="O3695" i="2"/>
  <c r="O3696" i="2"/>
  <c r="O3697" i="2"/>
  <c r="O3698" i="2"/>
  <c r="O3699" i="2"/>
  <c r="O3700" i="2"/>
  <c r="O3701" i="2"/>
  <c r="O3702" i="2"/>
  <c r="O3703" i="2"/>
  <c r="O3704" i="2"/>
  <c r="O3705" i="2"/>
  <c r="O3706" i="2"/>
  <c r="O3707" i="2"/>
  <c r="O3708" i="2"/>
  <c r="O3709" i="2"/>
  <c r="O3710" i="2"/>
  <c r="O3711" i="2"/>
  <c r="O3712" i="2"/>
  <c r="O3713" i="2"/>
  <c r="O3714" i="2"/>
  <c r="O3715" i="2"/>
  <c r="O3716" i="2"/>
  <c r="O3717" i="2"/>
  <c r="O3718" i="2"/>
  <c r="O3719" i="2"/>
  <c r="O3720" i="2"/>
  <c r="O3721" i="2"/>
  <c r="O3722" i="2"/>
  <c r="O3723" i="2"/>
  <c r="O3724" i="2"/>
  <c r="O3725" i="2"/>
  <c r="O3726" i="2"/>
  <c r="O3727" i="2"/>
  <c r="O3728" i="2"/>
  <c r="O3729" i="2"/>
  <c r="O3730" i="2"/>
  <c r="O3731" i="2"/>
  <c r="O3732" i="2"/>
  <c r="O3733" i="2"/>
  <c r="O3734" i="2"/>
  <c r="O3735" i="2"/>
  <c r="O3736" i="2"/>
  <c r="O3737" i="2"/>
  <c r="O3738" i="2"/>
  <c r="O3739" i="2"/>
  <c r="O3740" i="2"/>
  <c r="O3741" i="2"/>
  <c r="O3742" i="2"/>
  <c r="O3743" i="2"/>
  <c r="O3744" i="2"/>
  <c r="O3745" i="2"/>
  <c r="O3746" i="2"/>
  <c r="O3747" i="2"/>
  <c r="O3748" i="2"/>
  <c r="O3749" i="2"/>
  <c r="O3750" i="2"/>
  <c r="O3751" i="2"/>
  <c r="O3752" i="2"/>
  <c r="O3753" i="2"/>
  <c r="O3754" i="2"/>
  <c r="O3755" i="2"/>
  <c r="O3756" i="2"/>
  <c r="O3757" i="2"/>
  <c r="O3758" i="2"/>
  <c r="O3759" i="2"/>
  <c r="O3760" i="2"/>
  <c r="O3761" i="2"/>
  <c r="O3762" i="2"/>
  <c r="O3763" i="2"/>
  <c r="O3764" i="2"/>
  <c r="O3765" i="2"/>
  <c r="O3766" i="2"/>
  <c r="O3767" i="2"/>
  <c r="O3768" i="2"/>
  <c r="O3769" i="2"/>
  <c r="O3770" i="2"/>
  <c r="O3771" i="2"/>
  <c r="O3772" i="2"/>
  <c r="O3773" i="2"/>
  <c r="O3774" i="2"/>
  <c r="O3775" i="2"/>
  <c r="O3776" i="2"/>
  <c r="O3777" i="2"/>
  <c r="O3778" i="2"/>
  <c r="O3779" i="2"/>
  <c r="O3780" i="2"/>
  <c r="O3781" i="2"/>
  <c r="O3782" i="2"/>
  <c r="O3783" i="2"/>
  <c r="O3784" i="2"/>
  <c r="O3785" i="2"/>
  <c r="O3786" i="2"/>
  <c r="O3787" i="2"/>
  <c r="O3788" i="2"/>
  <c r="O3789" i="2"/>
  <c r="O3790" i="2"/>
  <c r="O3791" i="2"/>
  <c r="O3792" i="2"/>
  <c r="O3793" i="2"/>
  <c r="O3794" i="2"/>
  <c r="O3795" i="2"/>
  <c r="O3796" i="2"/>
  <c r="O3797" i="2"/>
  <c r="O3798" i="2"/>
  <c r="O3799" i="2"/>
  <c r="O3800" i="2"/>
  <c r="O3801" i="2"/>
  <c r="O3802" i="2"/>
  <c r="O3803" i="2"/>
  <c r="O3804" i="2"/>
  <c r="O3805" i="2"/>
  <c r="O3806" i="2"/>
  <c r="O3807" i="2"/>
  <c r="O3808" i="2"/>
  <c r="O3809" i="2"/>
  <c r="O3810" i="2"/>
  <c r="O3811" i="2"/>
  <c r="O3812" i="2"/>
  <c r="O3813" i="2"/>
  <c r="O3814" i="2"/>
  <c r="O3815" i="2"/>
  <c r="O3816" i="2"/>
  <c r="O3817" i="2"/>
  <c r="O3818" i="2"/>
  <c r="O3819" i="2"/>
  <c r="O3820" i="2"/>
  <c r="O3821" i="2"/>
  <c r="O3822" i="2"/>
  <c r="O3823" i="2"/>
  <c r="O3824" i="2"/>
  <c r="O3825" i="2"/>
  <c r="O3826" i="2"/>
  <c r="O3827" i="2"/>
  <c r="O3828" i="2"/>
  <c r="O3829" i="2"/>
  <c r="O3830" i="2"/>
  <c r="O3831" i="2"/>
  <c r="O3832" i="2"/>
  <c r="O3833" i="2"/>
  <c r="O3834" i="2"/>
  <c r="O3835" i="2"/>
  <c r="O3836" i="2"/>
  <c r="O3837" i="2"/>
  <c r="O3838" i="2"/>
  <c r="O3839" i="2"/>
  <c r="O3840" i="2"/>
  <c r="O3841" i="2"/>
  <c r="O3842" i="2"/>
  <c r="O3843" i="2"/>
  <c r="O3844" i="2"/>
  <c r="O3845" i="2"/>
  <c r="O3846" i="2"/>
  <c r="O3847" i="2"/>
  <c r="O3848" i="2"/>
  <c r="O3849" i="2"/>
  <c r="O3850" i="2"/>
  <c r="O3851" i="2"/>
  <c r="O3852" i="2"/>
  <c r="O3853" i="2"/>
  <c r="O3854" i="2"/>
  <c r="O3855" i="2"/>
  <c r="O3856" i="2"/>
  <c r="O3857" i="2"/>
  <c r="O3858" i="2"/>
  <c r="O3859" i="2"/>
  <c r="O3860" i="2"/>
  <c r="O3861" i="2"/>
  <c r="O3862" i="2"/>
  <c r="O3863" i="2"/>
  <c r="O3864" i="2"/>
  <c r="O3865" i="2"/>
  <c r="O3866" i="2"/>
  <c r="O3867" i="2"/>
  <c r="O3868" i="2"/>
  <c r="O3869" i="2"/>
  <c r="O3870" i="2"/>
  <c r="O3871" i="2"/>
  <c r="O3872" i="2"/>
  <c r="O3873" i="2"/>
  <c r="O3874" i="2"/>
  <c r="O3875" i="2"/>
  <c r="O3876" i="2"/>
  <c r="O3877" i="2"/>
  <c r="O3878" i="2"/>
  <c r="O3879" i="2"/>
  <c r="O3880" i="2"/>
  <c r="O3881" i="2"/>
  <c r="O3882" i="2"/>
  <c r="O3883" i="2"/>
  <c r="O3884" i="2"/>
  <c r="O3885" i="2"/>
  <c r="O3886" i="2"/>
  <c r="O3887" i="2"/>
  <c r="O3888" i="2"/>
  <c r="O3889" i="2"/>
  <c r="O3890" i="2"/>
  <c r="O3891" i="2"/>
  <c r="O3892" i="2"/>
  <c r="O3893" i="2"/>
  <c r="O3894" i="2"/>
  <c r="O3895" i="2"/>
  <c r="O3896" i="2"/>
  <c r="O3897" i="2"/>
  <c r="O3898" i="2"/>
  <c r="O3899" i="2"/>
  <c r="O3900" i="2"/>
  <c r="O3901" i="2"/>
  <c r="O3902" i="2"/>
  <c r="O3903" i="2"/>
  <c r="O3904" i="2"/>
  <c r="O3905" i="2"/>
  <c r="O3906" i="2"/>
  <c r="O3907" i="2"/>
  <c r="O3908" i="2"/>
  <c r="O3909" i="2"/>
  <c r="O3910" i="2"/>
  <c r="O3911" i="2"/>
  <c r="O3912" i="2"/>
  <c r="O3913" i="2"/>
  <c r="O3914" i="2"/>
  <c r="O3915" i="2"/>
  <c r="O3916" i="2"/>
  <c r="O3917" i="2"/>
  <c r="O3918" i="2"/>
  <c r="O3919" i="2"/>
  <c r="O3920" i="2"/>
  <c r="O3921" i="2"/>
  <c r="O3922" i="2"/>
  <c r="O3923" i="2"/>
  <c r="O3924" i="2"/>
  <c r="O3925" i="2"/>
  <c r="O3926" i="2"/>
  <c r="O3927" i="2"/>
  <c r="O3928" i="2"/>
  <c r="O3929" i="2"/>
  <c r="O3930" i="2"/>
  <c r="O3931" i="2"/>
  <c r="O3932" i="2"/>
  <c r="O3933" i="2"/>
  <c r="O3934" i="2"/>
  <c r="O3935" i="2"/>
  <c r="O3936" i="2"/>
  <c r="O3937" i="2"/>
  <c r="O3938" i="2"/>
  <c r="O3939" i="2"/>
  <c r="O3940" i="2"/>
  <c r="O3941" i="2"/>
  <c r="O3942" i="2"/>
  <c r="O3943" i="2"/>
  <c r="O3944" i="2"/>
  <c r="O3945" i="2"/>
  <c r="O3946" i="2"/>
  <c r="O3947" i="2"/>
  <c r="O3948" i="2"/>
  <c r="O3949" i="2"/>
  <c r="O3950" i="2"/>
  <c r="O3951" i="2"/>
  <c r="O3952" i="2"/>
  <c r="O3953" i="2"/>
  <c r="O3954" i="2"/>
  <c r="O3955" i="2"/>
  <c r="O3956" i="2"/>
  <c r="O3957" i="2"/>
  <c r="O3958" i="2"/>
  <c r="O3959" i="2"/>
  <c r="O3960" i="2"/>
  <c r="O3961" i="2"/>
  <c r="O3962" i="2"/>
  <c r="O3963" i="2"/>
  <c r="O3964" i="2"/>
  <c r="O3965" i="2"/>
  <c r="O3966" i="2"/>
  <c r="O3967" i="2"/>
  <c r="O3968" i="2"/>
  <c r="O3969" i="2"/>
  <c r="O3970" i="2"/>
  <c r="O3971" i="2"/>
  <c r="O3972" i="2"/>
  <c r="O3973" i="2"/>
  <c r="O3974" i="2"/>
  <c r="O3975" i="2"/>
  <c r="O3976" i="2"/>
  <c r="O3977" i="2"/>
  <c r="O3978" i="2"/>
  <c r="O3979" i="2"/>
  <c r="O3980" i="2"/>
  <c r="O3981" i="2"/>
  <c r="O3982" i="2"/>
  <c r="O3983" i="2"/>
  <c r="O3984" i="2"/>
  <c r="O3985" i="2"/>
  <c r="O3986" i="2"/>
  <c r="O3987" i="2"/>
  <c r="O3988" i="2"/>
  <c r="O3989" i="2"/>
  <c r="O3990" i="2"/>
  <c r="O3991" i="2"/>
  <c r="O3992" i="2"/>
  <c r="O3993" i="2"/>
  <c r="O3994" i="2"/>
  <c r="O3995" i="2"/>
  <c r="O3996" i="2"/>
  <c r="O3997" i="2"/>
  <c r="O3998" i="2"/>
  <c r="O3999" i="2"/>
  <c r="O4000" i="2"/>
  <c r="O4001" i="2"/>
  <c r="O4002" i="2"/>
  <c r="O4003" i="2"/>
  <c r="O4004" i="2"/>
  <c r="O4005" i="2"/>
  <c r="O4006" i="2"/>
  <c r="O4007" i="2"/>
  <c r="O4008" i="2"/>
  <c r="O4009" i="2"/>
  <c r="O4010" i="2"/>
  <c r="O4011" i="2"/>
  <c r="O4012" i="2"/>
  <c r="O4013" i="2"/>
  <c r="O4014" i="2"/>
  <c r="O4015" i="2"/>
  <c r="O4016" i="2"/>
  <c r="O4017" i="2"/>
  <c r="O4018" i="2"/>
  <c r="O4019" i="2"/>
  <c r="O4020" i="2"/>
  <c r="O4021" i="2"/>
  <c r="O4022" i="2"/>
  <c r="O4023" i="2"/>
  <c r="O4024" i="2"/>
  <c r="O4025" i="2"/>
  <c r="O4026" i="2"/>
  <c r="O4027" i="2"/>
  <c r="O4028" i="2"/>
  <c r="O4029" i="2"/>
  <c r="O4030" i="2"/>
  <c r="O4031" i="2"/>
  <c r="O4032" i="2"/>
  <c r="O4033" i="2"/>
  <c r="O4034" i="2"/>
  <c r="O4035" i="2"/>
  <c r="O4036" i="2"/>
  <c r="O4037" i="2"/>
  <c r="O4038" i="2"/>
  <c r="O4039" i="2"/>
  <c r="O4040" i="2"/>
  <c r="O4041" i="2"/>
  <c r="O4042" i="2"/>
  <c r="O4043" i="2"/>
  <c r="O4044" i="2"/>
  <c r="O4045" i="2"/>
  <c r="O4046" i="2"/>
  <c r="O4047" i="2"/>
  <c r="O4048" i="2"/>
  <c r="O4049" i="2"/>
  <c r="O4050" i="2"/>
  <c r="O4051" i="2"/>
  <c r="O4052" i="2"/>
  <c r="O4053" i="2"/>
  <c r="O4054" i="2"/>
  <c r="O4055" i="2"/>
  <c r="O4056" i="2"/>
  <c r="O4057" i="2"/>
  <c r="O4058" i="2"/>
  <c r="O4059" i="2"/>
  <c r="O4060" i="2"/>
  <c r="O4061" i="2"/>
  <c r="O4062" i="2"/>
  <c r="O4063" i="2"/>
  <c r="O4064" i="2"/>
  <c r="O4065" i="2"/>
  <c r="O4066" i="2"/>
  <c r="O4067" i="2"/>
  <c r="O4068" i="2"/>
  <c r="O4069" i="2"/>
  <c r="O4070" i="2"/>
  <c r="O4071" i="2"/>
  <c r="O4072" i="2"/>
  <c r="O4073" i="2"/>
  <c r="O4074" i="2"/>
  <c r="O4075" i="2"/>
  <c r="O4076" i="2"/>
  <c r="O4077" i="2"/>
  <c r="O4078" i="2"/>
  <c r="O4079" i="2"/>
  <c r="O4080" i="2"/>
  <c r="O4081" i="2"/>
  <c r="O4082" i="2"/>
  <c r="O4083" i="2"/>
  <c r="O4084" i="2"/>
  <c r="O4085" i="2"/>
  <c r="O4086" i="2"/>
  <c r="O4087" i="2"/>
  <c r="O4088" i="2"/>
  <c r="O4089" i="2"/>
  <c r="O4090" i="2"/>
  <c r="O4091" i="2"/>
  <c r="O4092" i="2"/>
  <c r="O4093" i="2"/>
  <c r="O4094" i="2"/>
  <c r="O4095" i="2"/>
  <c r="O4096" i="2"/>
  <c r="O4097" i="2"/>
  <c r="O4098" i="2"/>
  <c r="O4099" i="2"/>
  <c r="O4100" i="2"/>
  <c r="O4101" i="2"/>
  <c r="O4102" i="2"/>
  <c r="O4103" i="2"/>
  <c r="O4104" i="2"/>
  <c r="O4105" i="2"/>
  <c r="O4106" i="2"/>
  <c r="O4107" i="2"/>
  <c r="O4108" i="2"/>
  <c r="O4109" i="2"/>
  <c r="O4110" i="2"/>
  <c r="O4111" i="2"/>
  <c r="O4112" i="2"/>
  <c r="O4113" i="2"/>
  <c r="O4114" i="2"/>
  <c r="O4115" i="2"/>
  <c r="O4116" i="2"/>
  <c r="O4117" i="2"/>
  <c r="O4118" i="2"/>
  <c r="O4119" i="2"/>
  <c r="O4120" i="2"/>
  <c r="O4121" i="2"/>
  <c r="O4122" i="2"/>
  <c r="O4123" i="2"/>
  <c r="O4124" i="2"/>
  <c r="O4125" i="2"/>
  <c r="O4126" i="2"/>
  <c r="O4127" i="2"/>
  <c r="O4128" i="2"/>
  <c r="O4129" i="2"/>
  <c r="O4130" i="2"/>
  <c r="O4131" i="2"/>
  <c r="O4132" i="2"/>
  <c r="O4133" i="2"/>
  <c r="O4134" i="2"/>
  <c r="O4135" i="2"/>
  <c r="O4136" i="2"/>
  <c r="O4137" i="2"/>
  <c r="O4138" i="2"/>
  <c r="O4139" i="2"/>
  <c r="O4140" i="2"/>
  <c r="O4141" i="2"/>
  <c r="O4142" i="2"/>
  <c r="O4143" i="2"/>
  <c r="O4144" i="2"/>
  <c r="O4145" i="2"/>
  <c r="O4146" i="2"/>
  <c r="O4147" i="2"/>
  <c r="O4148" i="2"/>
  <c r="O4149" i="2"/>
  <c r="O4150" i="2"/>
  <c r="O4151" i="2"/>
  <c r="O4152" i="2"/>
  <c r="O4153" i="2"/>
  <c r="O4154" i="2"/>
  <c r="O4155" i="2"/>
  <c r="O4156" i="2"/>
  <c r="O4157" i="2"/>
  <c r="O4158" i="2"/>
  <c r="O4159" i="2"/>
  <c r="O4160" i="2"/>
  <c r="O4161" i="2"/>
  <c r="O4162" i="2"/>
  <c r="O4163" i="2"/>
  <c r="O4164" i="2"/>
  <c r="O4165" i="2"/>
  <c r="O4166" i="2"/>
  <c r="O4167" i="2"/>
  <c r="O4168" i="2"/>
  <c r="O4169" i="2"/>
  <c r="O4170" i="2"/>
  <c r="O4171" i="2"/>
  <c r="O4172" i="2"/>
  <c r="O4173" i="2"/>
  <c r="O4174" i="2"/>
  <c r="O4175" i="2"/>
  <c r="O4176" i="2"/>
  <c r="O4177" i="2"/>
  <c r="O4178" i="2"/>
  <c r="O4179" i="2"/>
  <c r="O4180" i="2"/>
  <c r="O4181" i="2"/>
  <c r="O4182" i="2"/>
  <c r="O4183" i="2"/>
  <c r="O4184" i="2"/>
  <c r="O4185" i="2"/>
  <c r="O4186" i="2"/>
  <c r="O4187" i="2"/>
  <c r="O4188" i="2"/>
  <c r="O4189" i="2"/>
  <c r="O4190" i="2"/>
  <c r="O4191" i="2"/>
  <c r="O4192" i="2"/>
  <c r="O4193" i="2"/>
  <c r="O4194" i="2"/>
  <c r="O4195" i="2"/>
  <c r="O4196" i="2"/>
  <c r="O4197" i="2"/>
  <c r="O4198" i="2"/>
  <c r="O4199" i="2"/>
  <c r="O4200" i="2"/>
  <c r="O4201" i="2"/>
  <c r="O4202" i="2"/>
  <c r="O4203" i="2"/>
  <c r="O4204" i="2"/>
  <c r="O4205" i="2"/>
  <c r="O4206" i="2"/>
  <c r="O4207" i="2"/>
  <c r="O4208" i="2"/>
  <c r="O4209" i="2"/>
  <c r="O4210" i="2"/>
  <c r="O4211" i="2"/>
  <c r="O4212" i="2"/>
  <c r="O4213" i="2"/>
  <c r="O4214" i="2"/>
  <c r="O4215" i="2"/>
  <c r="O4216" i="2"/>
  <c r="O4217" i="2"/>
  <c r="O4218" i="2"/>
  <c r="O4219" i="2"/>
  <c r="O4220" i="2"/>
  <c r="O4221" i="2"/>
  <c r="O4222" i="2"/>
  <c r="O4223" i="2"/>
  <c r="O4224" i="2"/>
  <c r="O4225" i="2"/>
  <c r="O4226" i="2"/>
  <c r="O4227" i="2"/>
  <c r="O4228" i="2"/>
  <c r="O4229" i="2"/>
  <c r="O4230" i="2"/>
  <c r="O4231" i="2"/>
  <c r="O4232" i="2"/>
  <c r="O4233" i="2"/>
  <c r="O4234" i="2"/>
  <c r="O4235" i="2"/>
  <c r="O4236" i="2"/>
  <c r="O4237" i="2"/>
  <c r="O4238" i="2"/>
  <c r="O4239" i="2"/>
  <c r="O4240" i="2"/>
  <c r="O4241" i="2"/>
  <c r="O4242" i="2"/>
  <c r="O4243" i="2"/>
  <c r="O4244" i="2"/>
  <c r="O4245" i="2"/>
  <c r="O4246" i="2"/>
  <c r="O4247" i="2"/>
  <c r="O4248" i="2"/>
  <c r="O4249" i="2"/>
  <c r="O4250" i="2"/>
  <c r="O4251" i="2"/>
  <c r="O4252" i="2"/>
  <c r="O4253" i="2"/>
  <c r="O4254" i="2"/>
  <c r="O4255" i="2"/>
  <c r="O4256" i="2"/>
  <c r="O4257" i="2"/>
  <c r="O4258" i="2"/>
  <c r="O4259" i="2"/>
  <c r="O4260" i="2"/>
  <c r="O4261" i="2"/>
  <c r="O4262" i="2"/>
  <c r="O4263" i="2"/>
  <c r="O4264" i="2"/>
  <c r="O4265" i="2"/>
  <c r="O4266" i="2"/>
  <c r="O4267" i="2"/>
  <c r="O4268" i="2"/>
  <c r="O4269" i="2"/>
  <c r="O4270" i="2"/>
  <c r="O4271" i="2"/>
  <c r="O4272" i="2"/>
  <c r="O4273" i="2"/>
  <c r="O4274" i="2"/>
  <c r="O4275" i="2"/>
  <c r="O4276" i="2"/>
  <c r="O4277" i="2"/>
  <c r="O4278" i="2"/>
  <c r="O4279" i="2"/>
  <c r="O4280" i="2"/>
  <c r="O4281" i="2"/>
  <c r="O4282" i="2"/>
  <c r="O4283" i="2"/>
  <c r="O4284" i="2"/>
  <c r="O4285" i="2"/>
  <c r="O4286" i="2"/>
  <c r="O4287" i="2"/>
  <c r="O4288" i="2"/>
  <c r="O4289" i="2"/>
  <c r="O4290" i="2"/>
  <c r="O4291" i="2"/>
  <c r="O4292" i="2"/>
  <c r="O4293" i="2"/>
  <c r="O4294" i="2"/>
  <c r="O4295" i="2"/>
  <c r="O4296" i="2"/>
  <c r="O4297" i="2"/>
  <c r="O4298" i="2"/>
  <c r="O4299" i="2"/>
  <c r="O4300" i="2"/>
  <c r="O4301" i="2"/>
  <c r="O4302" i="2"/>
  <c r="O4303" i="2"/>
  <c r="O4304" i="2"/>
  <c r="O4305" i="2"/>
  <c r="O4306" i="2"/>
  <c r="O4307" i="2"/>
  <c r="O4308" i="2"/>
  <c r="O4309" i="2"/>
  <c r="O4310" i="2"/>
  <c r="O4311" i="2"/>
  <c r="O4312" i="2"/>
  <c r="O4313" i="2"/>
  <c r="O4314" i="2"/>
  <c r="O4315" i="2"/>
  <c r="O4316" i="2"/>
  <c r="O4317" i="2"/>
  <c r="O4318" i="2"/>
  <c r="O4319" i="2"/>
  <c r="O4320" i="2"/>
  <c r="O4321" i="2"/>
  <c r="O4322" i="2"/>
  <c r="O4323" i="2"/>
  <c r="O4324" i="2"/>
  <c r="O4325" i="2"/>
  <c r="O4326" i="2"/>
  <c r="O4327" i="2"/>
  <c r="O4328" i="2"/>
  <c r="O4329" i="2"/>
  <c r="O4330" i="2"/>
  <c r="O4331" i="2"/>
  <c r="O4332" i="2"/>
  <c r="O4333" i="2"/>
  <c r="O4334" i="2"/>
  <c r="O4335" i="2"/>
  <c r="O4336" i="2"/>
  <c r="O4337" i="2"/>
  <c r="O4338" i="2"/>
  <c r="O4339" i="2"/>
  <c r="O4340" i="2"/>
  <c r="O4341" i="2"/>
  <c r="O4342" i="2"/>
  <c r="O4343" i="2"/>
  <c r="O4344" i="2"/>
  <c r="O4345" i="2"/>
  <c r="O4346" i="2"/>
  <c r="O4347" i="2"/>
  <c r="O4348" i="2"/>
  <c r="O4349" i="2"/>
  <c r="O4350" i="2"/>
  <c r="O4351" i="2"/>
  <c r="O4352" i="2"/>
  <c r="O4353" i="2"/>
  <c r="O4354" i="2"/>
  <c r="O4355" i="2"/>
  <c r="O4356" i="2"/>
  <c r="O4357" i="2"/>
  <c r="O4358" i="2"/>
  <c r="O4359" i="2"/>
  <c r="O4360" i="2"/>
  <c r="O4361" i="2"/>
  <c r="O4362" i="2"/>
  <c r="O4363" i="2"/>
  <c r="O4364" i="2"/>
  <c r="O4365" i="2"/>
  <c r="O4366" i="2"/>
  <c r="O4367" i="2"/>
  <c r="O4368" i="2"/>
  <c r="O4369" i="2"/>
  <c r="O4370" i="2"/>
  <c r="O4371" i="2"/>
  <c r="O4372" i="2"/>
  <c r="O4373" i="2"/>
  <c r="O4374" i="2"/>
  <c r="O4375" i="2"/>
  <c r="O4376" i="2"/>
  <c r="O4377" i="2"/>
  <c r="O4378" i="2"/>
  <c r="O4379" i="2"/>
  <c r="O4380" i="2"/>
  <c r="O4381" i="2"/>
  <c r="O4382" i="2"/>
  <c r="O4383" i="2"/>
  <c r="O4384" i="2"/>
  <c r="O4385" i="2"/>
  <c r="O4386" i="2"/>
  <c r="O4387" i="2"/>
  <c r="O4388" i="2"/>
  <c r="O4389" i="2"/>
  <c r="O4390" i="2"/>
  <c r="O4391" i="2"/>
  <c r="O4392" i="2"/>
  <c r="O4393" i="2"/>
  <c r="O4394" i="2"/>
  <c r="O4395" i="2"/>
  <c r="O4396" i="2"/>
  <c r="O4397" i="2"/>
  <c r="O4398" i="2"/>
  <c r="O4399" i="2"/>
  <c r="O4400" i="2"/>
  <c r="O4401" i="2"/>
  <c r="O4402" i="2"/>
  <c r="O4403" i="2"/>
  <c r="O4404" i="2"/>
  <c r="O4405" i="2"/>
  <c r="O4406" i="2"/>
  <c r="O4407" i="2"/>
  <c r="O4408" i="2"/>
  <c r="O4409" i="2"/>
  <c r="O4410" i="2"/>
  <c r="O4411" i="2"/>
  <c r="O4412" i="2"/>
  <c r="O4413" i="2"/>
  <c r="O4414" i="2"/>
  <c r="O4415" i="2"/>
  <c r="O4416" i="2"/>
  <c r="O4417" i="2"/>
  <c r="O4418" i="2"/>
  <c r="O4419" i="2"/>
  <c r="O4420" i="2"/>
  <c r="O4421" i="2"/>
  <c r="O4422" i="2"/>
  <c r="O4423" i="2"/>
  <c r="O4424" i="2"/>
  <c r="O4425" i="2"/>
  <c r="O4426" i="2"/>
  <c r="O4427" i="2"/>
  <c r="O4428" i="2"/>
  <c r="O4429" i="2"/>
  <c r="O4430" i="2"/>
  <c r="O4431" i="2"/>
  <c r="O4432" i="2"/>
  <c r="O4433" i="2"/>
  <c r="O4434" i="2"/>
  <c r="O4435" i="2"/>
  <c r="O4436" i="2"/>
  <c r="O4437" i="2"/>
  <c r="O4438" i="2"/>
  <c r="O4439" i="2"/>
  <c r="O4440" i="2"/>
  <c r="O4441" i="2"/>
  <c r="O4442" i="2"/>
  <c r="O4443" i="2"/>
  <c r="O4444" i="2"/>
  <c r="O4445" i="2"/>
  <c r="O4446" i="2"/>
  <c r="O4447" i="2"/>
  <c r="O4448" i="2"/>
  <c r="O4449" i="2"/>
  <c r="O4450" i="2"/>
  <c r="O4451" i="2"/>
  <c r="O4452" i="2"/>
  <c r="O4453" i="2"/>
  <c r="O4454" i="2"/>
  <c r="O4455" i="2"/>
  <c r="O4456" i="2"/>
  <c r="O4457" i="2"/>
  <c r="O4458" i="2"/>
  <c r="O4459" i="2"/>
  <c r="O4460" i="2"/>
  <c r="O4461" i="2"/>
  <c r="O4462" i="2"/>
  <c r="O4463" i="2"/>
  <c r="O4464" i="2"/>
  <c r="O4465" i="2"/>
  <c r="O4466" i="2"/>
  <c r="O4467" i="2"/>
  <c r="O4468" i="2"/>
  <c r="O4469" i="2"/>
  <c r="O4470" i="2"/>
  <c r="O4471" i="2"/>
  <c r="O4472" i="2"/>
  <c r="O4473" i="2"/>
  <c r="O4474" i="2"/>
  <c r="O4475" i="2"/>
  <c r="O4476" i="2"/>
  <c r="O4477" i="2"/>
  <c r="O4478" i="2"/>
  <c r="O4479" i="2"/>
  <c r="O4480" i="2"/>
  <c r="O4481" i="2"/>
  <c r="O4482" i="2"/>
  <c r="O4483" i="2"/>
  <c r="O4484" i="2"/>
  <c r="O4485" i="2"/>
  <c r="O4486" i="2"/>
  <c r="O4487" i="2"/>
  <c r="O4488" i="2"/>
  <c r="O4489" i="2"/>
  <c r="O4490" i="2"/>
  <c r="O4491" i="2"/>
  <c r="O4492" i="2"/>
  <c r="O4493" i="2"/>
  <c r="O4494" i="2"/>
  <c r="O4495" i="2"/>
  <c r="O4496" i="2"/>
  <c r="O4497" i="2"/>
  <c r="O4498" i="2"/>
  <c r="O4499" i="2"/>
  <c r="O4500" i="2"/>
  <c r="O4501" i="2"/>
  <c r="O4502" i="2"/>
  <c r="O4503" i="2"/>
  <c r="O4504" i="2"/>
  <c r="O4505" i="2"/>
  <c r="O4506" i="2"/>
  <c r="O4507" i="2"/>
  <c r="O4508" i="2"/>
  <c r="O4509" i="2"/>
  <c r="O4510" i="2"/>
  <c r="O4511" i="2"/>
  <c r="O4512" i="2"/>
  <c r="O4513" i="2"/>
  <c r="O4514" i="2"/>
  <c r="O4515" i="2"/>
  <c r="O4516" i="2"/>
  <c r="O4517" i="2"/>
  <c r="O4518" i="2"/>
  <c r="O4519" i="2"/>
  <c r="O4520" i="2"/>
  <c r="O4521" i="2"/>
  <c r="O4522" i="2"/>
  <c r="O4523" i="2"/>
  <c r="O4524" i="2"/>
  <c r="O4525" i="2"/>
  <c r="O4526" i="2"/>
  <c r="O4527" i="2"/>
  <c r="O4528" i="2"/>
  <c r="O4529" i="2"/>
  <c r="O4530" i="2"/>
  <c r="O4531" i="2"/>
  <c r="O4532" i="2"/>
  <c r="O4533" i="2"/>
  <c r="O4534" i="2"/>
  <c r="O4535" i="2"/>
  <c r="O4536" i="2"/>
  <c r="O4537" i="2"/>
  <c r="O4538" i="2"/>
  <c r="O4539" i="2"/>
  <c r="O4540" i="2"/>
  <c r="O4541" i="2"/>
  <c r="O4542" i="2"/>
  <c r="O4543" i="2"/>
  <c r="O4544" i="2"/>
  <c r="O4545" i="2"/>
  <c r="O4546" i="2"/>
  <c r="O4547" i="2"/>
  <c r="O4548" i="2"/>
  <c r="O4549" i="2"/>
  <c r="O4550" i="2"/>
  <c r="O4551" i="2"/>
  <c r="O4552" i="2"/>
  <c r="O4553" i="2"/>
  <c r="O4554" i="2"/>
  <c r="O4555" i="2"/>
  <c r="O4556" i="2"/>
  <c r="O4557" i="2"/>
  <c r="O4558" i="2"/>
  <c r="O4559" i="2"/>
  <c r="O4560" i="2"/>
  <c r="O4561" i="2"/>
  <c r="O4562" i="2"/>
  <c r="O4563" i="2"/>
  <c r="O4564" i="2"/>
  <c r="O4565" i="2"/>
  <c r="O4566" i="2"/>
  <c r="O4567" i="2"/>
  <c r="O4568" i="2"/>
  <c r="O4569" i="2"/>
  <c r="O4570" i="2"/>
  <c r="O4571" i="2"/>
  <c r="O4572" i="2"/>
  <c r="O4573" i="2"/>
  <c r="O4574" i="2"/>
  <c r="O4575" i="2"/>
  <c r="O4576" i="2"/>
  <c r="O4577" i="2"/>
  <c r="O4578" i="2"/>
  <c r="O4579" i="2"/>
  <c r="O4580" i="2"/>
  <c r="O4581" i="2"/>
  <c r="O4582" i="2"/>
  <c r="O4583" i="2"/>
  <c r="O4584" i="2"/>
  <c r="O4585" i="2"/>
  <c r="O4586" i="2"/>
  <c r="O4587" i="2"/>
  <c r="O4588" i="2"/>
  <c r="O4589" i="2"/>
  <c r="O4590" i="2"/>
  <c r="O4591" i="2"/>
  <c r="O4592" i="2"/>
  <c r="O4593" i="2"/>
  <c r="O4594" i="2"/>
  <c r="O4595" i="2"/>
  <c r="O4596" i="2"/>
  <c r="O4597" i="2"/>
  <c r="O4598" i="2"/>
  <c r="O4599" i="2"/>
  <c r="O4600" i="2"/>
  <c r="O4601" i="2"/>
  <c r="O4602" i="2"/>
  <c r="O4603" i="2"/>
  <c r="O4604" i="2"/>
  <c r="O4605" i="2"/>
  <c r="O4606" i="2"/>
  <c r="O4607" i="2"/>
  <c r="O4608" i="2"/>
  <c r="O4609" i="2"/>
  <c r="O4610" i="2"/>
  <c r="O4611" i="2"/>
  <c r="O4612" i="2"/>
  <c r="O4613" i="2"/>
  <c r="O4614" i="2"/>
  <c r="O4615" i="2"/>
  <c r="O4616" i="2"/>
  <c r="O4617" i="2"/>
  <c r="O4618" i="2"/>
  <c r="O4619" i="2"/>
  <c r="O4620" i="2"/>
  <c r="O4621" i="2"/>
  <c r="O4622" i="2"/>
  <c r="O4623" i="2"/>
  <c r="O4624" i="2"/>
  <c r="O4625" i="2"/>
  <c r="O4626" i="2"/>
  <c r="O4627" i="2"/>
  <c r="O4628" i="2"/>
  <c r="O4629" i="2"/>
  <c r="O4630" i="2"/>
  <c r="O4631" i="2"/>
  <c r="O4632" i="2"/>
  <c r="O4633" i="2"/>
  <c r="O4634" i="2"/>
  <c r="O4635" i="2"/>
  <c r="O4636" i="2"/>
  <c r="O4637" i="2"/>
  <c r="O4638" i="2"/>
  <c r="O4639" i="2"/>
  <c r="O4640" i="2"/>
  <c r="O4641" i="2"/>
  <c r="O4642" i="2"/>
  <c r="O4643" i="2"/>
  <c r="O4644" i="2"/>
  <c r="O4645" i="2"/>
  <c r="O4646" i="2"/>
  <c r="O4647" i="2"/>
  <c r="O4648" i="2"/>
  <c r="O4649" i="2"/>
  <c r="O4650" i="2"/>
  <c r="O4651" i="2"/>
  <c r="O4652" i="2"/>
  <c r="O4653" i="2"/>
  <c r="O4654" i="2"/>
  <c r="O4655" i="2"/>
  <c r="O4656" i="2"/>
  <c r="O4657" i="2"/>
  <c r="O4658" i="2"/>
  <c r="O4659" i="2"/>
  <c r="O4660" i="2"/>
  <c r="O4661" i="2"/>
  <c r="O4662" i="2"/>
  <c r="O4663" i="2"/>
  <c r="O4664" i="2"/>
  <c r="O4665" i="2"/>
  <c r="O4666" i="2"/>
  <c r="O4667" i="2"/>
  <c r="O4668" i="2"/>
  <c r="O4669" i="2"/>
  <c r="O4670" i="2"/>
  <c r="O4671" i="2"/>
  <c r="O4672" i="2"/>
  <c r="O4673" i="2"/>
  <c r="O4674" i="2"/>
  <c r="O4675" i="2"/>
  <c r="O4676" i="2"/>
  <c r="O4677" i="2"/>
  <c r="O4678" i="2"/>
  <c r="O4679" i="2"/>
  <c r="O4680" i="2"/>
  <c r="O4681" i="2"/>
  <c r="O4682" i="2"/>
  <c r="O4683" i="2"/>
  <c r="O4684" i="2"/>
  <c r="O4685" i="2"/>
  <c r="O4686" i="2"/>
  <c r="O4687" i="2"/>
  <c r="O4688" i="2"/>
  <c r="O4689" i="2"/>
  <c r="O4690" i="2"/>
  <c r="O4691" i="2"/>
  <c r="O4692" i="2"/>
  <c r="O4693" i="2"/>
  <c r="O4694" i="2"/>
  <c r="O4695" i="2"/>
  <c r="O4696" i="2"/>
  <c r="O4697" i="2"/>
  <c r="O4698" i="2"/>
  <c r="O4699" i="2"/>
  <c r="O4700" i="2"/>
  <c r="O4701" i="2"/>
  <c r="O4702" i="2"/>
  <c r="O4703" i="2"/>
  <c r="O4704" i="2"/>
  <c r="O4705" i="2"/>
  <c r="O4706" i="2"/>
  <c r="O4707" i="2"/>
  <c r="O4708" i="2"/>
  <c r="O4709" i="2"/>
  <c r="O4710" i="2"/>
  <c r="O4711" i="2"/>
  <c r="O4712" i="2"/>
  <c r="O4713" i="2"/>
  <c r="O4714" i="2"/>
  <c r="O4715" i="2"/>
  <c r="O4716" i="2"/>
  <c r="O4717" i="2"/>
  <c r="O4718" i="2"/>
  <c r="O4719" i="2"/>
  <c r="O4720" i="2"/>
  <c r="O4721" i="2"/>
  <c r="O4722" i="2"/>
  <c r="O4723" i="2"/>
  <c r="O4724" i="2"/>
  <c r="O4725" i="2"/>
  <c r="O4726" i="2"/>
  <c r="O4727" i="2"/>
  <c r="O4728" i="2"/>
  <c r="O4729" i="2"/>
  <c r="O4730" i="2"/>
  <c r="O4731" i="2"/>
  <c r="O4732" i="2"/>
  <c r="O4733" i="2"/>
  <c r="O4734" i="2"/>
  <c r="O4735" i="2"/>
  <c r="O4736" i="2"/>
  <c r="O4737" i="2"/>
  <c r="O4738" i="2"/>
  <c r="O4739" i="2"/>
  <c r="O4740" i="2"/>
  <c r="O4741" i="2"/>
  <c r="O4742" i="2"/>
  <c r="O4743" i="2"/>
  <c r="O4744" i="2"/>
  <c r="O4745" i="2"/>
  <c r="O4746" i="2"/>
  <c r="O4747" i="2"/>
  <c r="O4748" i="2"/>
  <c r="O4749" i="2"/>
  <c r="O4750" i="2"/>
  <c r="O4751" i="2"/>
  <c r="O4752" i="2"/>
  <c r="O4753" i="2"/>
  <c r="O4754" i="2"/>
  <c r="O4755" i="2"/>
  <c r="O4756" i="2"/>
  <c r="O4757" i="2"/>
  <c r="O4758" i="2"/>
  <c r="O4759" i="2"/>
  <c r="O4760" i="2"/>
  <c r="O4761" i="2"/>
  <c r="O4762" i="2"/>
  <c r="O4763" i="2"/>
  <c r="O4764" i="2"/>
  <c r="O4765" i="2"/>
  <c r="O4766" i="2"/>
  <c r="O4767" i="2"/>
  <c r="O4768" i="2"/>
  <c r="O4769" i="2"/>
  <c r="O4770" i="2"/>
  <c r="O4771" i="2"/>
  <c r="O4772" i="2"/>
  <c r="O4773" i="2"/>
  <c r="O4774" i="2"/>
  <c r="O4775" i="2"/>
  <c r="O4776" i="2"/>
  <c r="O4777" i="2"/>
  <c r="O4778" i="2"/>
  <c r="O4779" i="2"/>
  <c r="O4780" i="2"/>
  <c r="O4781" i="2"/>
  <c r="O4782" i="2"/>
  <c r="O4783" i="2"/>
  <c r="O4784" i="2"/>
  <c r="O4785" i="2"/>
  <c r="O4786" i="2"/>
  <c r="O4787" i="2"/>
  <c r="O4788" i="2"/>
  <c r="O4789" i="2"/>
  <c r="O4790" i="2"/>
  <c r="O4791" i="2"/>
  <c r="O4792" i="2"/>
  <c r="O4793" i="2"/>
  <c r="O4794" i="2"/>
  <c r="O4795" i="2"/>
  <c r="O4796" i="2"/>
  <c r="O4797" i="2"/>
  <c r="O4798" i="2"/>
  <c r="O4799" i="2"/>
  <c r="O4800" i="2"/>
  <c r="O4801" i="2"/>
  <c r="O4802" i="2"/>
  <c r="O4803" i="2"/>
  <c r="O4804" i="2"/>
  <c r="O4805" i="2"/>
  <c r="O4806" i="2"/>
  <c r="O4807" i="2"/>
  <c r="O4808" i="2"/>
  <c r="O4809" i="2"/>
  <c r="O4810" i="2"/>
  <c r="O4811" i="2"/>
  <c r="O4812" i="2"/>
  <c r="O4813" i="2"/>
  <c r="O4814" i="2"/>
  <c r="O4815" i="2"/>
  <c r="O4816" i="2"/>
  <c r="O4817" i="2"/>
  <c r="O4818" i="2"/>
  <c r="O4819" i="2"/>
  <c r="O4820" i="2"/>
  <c r="O4821" i="2"/>
  <c r="O4822" i="2"/>
  <c r="O4823" i="2"/>
  <c r="O4824" i="2"/>
  <c r="O4825" i="2"/>
  <c r="O4826" i="2"/>
  <c r="O4827" i="2"/>
  <c r="O4828" i="2"/>
  <c r="O4829" i="2"/>
  <c r="O4830" i="2"/>
  <c r="O4831" i="2"/>
  <c r="O4832" i="2"/>
  <c r="O4833" i="2"/>
  <c r="O4834" i="2"/>
  <c r="O4835" i="2"/>
  <c r="O4836" i="2"/>
  <c r="O4837" i="2"/>
  <c r="O4838" i="2"/>
  <c r="O4839" i="2"/>
  <c r="O4840" i="2"/>
  <c r="O4841" i="2"/>
  <c r="O4842" i="2"/>
  <c r="O4843" i="2"/>
  <c r="O4844" i="2"/>
  <c r="O4845" i="2"/>
  <c r="O4846" i="2"/>
  <c r="O4847" i="2"/>
  <c r="O4848" i="2"/>
  <c r="O4849" i="2"/>
  <c r="O4850" i="2"/>
  <c r="O4851" i="2"/>
  <c r="O4852" i="2"/>
  <c r="O4853" i="2"/>
  <c r="O4854" i="2"/>
  <c r="O4855" i="2"/>
  <c r="O4856" i="2"/>
  <c r="O4857" i="2"/>
  <c r="O4858" i="2"/>
  <c r="O4859" i="2"/>
  <c r="O4860" i="2"/>
  <c r="O4861" i="2"/>
  <c r="O4862" i="2"/>
  <c r="O4863" i="2"/>
  <c r="O4864" i="2"/>
  <c r="O4865" i="2"/>
  <c r="O4866" i="2"/>
  <c r="O4867" i="2"/>
  <c r="O4868" i="2"/>
  <c r="O4869" i="2"/>
  <c r="O4870" i="2"/>
  <c r="O4871" i="2"/>
  <c r="O4872" i="2"/>
  <c r="O4873" i="2"/>
  <c r="O4874" i="2"/>
  <c r="O4875" i="2"/>
  <c r="O4876" i="2"/>
  <c r="O4877" i="2"/>
  <c r="O4878" i="2"/>
  <c r="O4879" i="2"/>
  <c r="O4880" i="2"/>
  <c r="O4881" i="2"/>
  <c r="O4882" i="2"/>
  <c r="O4883" i="2"/>
  <c r="O4884" i="2"/>
  <c r="O4885" i="2"/>
  <c r="O4886" i="2"/>
  <c r="O4887" i="2"/>
  <c r="O4888" i="2"/>
  <c r="O4889" i="2"/>
  <c r="O4890" i="2"/>
  <c r="O4891" i="2"/>
  <c r="O4892" i="2"/>
  <c r="O4893" i="2"/>
  <c r="O4894" i="2"/>
  <c r="O4895" i="2"/>
  <c r="O4896" i="2"/>
  <c r="O4897" i="2"/>
  <c r="O4898" i="2"/>
  <c r="O4899" i="2"/>
  <c r="O4900" i="2"/>
  <c r="O4901" i="2"/>
  <c r="O4902" i="2"/>
  <c r="O4903" i="2"/>
  <c r="O4904" i="2"/>
  <c r="O4905" i="2"/>
  <c r="O4906" i="2"/>
  <c r="O4907" i="2"/>
  <c r="O4908" i="2"/>
  <c r="O4909" i="2"/>
  <c r="O4910" i="2"/>
  <c r="O4911" i="2"/>
  <c r="O4912" i="2"/>
  <c r="O4913" i="2"/>
  <c r="O4914" i="2"/>
  <c r="O4915" i="2"/>
  <c r="O4916" i="2"/>
  <c r="O4917" i="2"/>
  <c r="O4918" i="2"/>
  <c r="O4919" i="2"/>
  <c r="O4920" i="2"/>
  <c r="O4921" i="2"/>
  <c r="O4922" i="2"/>
  <c r="O4923" i="2"/>
  <c r="O4924" i="2"/>
  <c r="O4925" i="2"/>
  <c r="O4926" i="2"/>
  <c r="O4927" i="2"/>
  <c r="O4928" i="2"/>
  <c r="O4929" i="2"/>
  <c r="O4930" i="2"/>
  <c r="O4931" i="2"/>
  <c r="O4932" i="2"/>
  <c r="O4933" i="2"/>
  <c r="O4934" i="2"/>
  <c r="O4935" i="2"/>
  <c r="O4936" i="2"/>
  <c r="O4937" i="2"/>
  <c r="O4938" i="2"/>
  <c r="O4939" i="2"/>
  <c r="O4940" i="2"/>
  <c r="O4941" i="2"/>
  <c r="O4942" i="2"/>
  <c r="O4943" i="2"/>
  <c r="O4944" i="2"/>
  <c r="O4945" i="2"/>
  <c r="O4946" i="2"/>
  <c r="O4947" i="2"/>
  <c r="O4948" i="2"/>
  <c r="O4949" i="2"/>
  <c r="O4950" i="2"/>
  <c r="O4951" i="2"/>
  <c r="O4952" i="2"/>
  <c r="O4953" i="2"/>
  <c r="O4954" i="2"/>
  <c r="O4955" i="2"/>
  <c r="O4956" i="2"/>
  <c r="O4957" i="2"/>
  <c r="O4958" i="2"/>
  <c r="O4959" i="2"/>
  <c r="O4960" i="2"/>
  <c r="O4961" i="2"/>
  <c r="O4962" i="2"/>
  <c r="O4963" i="2"/>
  <c r="O4964" i="2"/>
  <c r="O4965" i="2"/>
  <c r="O4966" i="2"/>
  <c r="O4967" i="2"/>
  <c r="O4968" i="2"/>
  <c r="O4969" i="2"/>
  <c r="O4970" i="2"/>
  <c r="O4971" i="2"/>
  <c r="O4972" i="2"/>
  <c r="O4973" i="2"/>
  <c r="O4974" i="2"/>
  <c r="O4975" i="2"/>
  <c r="O4976" i="2"/>
  <c r="O4977" i="2"/>
  <c r="O4978" i="2"/>
  <c r="O4979" i="2"/>
  <c r="O4980" i="2"/>
  <c r="O4981" i="2"/>
  <c r="O4982" i="2"/>
  <c r="O4983" i="2"/>
  <c r="L171" i="2" l="1"/>
  <c r="L169" i="2"/>
  <c r="T5" i="2"/>
  <c r="D5" i="12"/>
  <c r="D31" i="12"/>
  <c r="D10" i="12"/>
  <c r="D21" i="12"/>
  <c r="D37" i="12"/>
  <c r="D32" i="12"/>
  <c r="D16" i="12"/>
  <c r="D26" i="12"/>
  <c r="D27" i="12"/>
  <c r="D33" i="12"/>
  <c r="D29" i="12"/>
  <c r="D25" i="12"/>
  <c r="D17" i="12"/>
  <c r="D34" i="12"/>
  <c r="J4" i="2" l="1"/>
  <c r="J5" i="2"/>
  <c r="J6" i="2"/>
  <c r="J7" i="2"/>
  <c r="O13" i="2" s="1"/>
  <c r="J8" i="2"/>
  <c r="O8" i="2" s="1"/>
  <c r="J9" i="2"/>
  <c r="O9" i="2" s="1"/>
  <c r="J11" i="2"/>
  <c r="O17" i="2" s="1"/>
  <c r="J12" i="2"/>
  <c r="O18" i="2" s="1"/>
  <c r="J14" i="2"/>
  <c r="O19" i="2" s="1"/>
  <c r="J15" i="2"/>
  <c r="O20" i="2" s="1"/>
  <c r="J21" i="2"/>
  <c r="O21" i="2" s="1"/>
  <c r="J22" i="2"/>
  <c r="O22" i="2" s="1"/>
  <c r="J23" i="2"/>
  <c r="O23" i="2" s="1"/>
  <c r="J24" i="2"/>
  <c r="O24" i="2" s="1"/>
  <c r="J25" i="2"/>
  <c r="O25" i="2" s="1"/>
  <c r="J26" i="2"/>
  <c r="O26" i="2" s="1"/>
  <c r="J27" i="2"/>
  <c r="O27" i="2" s="1"/>
  <c r="J28" i="2"/>
  <c r="O28" i="2" s="1"/>
  <c r="J29" i="2"/>
  <c r="O29" i="2" s="1"/>
  <c r="J95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70" i="2"/>
  <c r="J53" i="2"/>
  <c r="J51" i="2"/>
  <c r="O51" i="2" s="1"/>
  <c r="J52" i="2"/>
  <c r="J54" i="2"/>
  <c r="J97" i="2"/>
  <c r="J55" i="2"/>
  <c r="J56" i="2"/>
  <c r="J57" i="2"/>
  <c r="J59" i="2"/>
  <c r="J58" i="2"/>
  <c r="J60" i="2"/>
  <c r="J61" i="2"/>
  <c r="J62" i="2"/>
  <c r="J63" i="2"/>
  <c r="J64" i="2"/>
  <c r="J65" i="2"/>
  <c r="J66" i="2"/>
  <c r="J68" i="2"/>
  <c r="J69" i="2"/>
  <c r="J71" i="2"/>
  <c r="J72" i="2"/>
  <c r="J73" i="2"/>
  <c r="J74" i="2"/>
  <c r="J75" i="2"/>
  <c r="J79" i="2"/>
  <c r="J76" i="2"/>
  <c r="J77" i="2"/>
  <c r="J78" i="2"/>
  <c r="J94" i="2"/>
  <c r="J99" i="2"/>
  <c r="O99" i="2" s="1"/>
  <c r="J121" i="2"/>
  <c r="J173" i="2"/>
  <c r="O173" i="2" s="1"/>
  <c r="J175" i="2"/>
  <c r="O175" i="2" s="1"/>
  <c r="J176" i="2"/>
  <c r="O176" i="2" s="1"/>
  <c r="J82" i="2"/>
  <c r="J177" i="2"/>
  <c r="O177" i="2" s="1"/>
  <c r="J178" i="2"/>
  <c r="O178" i="2" s="1"/>
  <c r="J179" i="2"/>
  <c r="O179" i="2" s="1"/>
  <c r="J180" i="2"/>
  <c r="O180" i="2" s="1"/>
  <c r="J181" i="2"/>
  <c r="O181" i="2" s="1"/>
  <c r="J182" i="2"/>
  <c r="O182" i="2" s="1"/>
  <c r="J183" i="2"/>
  <c r="O183" i="2" s="1"/>
  <c r="J184" i="2"/>
  <c r="O184" i="2" s="1"/>
  <c r="J185" i="2"/>
  <c r="O185" i="2" s="1"/>
  <c r="J186" i="2"/>
  <c r="O186" i="2" s="1"/>
  <c r="J80" i="2"/>
  <c r="J81" i="2"/>
  <c r="J84" i="2"/>
  <c r="J85" i="2"/>
  <c r="J86" i="2"/>
  <c r="J87" i="2"/>
  <c r="J88" i="2"/>
  <c r="J89" i="2"/>
  <c r="J90" i="2"/>
  <c r="J91" i="2"/>
  <c r="J92" i="2"/>
  <c r="J93" i="2"/>
  <c r="J96" i="2"/>
  <c r="J98" i="2"/>
  <c r="O98" i="2" s="1"/>
  <c r="J100" i="2"/>
  <c r="O100" i="2" s="1"/>
  <c r="J101" i="2"/>
  <c r="O101" i="2" s="1"/>
  <c r="J102" i="2"/>
  <c r="O102" i="2" s="1"/>
  <c r="J135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43" i="2"/>
  <c r="O143" i="2" s="1"/>
  <c r="J120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O135" i="2" s="1"/>
  <c r="J136" i="2"/>
  <c r="O136" i="2" s="1"/>
  <c r="J144" i="2"/>
  <c r="O144" i="2" s="1"/>
  <c r="J137" i="2"/>
  <c r="O137" i="2" s="1"/>
  <c r="J138" i="2"/>
  <c r="O138" i="2" s="1"/>
  <c r="J139" i="2"/>
  <c r="O139" i="2" s="1"/>
  <c r="J140" i="2"/>
  <c r="O140" i="2" s="1"/>
  <c r="J141" i="2"/>
  <c r="O141" i="2" s="1"/>
  <c r="J142" i="2"/>
  <c r="O142" i="2" s="1"/>
  <c r="J145" i="2"/>
  <c r="O145" i="2" s="1"/>
  <c r="J146" i="2"/>
  <c r="O146" i="2" s="1"/>
  <c r="J147" i="2"/>
  <c r="O147" i="2" s="1"/>
  <c r="J148" i="2"/>
  <c r="O148" i="2" s="1"/>
  <c r="J149" i="2"/>
  <c r="O149" i="2" s="1"/>
  <c r="J150" i="2"/>
  <c r="O150" i="2" s="1"/>
  <c r="J151" i="2"/>
  <c r="O151" i="2" s="1"/>
  <c r="J152" i="2"/>
  <c r="O152" i="2" s="1"/>
  <c r="J153" i="2"/>
  <c r="O153" i="2" s="1"/>
  <c r="J154" i="2"/>
  <c r="O154" i="2" s="1"/>
  <c r="J155" i="2"/>
  <c r="O155" i="2" s="1"/>
  <c r="J156" i="2"/>
  <c r="O156" i="2" s="1"/>
  <c r="J157" i="2"/>
  <c r="O157" i="2" s="1"/>
  <c r="J158" i="2"/>
  <c r="O158" i="2" s="1"/>
  <c r="J159" i="2"/>
  <c r="O159" i="2" s="1"/>
  <c r="J160" i="2"/>
  <c r="O160" i="2" s="1"/>
  <c r="J161" i="2"/>
  <c r="O161" i="2" s="1"/>
  <c r="J162" i="2"/>
  <c r="O162" i="2" s="1"/>
  <c r="J163" i="2"/>
  <c r="O163" i="2" s="1"/>
  <c r="J164" i="2"/>
  <c r="O164" i="2" s="1"/>
  <c r="J165" i="2"/>
  <c r="O165" i="2" s="1"/>
  <c r="J166" i="2"/>
  <c r="O166" i="2" s="1"/>
  <c r="J167" i="2"/>
  <c r="O167" i="2" s="1"/>
  <c r="J168" i="2"/>
  <c r="O168" i="2" s="1"/>
  <c r="J169" i="2"/>
  <c r="O169" i="2" s="1"/>
  <c r="J170" i="2"/>
  <c r="O170" i="2" s="1"/>
  <c r="J171" i="2"/>
  <c r="O171" i="2" s="1"/>
  <c r="J172" i="2"/>
  <c r="O172" i="2" s="1"/>
  <c r="J174" i="2"/>
  <c r="O174" i="2" s="1"/>
  <c r="J187" i="2"/>
  <c r="O187" i="2" s="1"/>
  <c r="J188" i="2"/>
  <c r="O188" i="2" s="1"/>
  <c r="J189" i="2"/>
  <c r="O189" i="2" s="1"/>
  <c r="J190" i="2"/>
  <c r="O190" i="2" s="1"/>
  <c r="J191" i="2"/>
  <c r="O191" i="2" s="1"/>
  <c r="O192" i="2"/>
  <c r="O2153" i="2"/>
  <c r="O2154" i="2"/>
  <c r="O2155" i="2"/>
  <c r="O2156" i="2"/>
  <c r="O2157" i="2"/>
  <c r="O2158" i="2"/>
  <c r="O2159" i="2"/>
  <c r="O2160" i="2"/>
  <c r="O2161" i="2"/>
  <c r="O2162" i="2"/>
  <c r="O2163" i="2"/>
  <c r="O2164" i="2"/>
  <c r="O2165" i="2"/>
  <c r="O2166" i="2"/>
  <c r="O2167" i="2"/>
  <c r="O2168" i="2"/>
  <c r="O2169" i="2"/>
  <c r="O2170" i="2"/>
  <c r="O2171" i="2"/>
  <c r="O2172" i="2"/>
  <c r="O2173" i="2"/>
  <c r="O2174" i="2"/>
  <c r="O2175" i="2"/>
  <c r="O2176" i="2"/>
  <c r="O2177" i="2"/>
  <c r="O2178" i="2"/>
  <c r="O2179" i="2"/>
  <c r="O2180" i="2"/>
  <c r="O2181" i="2"/>
  <c r="O2182" i="2"/>
  <c r="O2183" i="2"/>
  <c r="O2184" i="2"/>
  <c r="O2185" i="2"/>
  <c r="O2186" i="2"/>
  <c r="O2187" i="2"/>
  <c r="O2188" i="2"/>
  <c r="O2189" i="2"/>
  <c r="O2190" i="2"/>
  <c r="O2191" i="2"/>
  <c r="O2192" i="2"/>
  <c r="O2193" i="2"/>
  <c r="O2194" i="2"/>
  <c r="O2195" i="2"/>
  <c r="O2196" i="2"/>
  <c r="O2197" i="2"/>
  <c r="O2198" i="2"/>
  <c r="O2199" i="2"/>
  <c r="O2200" i="2"/>
  <c r="O2201" i="2"/>
  <c r="O2202" i="2"/>
  <c r="O2203" i="2"/>
  <c r="O2204" i="2"/>
  <c r="O2205" i="2"/>
  <c r="O2206" i="2"/>
  <c r="O2207" i="2"/>
  <c r="O2208" i="2"/>
  <c r="O2209" i="2"/>
  <c r="O2210" i="2"/>
  <c r="O2211" i="2"/>
  <c r="O2212" i="2"/>
  <c r="O2213" i="2"/>
  <c r="O2214" i="2"/>
  <c r="O2215" i="2"/>
  <c r="O2216" i="2"/>
  <c r="O2217" i="2"/>
  <c r="O2218" i="2"/>
  <c r="O2219" i="2"/>
  <c r="O2220" i="2"/>
  <c r="O2221" i="2"/>
  <c r="O2222" i="2"/>
  <c r="O2223" i="2"/>
  <c r="O2224" i="2"/>
  <c r="O2225" i="2"/>
  <c r="O2226" i="2"/>
  <c r="O2227" i="2"/>
  <c r="O2228" i="2"/>
  <c r="O2229" i="2"/>
  <c r="O2230" i="2"/>
  <c r="O2231" i="2"/>
  <c r="O2232" i="2"/>
  <c r="O2233" i="2"/>
  <c r="O2234" i="2"/>
  <c r="O2235" i="2"/>
  <c r="O2236" i="2"/>
  <c r="O2237" i="2"/>
  <c r="O2238" i="2"/>
  <c r="O2239" i="2"/>
  <c r="O2240" i="2"/>
  <c r="O2241" i="2"/>
  <c r="O2242" i="2"/>
  <c r="O2243" i="2"/>
  <c r="O2244" i="2"/>
  <c r="O2245" i="2"/>
  <c r="O2246" i="2"/>
  <c r="O2247" i="2"/>
  <c r="O2248" i="2"/>
  <c r="O2249" i="2"/>
  <c r="O2250" i="2"/>
  <c r="O2251" i="2"/>
  <c r="O2252" i="2"/>
  <c r="O2253" i="2"/>
  <c r="O2254" i="2"/>
  <c r="O2255" i="2"/>
  <c r="O2256" i="2"/>
  <c r="O2257" i="2"/>
  <c r="O2258" i="2"/>
  <c r="O2259" i="2"/>
  <c r="O2260" i="2"/>
  <c r="O2261" i="2"/>
  <c r="O2262" i="2"/>
  <c r="O2263" i="2"/>
  <c r="O2264" i="2"/>
  <c r="O2265" i="2"/>
  <c r="O2266" i="2"/>
  <c r="O2267" i="2"/>
  <c r="O2268" i="2"/>
  <c r="O2269" i="2"/>
  <c r="O2270" i="2"/>
  <c r="O2271" i="2"/>
  <c r="O2272" i="2"/>
  <c r="O2273" i="2"/>
  <c r="O2274" i="2"/>
  <c r="O2275" i="2"/>
  <c r="O2276" i="2"/>
  <c r="O2277" i="2"/>
  <c r="O2278" i="2"/>
  <c r="O2279" i="2"/>
  <c r="O2280" i="2"/>
  <c r="O2281" i="2"/>
  <c r="O2282" i="2"/>
  <c r="O2283" i="2"/>
  <c r="O2284" i="2"/>
  <c r="O2285" i="2"/>
  <c r="O2286" i="2"/>
  <c r="O2287" i="2"/>
  <c r="O2288" i="2"/>
  <c r="O2289" i="2"/>
  <c r="O2290" i="2"/>
  <c r="O2291" i="2"/>
  <c r="O2292" i="2"/>
  <c r="O2293" i="2"/>
  <c r="O2294" i="2"/>
  <c r="O2295" i="2"/>
  <c r="O2296" i="2"/>
  <c r="O2297" i="2"/>
  <c r="O2298" i="2"/>
  <c r="O2299" i="2"/>
  <c r="O2300" i="2"/>
  <c r="O2301" i="2"/>
  <c r="O2302" i="2"/>
  <c r="O2303" i="2"/>
  <c r="O2304" i="2"/>
  <c r="O2305" i="2"/>
  <c r="O2306" i="2"/>
  <c r="O2307" i="2"/>
  <c r="O2308" i="2"/>
  <c r="O2309" i="2"/>
  <c r="O2310" i="2"/>
  <c r="O2311" i="2"/>
  <c r="O2312" i="2"/>
  <c r="O2313" i="2"/>
  <c r="O2314" i="2"/>
  <c r="O2315" i="2"/>
  <c r="O2316" i="2"/>
  <c r="O2317" i="2"/>
  <c r="O2318" i="2"/>
  <c r="O2319" i="2"/>
  <c r="O2320" i="2"/>
  <c r="O2321" i="2"/>
  <c r="O2322" i="2"/>
  <c r="O2323" i="2"/>
  <c r="O2324" i="2"/>
  <c r="O2325" i="2"/>
  <c r="O2326" i="2"/>
  <c r="O2327" i="2"/>
  <c r="O2328" i="2"/>
  <c r="O2329" i="2"/>
  <c r="O2330" i="2"/>
  <c r="O2331" i="2"/>
  <c r="O2332" i="2"/>
  <c r="O2333" i="2"/>
  <c r="O2334" i="2"/>
  <c r="O2335" i="2"/>
  <c r="O2336" i="2"/>
  <c r="O2337" i="2"/>
  <c r="O2338" i="2"/>
  <c r="O2339" i="2"/>
  <c r="O2340" i="2"/>
  <c r="O2341" i="2"/>
  <c r="O2342" i="2"/>
  <c r="O2343" i="2"/>
  <c r="O2344" i="2"/>
  <c r="O2345" i="2"/>
  <c r="O2346" i="2"/>
  <c r="O2347" i="2"/>
  <c r="O2348" i="2"/>
  <c r="O2349" i="2"/>
  <c r="O2350" i="2"/>
  <c r="O2351" i="2"/>
  <c r="O2352" i="2"/>
  <c r="O2353" i="2"/>
  <c r="O2354" i="2"/>
  <c r="O2355" i="2"/>
  <c r="O2356" i="2"/>
  <c r="O2357" i="2"/>
  <c r="O2358" i="2"/>
  <c r="O2359" i="2"/>
  <c r="O2360" i="2"/>
  <c r="O2361" i="2"/>
  <c r="O2362" i="2"/>
  <c r="O2363" i="2"/>
  <c r="O2364" i="2"/>
  <c r="O2365" i="2"/>
  <c r="O2366" i="2"/>
  <c r="O2367" i="2"/>
  <c r="O2368" i="2"/>
  <c r="O2369" i="2"/>
  <c r="O2370" i="2"/>
  <c r="O2371" i="2"/>
  <c r="O2372" i="2"/>
  <c r="O2373" i="2"/>
  <c r="O2374" i="2"/>
  <c r="O2375" i="2"/>
  <c r="O2376" i="2"/>
  <c r="O2377" i="2"/>
  <c r="O2378" i="2"/>
  <c r="O2379" i="2"/>
  <c r="O2380" i="2"/>
  <c r="O2381" i="2"/>
  <c r="O2382" i="2"/>
  <c r="O2383" i="2"/>
  <c r="O2384" i="2"/>
  <c r="O2385" i="2"/>
  <c r="O2386" i="2"/>
  <c r="O2387" i="2"/>
  <c r="O2388" i="2"/>
  <c r="O2389" i="2"/>
  <c r="O2390" i="2"/>
  <c r="O2391" i="2"/>
  <c r="O2392" i="2"/>
  <c r="O2393" i="2"/>
  <c r="O2394" i="2"/>
  <c r="O2395" i="2"/>
  <c r="O2396" i="2"/>
  <c r="O2397" i="2"/>
  <c r="O2398" i="2"/>
  <c r="O2399" i="2"/>
  <c r="O2400" i="2"/>
  <c r="O2401" i="2"/>
  <c r="O2402" i="2"/>
  <c r="O2403" i="2"/>
  <c r="O2404" i="2"/>
  <c r="O2405" i="2"/>
  <c r="O2406" i="2"/>
  <c r="O2407" i="2"/>
  <c r="O2408" i="2"/>
  <c r="O2409" i="2"/>
  <c r="O2410" i="2"/>
  <c r="O2411" i="2"/>
  <c r="O2412" i="2"/>
  <c r="O2413" i="2"/>
  <c r="O2414" i="2"/>
  <c r="O2415" i="2"/>
  <c r="O2416" i="2"/>
  <c r="O2417" i="2"/>
  <c r="O2418" i="2"/>
  <c r="O2419" i="2"/>
  <c r="O2420" i="2"/>
  <c r="O2421" i="2"/>
  <c r="O2422" i="2"/>
  <c r="O2423" i="2"/>
  <c r="O2424" i="2"/>
  <c r="O2425" i="2"/>
  <c r="O2426" i="2"/>
  <c r="O2427" i="2"/>
  <c r="O2428" i="2"/>
  <c r="O2429" i="2"/>
  <c r="O2430" i="2"/>
  <c r="O2431" i="2"/>
  <c r="O2432" i="2"/>
  <c r="O2433" i="2"/>
  <c r="O2434" i="2"/>
  <c r="O2435" i="2"/>
  <c r="O2436" i="2"/>
  <c r="O2437" i="2"/>
  <c r="O2438" i="2"/>
  <c r="O2439" i="2"/>
  <c r="O2440" i="2"/>
  <c r="O2441" i="2"/>
  <c r="O2442" i="2"/>
  <c r="O2443" i="2"/>
  <c r="O2444" i="2"/>
  <c r="O2445" i="2"/>
  <c r="O2446" i="2"/>
  <c r="O2447" i="2"/>
  <c r="O2448" i="2"/>
  <c r="O2449" i="2"/>
  <c r="O2450" i="2"/>
  <c r="O2451" i="2"/>
  <c r="O2452" i="2"/>
  <c r="O2453" i="2"/>
  <c r="O2454" i="2"/>
  <c r="O2455" i="2"/>
  <c r="O2456" i="2"/>
  <c r="O2457" i="2"/>
  <c r="O2458" i="2"/>
  <c r="O2459" i="2"/>
  <c r="O2460" i="2"/>
  <c r="O2461" i="2"/>
  <c r="O2462" i="2"/>
  <c r="O2463" i="2"/>
  <c r="O2464" i="2"/>
  <c r="O2465" i="2"/>
  <c r="O2466" i="2"/>
  <c r="O2467" i="2"/>
  <c r="O2468" i="2"/>
  <c r="O2469" i="2"/>
  <c r="O2470" i="2"/>
  <c r="O2471" i="2"/>
  <c r="O2472" i="2"/>
  <c r="O2473" i="2"/>
  <c r="O2474" i="2"/>
  <c r="O2475" i="2"/>
  <c r="O2476" i="2"/>
  <c r="O2477" i="2"/>
  <c r="O2478" i="2"/>
  <c r="O2479" i="2"/>
  <c r="O2480" i="2"/>
  <c r="O2481" i="2"/>
  <c r="O2482" i="2"/>
  <c r="O2483" i="2"/>
  <c r="O2484" i="2"/>
  <c r="O2485" i="2"/>
  <c r="O2486" i="2"/>
  <c r="O2487" i="2"/>
  <c r="O2488" i="2"/>
  <c r="O2489" i="2"/>
  <c r="O2490" i="2"/>
  <c r="O2491" i="2"/>
  <c r="O2492" i="2"/>
  <c r="O2493" i="2"/>
  <c r="O2494" i="2"/>
  <c r="O2495" i="2"/>
  <c r="O2496" i="2"/>
  <c r="O2497" i="2"/>
  <c r="O2498" i="2"/>
  <c r="O2499" i="2"/>
  <c r="O2500" i="2"/>
  <c r="O2501" i="2"/>
  <c r="O2502" i="2"/>
  <c r="O2503" i="2"/>
  <c r="O2504" i="2"/>
  <c r="O2505" i="2"/>
  <c r="O2506" i="2"/>
  <c r="O2507" i="2"/>
  <c r="O2508" i="2"/>
  <c r="O2509" i="2"/>
  <c r="O2510" i="2"/>
  <c r="O2511" i="2"/>
  <c r="O2512" i="2"/>
  <c r="O2513" i="2"/>
  <c r="O2514" i="2"/>
  <c r="O2515" i="2"/>
  <c r="O2516" i="2"/>
  <c r="O2517" i="2"/>
  <c r="O2518" i="2"/>
  <c r="O2519" i="2"/>
  <c r="O2520" i="2"/>
  <c r="O2521" i="2"/>
  <c r="O2522" i="2"/>
  <c r="O2523" i="2"/>
  <c r="O2524" i="2"/>
  <c r="O2525" i="2"/>
  <c r="O2526" i="2"/>
  <c r="O2527" i="2"/>
  <c r="O2528" i="2"/>
  <c r="O2529" i="2"/>
  <c r="O2530" i="2"/>
  <c r="O2531" i="2"/>
  <c r="O2532" i="2"/>
  <c r="O2533" i="2"/>
  <c r="O2534" i="2"/>
  <c r="O2535" i="2"/>
  <c r="O2536" i="2"/>
  <c r="O2537" i="2"/>
  <c r="O2538" i="2"/>
  <c r="O2539" i="2"/>
  <c r="O2540" i="2"/>
  <c r="O2541" i="2"/>
  <c r="O2542" i="2"/>
  <c r="O2543" i="2"/>
  <c r="O2544" i="2"/>
  <c r="O2545" i="2"/>
  <c r="O2546" i="2"/>
  <c r="O2547" i="2"/>
  <c r="O2548" i="2"/>
  <c r="O2549" i="2"/>
  <c r="O2550" i="2"/>
  <c r="O2551" i="2"/>
  <c r="O2552" i="2"/>
  <c r="O2553" i="2"/>
  <c r="O2554" i="2"/>
  <c r="O2555" i="2"/>
  <c r="O2556" i="2"/>
  <c r="O2557" i="2"/>
  <c r="O2558" i="2"/>
  <c r="O2559" i="2"/>
  <c r="O2560" i="2"/>
  <c r="O2561" i="2"/>
  <c r="O2562" i="2"/>
  <c r="O2563" i="2"/>
  <c r="O2564" i="2"/>
  <c r="O2565" i="2"/>
  <c r="O2566" i="2"/>
  <c r="O2567" i="2"/>
  <c r="O2568" i="2"/>
  <c r="O2569" i="2"/>
  <c r="O2570" i="2"/>
  <c r="O2571" i="2"/>
  <c r="O2572" i="2"/>
  <c r="O2573" i="2"/>
  <c r="O2574" i="2"/>
  <c r="O2575" i="2"/>
  <c r="O2576" i="2"/>
  <c r="O2577" i="2"/>
  <c r="O2578" i="2"/>
  <c r="O2579" i="2"/>
  <c r="O2580" i="2"/>
  <c r="O2581" i="2"/>
  <c r="O2582" i="2"/>
  <c r="O2583" i="2"/>
  <c r="O2584" i="2"/>
  <c r="O2585" i="2"/>
  <c r="O2586" i="2"/>
  <c r="O2587" i="2"/>
  <c r="O2588" i="2"/>
  <c r="O2589" i="2"/>
  <c r="O2590" i="2"/>
  <c r="O2591" i="2"/>
  <c r="O2592" i="2"/>
  <c r="O2593" i="2"/>
  <c r="O2594" i="2"/>
  <c r="O2595" i="2"/>
  <c r="O2596" i="2"/>
  <c r="O2597" i="2"/>
  <c r="O2598" i="2"/>
  <c r="O2599" i="2"/>
  <c r="O2600" i="2"/>
  <c r="O2601" i="2"/>
  <c r="O2602" i="2"/>
  <c r="O2603" i="2"/>
  <c r="O2604" i="2"/>
  <c r="O2605" i="2"/>
  <c r="O2606" i="2"/>
  <c r="O2607" i="2"/>
  <c r="O2608" i="2"/>
  <c r="O2609" i="2"/>
  <c r="O2610" i="2"/>
  <c r="O2611" i="2"/>
  <c r="O2612" i="2"/>
  <c r="O2613" i="2"/>
  <c r="O2614" i="2"/>
  <c r="O2615" i="2"/>
  <c r="O2616" i="2"/>
  <c r="O2617" i="2"/>
  <c r="O2618" i="2"/>
  <c r="O2619" i="2"/>
  <c r="O2620" i="2"/>
  <c r="O2621" i="2"/>
  <c r="O2622" i="2"/>
  <c r="O2623" i="2"/>
  <c r="O2624" i="2"/>
  <c r="O2625" i="2"/>
  <c r="O2626" i="2"/>
  <c r="O2627" i="2"/>
  <c r="O2628" i="2"/>
  <c r="O2629" i="2"/>
  <c r="O2630" i="2"/>
  <c r="O2631" i="2"/>
  <c r="O2632" i="2"/>
  <c r="O2633" i="2"/>
  <c r="O2634" i="2"/>
  <c r="O2635" i="2"/>
  <c r="O2636" i="2"/>
  <c r="O2637" i="2"/>
  <c r="O2638" i="2"/>
  <c r="O2639" i="2"/>
  <c r="O2640" i="2"/>
  <c r="O2641" i="2"/>
  <c r="O2642" i="2"/>
  <c r="O2643" i="2"/>
  <c r="O2644" i="2"/>
  <c r="O2645" i="2"/>
  <c r="O2646" i="2"/>
  <c r="O2647" i="2"/>
  <c r="O2648" i="2"/>
  <c r="O2649" i="2"/>
  <c r="O2650" i="2"/>
  <c r="O2651" i="2"/>
  <c r="O2652" i="2"/>
  <c r="O2653" i="2"/>
  <c r="O2654" i="2"/>
  <c r="O2655" i="2"/>
  <c r="O2656" i="2"/>
  <c r="O2657" i="2"/>
  <c r="O2658" i="2"/>
  <c r="O2659" i="2"/>
  <c r="O2660" i="2"/>
  <c r="O2661" i="2"/>
  <c r="O2662" i="2"/>
  <c r="O2663" i="2"/>
  <c r="O2664" i="2"/>
  <c r="O2665" i="2"/>
  <c r="O2666" i="2"/>
  <c r="O2667" i="2"/>
  <c r="O2668" i="2"/>
  <c r="O2669" i="2"/>
  <c r="O2670" i="2"/>
  <c r="O2671" i="2"/>
  <c r="O2672" i="2"/>
  <c r="O2673" i="2"/>
  <c r="O2674" i="2"/>
  <c r="O2675" i="2"/>
  <c r="O2676" i="2"/>
  <c r="O2677" i="2"/>
  <c r="O2678" i="2"/>
  <c r="O2679" i="2"/>
  <c r="O2680" i="2"/>
  <c r="O2681" i="2"/>
  <c r="O2682" i="2"/>
  <c r="O2683" i="2"/>
  <c r="O2684" i="2"/>
  <c r="O2685" i="2"/>
  <c r="O2686" i="2"/>
  <c r="O2687" i="2"/>
  <c r="O2688" i="2"/>
  <c r="O2689" i="2"/>
  <c r="O2690" i="2"/>
  <c r="O2691" i="2"/>
  <c r="O2692" i="2"/>
  <c r="O2693" i="2"/>
  <c r="O2694" i="2"/>
  <c r="O2695" i="2"/>
  <c r="O2696" i="2"/>
  <c r="O2697" i="2"/>
  <c r="O2698" i="2"/>
  <c r="O2699" i="2"/>
  <c r="O2700" i="2"/>
  <c r="O2701" i="2"/>
  <c r="O2702" i="2"/>
  <c r="O2703" i="2"/>
  <c r="O2704" i="2"/>
  <c r="O2705" i="2"/>
  <c r="O2706" i="2"/>
  <c r="O2707" i="2"/>
  <c r="O2708" i="2"/>
  <c r="O2709" i="2"/>
  <c r="O2710" i="2"/>
  <c r="O2711" i="2"/>
  <c r="O2712" i="2"/>
  <c r="O2713" i="2"/>
  <c r="O2714" i="2"/>
  <c r="O2715" i="2"/>
  <c r="O2716" i="2"/>
  <c r="O2717" i="2"/>
  <c r="O2718" i="2"/>
  <c r="O2719" i="2"/>
  <c r="O2720" i="2"/>
  <c r="O2721" i="2"/>
  <c r="O2722" i="2"/>
  <c r="O2723" i="2"/>
  <c r="O2724" i="2"/>
  <c r="O2725" i="2"/>
  <c r="O2726" i="2"/>
  <c r="O2727" i="2"/>
  <c r="O2728" i="2"/>
  <c r="O2729" i="2"/>
  <c r="O2730" i="2"/>
  <c r="O2731" i="2"/>
  <c r="O2732" i="2"/>
  <c r="O2733" i="2"/>
  <c r="O2734" i="2"/>
  <c r="O2735" i="2"/>
  <c r="O2736" i="2"/>
  <c r="O2737" i="2"/>
  <c r="O2738" i="2"/>
  <c r="O2739" i="2"/>
  <c r="O2740" i="2"/>
  <c r="O2741" i="2"/>
  <c r="O2742" i="2"/>
  <c r="O2743" i="2"/>
  <c r="O2744" i="2"/>
  <c r="O2745" i="2"/>
  <c r="O2746" i="2"/>
  <c r="O2747" i="2"/>
  <c r="O2748" i="2"/>
  <c r="O2749" i="2"/>
  <c r="O2750" i="2"/>
  <c r="O2751" i="2"/>
  <c r="O2752" i="2"/>
  <c r="O2753" i="2"/>
  <c r="O2754" i="2"/>
  <c r="O2755" i="2"/>
  <c r="O2756" i="2"/>
  <c r="O2757" i="2"/>
  <c r="O2758" i="2"/>
  <c r="O2759" i="2"/>
  <c r="O2760" i="2"/>
  <c r="O2761" i="2"/>
  <c r="O2762" i="2"/>
  <c r="O2763" i="2"/>
  <c r="O2764" i="2"/>
  <c r="O2765" i="2"/>
  <c r="O2766" i="2"/>
  <c r="O2767" i="2"/>
  <c r="O2768" i="2"/>
  <c r="O2769" i="2"/>
  <c r="O2770" i="2"/>
  <c r="O2771" i="2"/>
  <c r="O2772" i="2"/>
  <c r="O2773" i="2"/>
  <c r="O2774" i="2"/>
  <c r="O2775" i="2"/>
  <c r="O2776" i="2"/>
  <c r="O2777" i="2"/>
  <c r="O2778" i="2"/>
  <c r="O2779" i="2"/>
  <c r="O2780" i="2"/>
  <c r="O2781" i="2"/>
  <c r="O2782" i="2"/>
  <c r="O2783" i="2"/>
  <c r="O2784" i="2"/>
  <c r="O2785" i="2"/>
  <c r="O2786" i="2"/>
  <c r="O2787" i="2"/>
  <c r="O2788" i="2"/>
  <c r="O2789" i="2"/>
  <c r="O2790" i="2"/>
  <c r="O2791" i="2"/>
  <c r="O2792" i="2"/>
  <c r="O2793" i="2"/>
  <c r="O2794" i="2"/>
  <c r="O2795" i="2"/>
  <c r="O2796" i="2"/>
  <c r="O2797" i="2"/>
  <c r="O2798" i="2"/>
  <c r="O2799" i="2"/>
  <c r="O2800" i="2"/>
  <c r="O2801" i="2"/>
  <c r="O2802" i="2"/>
  <c r="O2803" i="2"/>
  <c r="O2804" i="2"/>
  <c r="O2805" i="2"/>
  <c r="O2806" i="2"/>
  <c r="O2807" i="2"/>
  <c r="O2808" i="2"/>
  <c r="O2809" i="2"/>
  <c r="O2810" i="2"/>
  <c r="O2811" i="2"/>
  <c r="O2812" i="2"/>
  <c r="O2813" i="2"/>
  <c r="O2814" i="2"/>
  <c r="O2815" i="2"/>
  <c r="O2816" i="2"/>
  <c r="O2817" i="2"/>
  <c r="O2818" i="2"/>
  <c r="O2819" i="2"/>
  <c r="O2820" i="2"/>
  <c r="O2821" i="2"/>
  <c r="O2822" i="2"/>
  <c r="O2823" i="2"/>
  <c r="O2824" i="2"/>
  <c r="O2825" i="2"/>
  <c r="O2826" i="2"/>
  <c r="O2827" i="2"/>
  <c r="O2828" i="2"/>
  <c r="O2829" i="2"/>
  <c r="O2830" i="2"/>
  <c r="O2831" i="2"/>
  <c r="O2832" i="2"/>
  <c r="O2833" i="2"/>
  <c r="O2834" i="2"/>
  <c r="O2835" i="2"/>
  <c r="O2836" i="2"/>
  <c r="O2837" i="2"/>
  <c r="O2838" i="2"/>
  <c r="O2839" i="2"/>
  <c r="O2840" i="2"/>
  <c r="O2841" i="2"/>
  <c r="O2842" i="2"/>
  <c r="O2843" i="2"/>
  <c r="O2844" i="2"/>
  <c r="O2845" i="2"/>
  <c r="O2846" i="2"/>
  <c r="O2847" i="2"/>
  <c r="O2848" i="2"/>
  <c r="O2849" i="2"/>
  <c r="O2850" i="2"/>
  <c r="O2851" i="2"/>
  <c r="O2852" i="2"/>
  <c r="O2853" i="2"/>
  <c r="O2854" i="2"/>
  <c r="O2855" i="2"/>
  <c r="O2856" i="2"/>
  <c r="O2857" i="2"/>
  <c r="O2858" i="2"/>
  <c r="O2859" i="2"/>
  <c r="O2860" i="2"/>
  <c r="O2861" i="2"/>
  <c r="O2862" i="2"/>
  <c r="O2863" i="2"/>
  <c r="O2864" i="2"/>
  <c r="O2865" i="2"/>
  <c r="O2866" i="2"/>
  <c r="O2867" i="2"/>
  <c r="O2868" i="2"/>
  <c r="O2869" i="2"/>
  <c r="O2870" i="2"/>
  <c r="O2871" i="2"/>
  <c r="O2872" i="2"/>
  <c r="O2873" i="2"/>
  <c r="O2874" i="2"/>
  <c r="O2875" i="2"/>
  <c r="O2876" i="2"/>
  <c r="O2877" i="2"/>
  <c r="O2878" i="2"/>
  <c r="O2879" i="2"/>
  <c r="O2880" i="2"/>
  <c r="O2881" i="2"/>
  <c r="O2882" i="2"/>
  <c r="O2883" i="2"/>
  <c r="O2884" i="2"/>
  <c r="O2885" i="2"/>
  <c r="O2886" i="2"/>
  <c r="O2887" i="2"/>
  <c r="O2888" i="2"/>
  <c r="O2889" i="2"/>
  <c r="O2890" i="2"/>
  <c r="O2891" i="2"/>
  <c r="O2892" i="2"/>
  <c r="O2893" i="2"/>
  <c r="O2894" i="2"/>
  <c r="O2895" i="2"/>
  <c r="O2896" i="2"/>
  <c r="O2897" i="2"/>
  <c r="O2898" i="2"/>
  <c r="O2899" i="2"/>
  <c r="O2900" i="2"/>
  <c r="O2901" i="2"/>
  <c r="O2902" i="2"/>
  <c r="O2903" i="2"/>
  <c r="O2904" i="2"/>
  <c r="O2905" i="2"/>
  <c r="O2906" i="2"/>
  <c r="O2907" i="2"/>
  <c r="O2908" i="2"/>
  <c r="O2909" i="2"/>
  <c r="O2910" i="2"/>
  <c r="O2911" i="2"/>
  <c r="O2912" i="2"/>
  <c r="O2913" i="2"/>
  <c r="O2914" i="2"/>
  <c r="O2915" i="2"/>
  <c r="O2916" i="2"/>
  <c r="O2917" i="2"/>
  <c r="O2918" i="2"/>
  <c r="O2919" i="2"/>
  <c r="O2920" i="2"/>
  <c r="O2921" i="2"/>
  <c r="O2922" i="2"/>
  <c r="O2923" i="2"/>
  <c r="O2924" i="2"/>
  <c r="O2925" i="2"/>
  <c r="O2926" i="2"/>
  <c r="O2927" i="2"/>
  <c r="O2928" i="2"/>
  <c r="O2929" i="2"/>
  <c r="O2930" i="2"/>
  <c r="O2931" i="2"/>
  <c r="O2932" i="2"/>
  <c r="O2933" i="2"/>
  <c r="O2934" i="2"/>
  <c r="O2935" i="2"/>
  <c r="O2936" i="2"/>
  <c r="O2937" i="2"/>
  <c r="O2938" i="2"/>
  <c r="O2939" i="2"/>
  <c r="O2940" i="2"/>
  <c r="O2941" i="2"/>
  <c r="O2942" i="2"/>
  <c r="O2943" i="2"/>
  <c r="O2944" i="2"/>
  <c r="O2945" i="2"/>
  <c r="O2946" i="2"/>
  <c r="O2947" i="2"/>
  <c r="O2948" i="2"/>
  <c r="O2949" i="2"/>
  <c r="O2950" i="2"/>
  <c r="O2951" i="2"/>
  <c r="O2952" i="2"/>
  <c r="O2953" i="2"/>
  <c r="O2954" i="2"/>
  <c r="O2955" i="2"/>
  <c r="O2956" i="2"/>
  <c r="O2957" i="2"/>
  <c r="O2958" i="2"/>
  <c r="O2959" i="2"/>
  <c r="O2960" i="2"/>
  <c r="O2961" i="2"/>
  <c r="O2962" i="2"/>
  <c r="O2963" i="2"/>
  <c r="O2964" i="2"/>
  <c r="O2965" i="2"/>
  <c r="O2966" i="2"/>
  <c r="O2967" i="2"/>
  <c r="O2968" i="2"/>
  <c r="O2969" i="2"/>
  <c r="O2970" i="2"/>
  <c r="O2971" i="2"/>
  <c r="O2972" i="2"/>
  <c r="O2973" i="2"/>
  <c r="O2974" i="2"/>
  <c r="O2975" i="2"/>
  <c r="O2976" i="2"/>
  <c r="O2977" i="2"/>
  <c r="O2978" i="2"/>
  <c r="O2979" i="2"/>
  <c r="O2980" i="2"/>
  <c r="O2981" i="2"/>
  <c r="O2982" i="2"/>
  <c r="O2983" i="2"/>
  <c r="O2984" i="2"/>
  <c r="O2985" i="2"/>
  <c r="O2986" i="2"/>
  <c r="O2987" i="2"/>
  <c r="O2988" i="2"/>
  <c r="O2989" i="2"/>
  <c r="O2990" i="2"/>
  <c r="O2991" i="2"/>
  <c r="O2992" i="2"/>
  <c r="O2993" i="2"/>
  <c r="O2994" i="2"/>
  <c r="O2995" i="2"/>
  <c r="O2996" i="2"/>
  <c r="O2997" i="2"/>
  <c r="O2998" i="2"/>
  <c r="O2999" i="2"/>
  <c r="O3000" i="2"/>
  <c r="O3001" i="2"/>
  <c r="O3002" i="2"/>
  <c r="O3003" i="2"/>
  <c r="O3004" i="2"/>
  <c r="O3005" i="2"/>
  <c r="O3006" i="2"/>
  <c r="O3007" i="2"/>
  <c r="O3008" i="2"/>
  <c r="O3009" i="2"/>
  <c r="O3010" i="2"/>
  <c r="O3011" i="2"/>
  <c r="O3012" i="2"/>
  <c r="O3013" i="2"/>
  <c r="O3014" i="2"/>
  <c r="O3015" i="2"/>
  <c r="O3016" i="2"/>
  <c r="O3017" i="2"/>
  <c r="O3018" i="2"/>
  <c r="O3019" i="2"/>
  <c r="O3020" i="2"/>
  <c r="O3021" i="2"/>
  <c r="O3022" i="2"/>
  <c r="O3023" i="2"/>
  <c r="O3024" i="2"/>
  <c r="O3025" i="2"/>
  <c r="O3026" i="2"/>
  <c r="O3027" i="2"/>
  <c r="O3028" i="2"/>
  <c r="O3029" i="2"/>
  <c r="O3030" i="2"/>
  <c r="O3031" i="2"/>
  <c r="O3032" i="2"/>
  <c r="O3033" i="2"/>
  <c r="O3034" i="2"/>
  <c r="O3035" i="2"/>
  <c r="O3036" i="2"/>
  <c r="O3037" i="2"/>
  <c r="O3038" i="2"/>
  <c r="O3039" i="2"/>
  <c r="O3040" i="2"/>
  <c r="O3041" i="2"/>
  <c r="O3042" i="2"/>
  <c r="O3043" i="2"/>
  <c r="O3044" i="2"/>
  <c r="O3045" i="2"/>
  <c r="O3046" i="2"/>
  <c r="O3047" i="2"/>
  <c r="O3048" i="2"/>
  <c r="O3049" i="2"/>
  <c r="O3050" i="2"/>
  <c r="O3051" i="2"/>
  <c r="O3052" i="2"/>
  <c r="O3053" i="2"/>
  <c r="O3054" i="2"/>
  <c r="O3055" i="2"/>
  <c r="O3056" i="2"/>
  <c r="O3057" i="2"/>
  <c r="O3058" i="2"/>
  <c r="O3059" i="2"/>
  <c r="O3060" i="2"/>
  <c r="O3061" i="2"/>
  <c r="O3062" i="2"/>
  <c r="O3063" i="2"/>
  <c r="O3064" i="2"/>
  <c r="O3065" i="2"/>
  <c r="O3066" i="2"/>
  <c r="O3067" i="2"/>
  <c r="O3068" i="2"/>
  <c r="O3069" i="2"/>
  <c r="O3070" i="2"/>
  <c r="O3071" i="2"/>
  <c r="O3072" i="2"/>
  <c r="O3073" i="2"/>
  <c r="O3074" i="2"/>
  <c r="O3075" i="2"/>
  <c r="O3076" i="2"/>
  <c r="O3077" i="2"/>
  <c r="O3078" i="2"/>
  <c r="O3079" i="2"/>
  <c r="O3080" i="2"/>
  <c r="O3081" i="2"/>
  <c r="O3082" i="2"/>
  <c r="O3083" i="2"/>
  <c r="O3084" i="2"/>
  <c r="O3085" i="2"/>
  <c r="O3086" i="2"/>
  <c r="O3087" i="2"/>
  <c r="O3088" i="2"/>
  <c r="O3089" i="2"/>
  <c r="O3090" i="2"/>
  <c r="O3091" i="2"/>
  <c r="O3092" i="2"/>
  <c r="O3093" i="2"/>
  <c r="O3094" i="2"/>
  <c r="O3095" i="2"/>
  <c r="O3096" i="2"/>
  <c r="O3097" i="2"/>
  <c r="O3098" i="2"/>
  <c r="O3099" i="2"/>
  <c r="O3100" i="2"/>
  <c r="O3101" i="2"/>
  <c r="O3102" i="2"/>
  <c r="O3103" i="2"/>
  <c r="O3104" i="2"/>
  <c r="O3105" i="2"/>
  <c r="O3106" i="2"/>
  <c r="O3107" i="2"/>
  <c r="O3108" i="2"/>
  <c r="O3109" i="2"/>
  <c r="O3110" i="2"/>
  <c r="O3111" i="2"/>
  <c r="O3112" i="2"/>
  <c r="O3113" i="2"/>
  <c r="O3114" i="2"/>
  <c r="O3115" i="2"/>
  <c r="O3116" i="2"/>
  <c r="O3117" i="2"/>
  <c r="O3118" i="2"/>
  <c r="O3119" i="2"/>
  <c r="O3120" i="2"/>
  <c r="O3121" i="2"/>
  <c r="O3122" i="2"/>
  <c r="O3123" i="2"/>
  <c r="O3124" i="2"/>
  <c r="O3125" i="2"/>
  <c r="O3126" i="2"/>
  <c r="O3127" i="2"/>
  <c r="O3128" i="2"/>
  <c r="O3129" i="2"/>
  <c r="O3130" i="2"/>
  <c r="O3131" i="2"/>
  <c r="O3132" i="2"/>
  <c r="O3133" i="2"/>
  <c r="O3134" i="2"/>
  <c r="O3135" i="2"/>
  <c r="O3136" i="2"/>
  <c r="O3137" i="2"/>
  <c r="O3138" i="2"/>
  <c r="O3139" i="2"/>
  <c r="O3140" i="2"/>
  <c r="O3141" i="2"/>
  <c r="O3142" i="2"/>
  <c r="O3143" i="2"/>
  <c r="O3144" i="2"/>
  <c r="O3145" i="2"/>
  <c r="O3146" i="2"/>
  <c r="O3147" i="2"/>
  <c r="O3148" i="2"/>
  <c r="O3149" i="2"/>
  <c r="O3150" i="2"/>
  <c r="O3151" i="2"/>
  <c r="O3152" i="2"/>
  <c r="O3153" i="2"/>
  <c r="O3154" i="2"/>
  <c r="O3155" i="2"/>
  <c r="O3156" i="2"/>
  <c r="O3157" i="2"/>
  <c r="O3158" i="2"/>
  <c r="O3159" i="2"/>
  <c r="O3160" i="2"/>
  <c r="O3161" i="2"/>
  <c r="O3162" i="2"/>
  <c r="O3163" i="2"/>
  <c r="O3164" i="2"/>
  <c r="O3165" i="2"/>
  <c r="O3166" i="2"/>
  <c r="O3167" i="2"/>
  <c r="O3168" i="2"/>
  <c r="O3169" i="2"/>
  <c r="O3170" i="2"/>
  <c r="O3171" i="2"/>
  <c r="O3172" i="2"/>
  <c r="O3173" i="2"/>
  <c r="O3174" i="2"/>
  <c r="O3175" i="2"/>
  <c r="O3176" i="2"/>
  <c r="O3177" i="2"/>
  <c r="O3178" i="2"/>
  <c r="O3179" i="2"/>
  <c r="O3180" i="2"/>
  <c r="O3181" i="2"/>
  <c r="O3182" i="2"/>
  <c r="O3183" i="2"/>
  <c r="O3184" i="2"/>
  <c r="O3185" i="2"/>
  <c r="O3186" i="2"/>
  <c r="O3187" i="2"/>
  <c r="O3188" i="2"/>
  <c r="O3189" i="2"/>
  <c r="O3190" i="2"/>
  <c r="O3191" i="2"/>
  <c r="O3192" i="2"/>
  <c r="O3193" i="2"/>
  <c r="O3194" i="2"/>
  <c r="O3195" i="2"/>
  <c r="O3196" i="2"/>
  <c r="O3197" i="2"/>
  <c r="O3198" i="2"/>
  <c r="O3199" i="2"/>
  <c r="O3200" i="2"/>
  <c r="O3201" i="2"/>
  <c r="O3202" i="2"/>
  <c r="O3203" i="2"/>
  <c r="O3204" i="2"/>
  <c r="O3205" i="2"/>
  <c r="O3206" i="2"/>
  <c r="O3207" i="2"/>
  <c r="O3208" i="2"/>
  <c r="O3209" i="2"/>
  <c r="O3210" i="2"/>
  <c r="O3211" i="2"/>
  <c r="O3212" i="2"/>
  <c r="O3213" i="2"/>
  <c r="O3214" i="2"/>
  <c r="O3215" i="2"/>
  <c r="O3216" i="2"/>
  <c r="O3217" i="2"/>
  <c r="O3218" i="2"/>
  <c r="O3219" i="2"/>
  <c r="O3220" i="2"/>
  <c r="O3221" i="2"/>
  <c r="O3222" i="2"/>
  <c r="O3223" i="2"/>
  <c r="O3224" i="2"/>
  <c r="O3225" i="2"/>
  <c r="O3226" i="2"/>
  <c r="O3227" i="2"/>
  <c r="O3228" i="2"/>
  <c r="O3229" i="2"/>
  <c r="O3230" i="2"/>
  <c r="O3231" i="2"/>
  <c r="O3232" i="2"/>
  <c r="O3233" i="2"/>
  <c r="O3234" i="2"/>
  <c r="O3235" i="2"/>
  <c r="O3236" i="2"/>
  <c r="O3237" i="2"/>
  <c r="O3238" i="2"/>
  <c r="O3239" i="2"/>
  <c r="O3240" i="2"/>
  <c r="O3241" i="2"/>
  <c r="O3242" i="2"/>
  <c r="O3243" i="2"/>
  <c r="O3244" i="2"/>
  <c r="O3245" i="2"/>
  <c r="O3246" i="2"/>
  <c r="O3247" i="2"/>
  <c r="O3248" i="2"/>
  <c r="O3249" i="2"/>
  <c r="O3250" i="2"/>
  <c r="O3251" i="2"/>
  <c r="O3252" i="2"/>
  <c r="O3253" i="2"/>
  <c r="O3254" i="2"/>
  <c r="O3255" i="2"/>
  <c r="O3256" i="2"/>
  <c r="O3257" i="2"/>
  <c r="O3258" i="2"/>
  <c r="O3259" i="2"/>
  <c r="O3260" i="2"/>
  <c r="O3261" i="2"/>
  <c r="O3262" i="2"/>
  <c r="O3263" i="2"/>
  <c r="O3264" i="2"/>
  <c r="O3265" i="2"/>
  <c r="O3266" i="2"/>
  <c r="O3267" i="2"/>
  <c r="O3268" i="2"/>
  <c r="O3269" i="2"/>
  <c r="O3270" i="2"/>
  <c r="O3271" i="2"/>
  <c r="O3272" i="2"/>
  <c r="O3273" i="2"/>
  <c r="O3274" i="2"/>
  <c r="O3275" i="2"/>
  <c r="O3276" i="2"/>
  <c r="O3277" i="2"/>
  <c r="O3278" i="2"/>
  <c r="O3279" i="2"/>
  <c r="O3280" i="2"/>
  <c r="O3281" i="2"/>
  <c r="O3282" i="2"/>
  <c r="O3283" i="2"/>
  <c r="O3284" i="2"/>
  <c r="O3285" i="2"/>
  <c r="O3286" i="2"/>
  <c r="O3287" i="2"/>
  <c r="O3288" i="2"/>
  <c r="O3289" i="2"/>
  <c r="O3290" i="2"/>
  <c r="O3291" i="2"/>
  <c r="O3292" i="2"/>
  <c r="O3293" i="2"/>
  <c r="O3294" i="2"/>
  <c r="O3295" i="2"/>
  <c r="O3296" i="2"/>
  <c r="O3297" i="2"/>
  <c r="O3298" i="2"/>
  <c r="O3299" i="2"/>
  <c r="O3300" i="2"/>
  <c r="O3301" i="2"/>
  <c r="O3302" i="2"/>
  <c r="O3303" i="2"/>
  <c r="O3304" i="2"/>
  <c r="O3305" i="2"/>
  <c r="O3306" i="2"/>
  <c r="O3307" i="2"/>
  <c r="O3308" i="2"/>
  <c r="O3309" i="2"/>
  <c r="O3310" i="2"/>
  <c r="O3311" i="2"/>
  <c r="O3312" i="2"/>
  <c r="O3313" i="2"/>
  <c r="O3314" i="2"/>
  <c r="O3315" i="2"/>
  <c r="O3316" i="2"/>
  <c r="O3317" i="2"/>
  <c r="O3318" i="2"/>
  <c r="O3319" i="2"/>
  <c r="O3320" i="2"/>
  <c r="O3321" i="2"/>
  <c r="O3322" i="2"/>
  <c r="O3323" i="2"/>
  <c r="O3324" i="2"/>
  <c r="O3325" i="2"/>
  <c r="O3326" i="2"/>
  <c r="O3327" i="2"/>
  <c r="O3328" i="2"/>
  <c r="O3329" i="2"/>
  <c r="O3330" i="2"/>
  <c r="O3331" i="2"/>
  <c r="O3332" i="2"/>
  <c r="O3333" i="2"/>
  <c r="O3334" i="2"/>
  <c r="O3335" i="2"/>
  <c r="O3336" i="2"/>
  <c r="O3337" i="2"/>
  <c r="O3338" i="2"/>
  <c r="O3339" i="2"/>
  <c r="O3340" i="2"/>
  <c r="O3341" i="2"/>
  <c r="O3342" i="2"/>
  <c r="O3343" i="2"/>
  <c r="O3344" i="2"/>
  <c r="O3345" i="2"/>
  <c r="O3346" i="2"/>
  <c r="O3347" i="2"/>
  <c r="O3348" i="2"/>
  <c r="O3349" i="2"/>
  <c r="O3350" i="2"/>
  <c r="O3351" i="2"/>
  <c r="O3352" i="2"/>
  <c r="O3353" i="2"/>
  <c r="O3354" i="2"/>
  <c r="O3355" i="2"/>
  <c r="O3356" i="2"/>
  <c r="O3357" i="2"/>
  <c r="O3358" i="2"/>
  <c r="O3359" i="2"/>
  <c r="O3360" i="2"/>
  <c r="O3361" i="2"/>
  <c r="O3362" i="2"/>
  <c r="O3363" i="2"/>
  <c r="O3364" i="2"/>
  <c r="O3365" i="2"/>
  <c r="O3366" i="2"/>
  <c r="O3367" i="2"/>
  <c r="O3368" i="2"/>
  <c r="O3369" i="2"/>
  <c r="O3370" i="2"/>
  <c r="O3371" i="2"/>
  <c r="O3372" i="2"/>
  <c r="O3373" i="2"/>
  <c r="O3374" i="2"/>
  <c r="O3375" i="2"/>
  <c r="O3376" i="2"/>
  <c r="O3377" i="2"/>
  <c r="O3378" i="2"/>
  <c r="O3379" i="2"/>
  <c r="O3380" i="2"/>
  <c r="O3381" i="2"/>
  <c r="O3382" i="2"/>
  <c r="O3383" i="2"/>
  <c r="O3384" i="2"/>
  <c r="O3385" i="2"/>
  <c r="O3386" i="2"/>
  <c r="O3387" i="2"/>
  <c r="O3388" i="2"/>
  <c r="O3389" i="2"/>
  <c r="O3390" i="2"/>
  <c r="O3391" i="2"/>
  <c r="O3392" i="2"/>
  <c r="O3393" i="2"/>
  <c r="O3394" i="2"/>
  <c r="O3395" i="2"/>
  <c r="O3396" i="2"/>
  <c r="O3397" i="2"/>
  <c r="O3398" i="2"/>
  <c r="O3399" i="2"/>
  <c r="O3400" i="2"/>
  <c r="O3401" i="2"/>
  <c r="O3402" i="2"/>
  <c r="O3403" i="2"/>
  <c r="O3404" i="2"/>
  <c r="O3405" i="2"/>
  <c r="O3406" i="2"/>
  <c r="O3407" i="2"/>
  <c r="O3408" i="2"/>
  <c r="O3409" i="2"/>
  <c r="O3410" i="2"/>
  <c r="O3411" i="2"/>
  <c r="O3412" i="2"/>
  <c r="O3413" i="2"/>
  <c r="O3414" i="2"/>
  <c r="O3415" i="2"/>
  <c r="O3416" i="2"/>
  <c r="O3417" i="2"/>
  <c r="O3418" i="2"/>
  <c r="O3419" i="2"/>
  <c r="O3420" i="2"/>
  <c r="O3421" i="2"/>
  <c r="O3422" i="2"/>
  <c r="O3423" i="2"/>
  <c r="O3424" i="2"/>
  <c r="O3425" i="2"/>
  <c r="O3426" i="2"/>
  <c r="O3427" i="2"/>
  <c r="O3428" i="2"/>
  <c r="O3429" i="2"/>
  <c r="O3430" i="2"/>
  <c r="O3431" i="2"/>
  <c r="O3432" i="2"/>
  <c r="O3433" i="2"/>
  <c r="O3434" i="2"/>
  <c r="O3435" i="2"/>
  <c r="O3436" i="2"/>
  <c r="O3437" i="2"/>
  <c r="O3438" i="2"/>
  <c r="O3439" i="2"/>
  <c r="O3440" i="2"/>
  <c r="O3441" i="2"/>
  <c r="O3442" i="2"/>
  <c r="O3443" i="2"/>
  <c r="O3444" i="2"/>
  <c r="O3445" i="2"/>
  <c r="O3446" i="2"/>
  <c r="O3447" i="2"/>
  <c r="O3448" i="2"/>
  <c r="O3449" i="2"/>
  <c r="O3450" i="2"/>
  <c r="O3451" i="2"/>
  <c r="O3452" i="2"/>
  <c r="O3453" i="2"/>
  <c r="O3454" i="2"/>
  <c r="O3455" i="2"/>
  <c r="O3456" i="2"/>
  <c r="O3457" i="2"/>
  <c r="O3458" i="2"/>
  <c r="O3459" i="2"/>
  <c r="O3460" i="2"/>
  <c r="O3461" i="2"/>
  <c r="O3462" i="2"/>
  <c r="O3463" i="2"/>
  <c r="O3464" i="2"/>
  <c r="O3465" i="2"/>
  <c r="O3466" i="2"/>
  <c r="O3467" i="2"/>
  <c r="O3468" i="2"/>
  <c r="O3469" i="2"/>
  <c r="O3470" i="2"/>
  <c r="O3471" i="2"/>
  <c r="O3472" i="2"/>
  <c r="O3473" i="2"/>
  <c r="O3474" i="2"/>
  <c r="O3475" i="2"/>
  <c r="O3476" i="2"/>
  <c r="O3477" i="2"/>
  <c r="O3478" i="2"/>
  <c r="O3479" i="2"/>
  <c r="O3480" i="2"/>
  <c r="O3481" i="2"/>
  <c r="O3482" i="2"/>
  <c r="O3483" i="2"/>
  <c r="O3484" i="2"/>
  <c r="O3485" i="2"/>
  <c r="O3486" i="2"/>
  <c r="O3487" i="2"/>
  <c r="O3488" i="2"/>
  <c r="O3489" i="2"/>
  <c r="O3490" i="2"/>
  <c r="O3491" i="2"/>
  <c r="O3492" i="2"/>
  <c r="O3493" i="2"/>
  <c r="O3494" i="2"/>
  <c r="O3495" i="2"/>
  <c r="O3496" i="2"/>
  <c r="O3497" i="2"/>
  <c r="O3498" i="2"/>
  <c r="O3499" i="2"/>
  <c r="O3500" i="2"/>
  <c r="O3501" i="2"/>
  <c r="O3502" i="2"/>
  <c r="O3503" i="2"/>
  <c r="O3504" i="2"/>
  <c r="O3505" i="2"/>
  <c r="O3506" i="2"/>
  <c r="O3507" i="2"/>
  <c r="O3508" i="2"/>
  <c r="O3509" i="2"/>
  <c r="O3510" i="2"/>
  <c r="O3511" i="2"/>
  <c r="O3512" i="2"/>
  <c r="O3513" i="2"/>
  <c r="O3514" i="2"/>
  <c r="O3515" i="2"/>
  <c r="O3516" i="2"/>
  <c r="O3517" i="2"/>
  <c r="O3518" i="2"/>
  <c r="O3519" i="2"/>
  <c r="O3520" i="2"/>
  <c r="O3521" i="2"/>
  <c r="O3522" i="2"/>
  <c r="O3523" i="2"/>
  <c r="O3524" i="2"/>
  <c r="O131" i="2" l="1"/>
  <c r="O127" i="2"/>
  <c r="O133" i="2"/>
  <c r="O129" i="2"/>
  <c r="O125" i="2"/>
  <c r="O117" i="2"/>
  <c r="O113" i="2"/>
  <c r="O109" i="2"/>
  <c r="O105" i="2"/>
  <c r="O123" i="2"/>
  <c r="O119" i="2"/>
  <c r="O115" i="2"/>
  <c r="O111" i="2"/>
  <c r="O107" i="2"/>
  <c r="O103" i="2"/>
  <c r="O121" i="2"/>
  <c r="O132" i="2"/>
  <c r="O128" i="2"/>
  <c r="O124" i="2"/>
  <c r="O120" i="2"/>
  <c r="O116" i="2"/>
  <c r="O112" i="2"/>
  <c r="O108" i="2"/>
  <c r="O104" i="2"/>
  <c r="O122" i="2"/>
  <c r="O134" i="2"/>
  <c r="O130" i="2"/>
  <c r="O126" i="2"/>
  <c r="O118" i="2"/>
  <c r="O114" i="2"/>
  <c r="O110" i="2"/>
  <c r="O106" i="2"/>
  <c r="O84" i="2"/>
  <c r="O95" i="2"/>
  <c r="O94" i="2"/>
  <c r="O97" i="2"/>
  <c r="O90" i="2"/>
  <c r="O85" i="2"/>
  <c r="O79" i="2"/>
  <c r="O93" i="2"/>
  <c r="O89" i="2"/>
  <c r="O78" i="2"/>
  <c r="O75" i="2"/>
  <c r="O96" i="2"/>
  <c r="O83" i="2"/>
  <c r="O74" i="2"/>
  <c r="O91" i="2"/>
  <c r="O80" i="2"/>
  <c r="O77" i="2"/>
  <c r="O73" i="2"/>
  <c r="O76" i="2"/>
  <c r="O92" i="2"/>
  <c r="O88" i="2"/>
  <c r="O82" i="2"/>
  <c r="O81" i="2"/>
  <c r="O86" i="2"/>
  <c r="O87" i="2"/>
  <c r="O48" i="2"/>
  <c r="O44" i="2"/>
  <c r="O40" i="2"/>
  <c r="O36" i="2"/>
  <c r="O32" i="2"/>
  <c r="O45" i="2"/>
  <c r="O41" i="2"/>
  <c r="O37" i="2"/>
  <c r="O33" i="2"/>
  <c r="O47" i="2"/>
  <c r="O43" i="2"/>
  <c r="O39" i="2"/>
  <c r="O35" i="2"/>
  <c r="O31" i="2"/>
  <c r="O46" i="2"/>
  <c r="O42" i="2"/>
  <c r="O38" i="2"/>
  <c r="O34" i="2"/>
  <c r="O30" i="2"/>
  <c r="O49" i="2"/>
  <c r="O7" i="2"/>
  <c r="O12" i="2"/>
  <c r="O11" i="2"/>
  <c r="O5" i="2"/>
  <c r="O14" i="2"/>
  <c r="O10" i="2"/>
  <c r="O4" i="2"/>
  <c r="O6" i="2"/>
  <c r="O15" i="2"/>
  <c r="O69" i="2"/>
  <c r="O65" i="2"/>
  <c r="O61" i="2"/>
  <c r="O57" i="2"/>
  <c r="O53" i="2"/>
  <c r="O50" i="2"/>
  <c r="O72" i="2"/>
  <c r="O68" i="2"/>
  <c r="O64" i="2"/>
  <c r="O60" i="2"/>
  <c r="O56" i="2"/>
  <c r="O52" i="2"/>
  <c r="O71" i="2"/>
  <c r="O67" i="2"/>
  <c r="O63" i="2"/>
  <c r="O59" i="2"/>
  <c r="O55" i="2"/>
  <c r="O70" i="2"/>
  <c r="O66" i="2"/>
  <c r="O62" i="2"/>
  <c r="O58" i="2"/>
  <c r="O54" i="2"/>
  <c r="D717" i="12"/>
  <c r="D718" i="12"/>
  <c r="D719" i="12"/>
  <c r="D720" i="12"/>
  <c r="D721" i="12"/>
  <c r="D722" i="12"/>
  <c r="D723" i="12"/>
  <c r="D724" i="12"/>
  <c r="D725" i="12"/>
  <c r="D726" i="12"/>
  <c r="D727" i="12"/>
  <c r="D728" i="12"/>
  <c r="D729" i="12"/>
  <c r="D730" i="12"/>
  <c r="D731" i="12"/>
  <c r="D732" i="12"/>
  <c r="D733" i="12"/>
  <c r="D734" i="12"/>
  <c r="D735" i="12"/>
  <c r="D736" i="12"/>
  <c r="D737" i="12"/>
  <c r="D738" i="12"/>
  <c r="D739" i="12"/>
  <c r="D740" i="12"/>
  <c r="D741" i="12"/>
  <c r="D742" i="12"/>
  <c r="D743" i="12"/>
  <c r="D744" i="12"/>
  <c r="D745" i="12"/>
  <c r="D746" i="12"/>
  <c r="D747" i="12"/>
  <c r="D748" i="12"/>
  <c r="D749" i="12"/>
  <c r="D750" i="12"/>
  <c r="D751" i="12"/>
  <c r="D752" i="12"/>
  <c r="D753" i="12"/>
  <c r="D754" i="12"/>
  <c r="D755" i="12"/>
  <c r="D756" i="12"/>
  <c r="D757" i="12"/>
  <c r="D758" i="12"/>
  <c r="D759" i="12"/>
  <c r="D760" i="12"/>
  <c r="D761" i="12"/>
  <c r="D762" i="12"/>
  <c r="D763" i="12"/>
  <c r="D764" i="12"/>
  <c r="D765" i="12"/>
  <c r="D766" i="12"/>
  <c r="D767" i="12"/>
  <c r="D768" i="12"/>
  <c r="D769" i="12"/>
  <c r="D770" i="12"/>
  <c r="D771" i="12"/>
  <c r="D772" i="12"/>
  <c r="D773" i="12"/>
  <c r="D774" i="12"/>
  <c r="D775" i="12"/>
  <c r="D776" i="12"/>
  <c r="D777" i="12"/>
  <c r="D778" i="12"/>
  <c r="D779" i="12"/>
  <c r="D780" i="12"/>
  <c r="D781" i="12"/>
  <c r="D782" i="12"/>
  <c r="D783" i="12"/>
  <c r="D784" i="12"/>
  <c r="D785" i="12"/>
  <c r="D786" i="12"/>
  <c r="D787" i="12"/>
  <c r="D788" i="12"/>
  <c r="D789" i="12"/>
  <c r="D790" i="12"/>
  <c r="D791" i="12"/>
  <c r="D792" i="12"/>
  <c r="D793" i="12"/>
  <c r="D794" i="12"/>
  <c r="D795" i="12"/>
  <c r="D796" i="12"/>
  <c r="D797" i="12"/>
  <c r="D798" i="12"/>
  <c r="D799" i="12"/>
  <c r="D800" i="12"/>
  <c r="D801" i="12"/>
  <c r="D802" i="12"/>
  <c r="D803" i="12"/>
  <c r="D804" i="12"/>
  <c r="D805" i="12"/>
  <c r="D806" i="12"/>
  <c r="D807" i="12"/>
  <c r="D808" i="12"/>
  <c r="D809" i="12"/>
  <c r="D810" i="12"/>
  <c r="D811" i="12"/>
  <c r="D812" i="12"/>
  <c r="D813" i="12"/>
  <c r="D814" i="12"/>
  <c r="D815" i="12"/>
  <c r="D816" i="12"/>
  <c r="D817" i="12"/>
  <c r="D818" i="12"/>
  <c r="D819" i="12"/>
  <c r="D820" i="12"/>
  <c r="D821" i="12"/>
  <c r="D822" i="12"/>
  <c r="D823" i="12"/>
  <c r="D824" i="12"/>
  <c r="D825" i="12"/>
  <c r="D826" i="12"/>
  <c r="D827" i="12"/>
  <c r="D828" i="12"/>
  <c r="D829" i="12"/>
  <c r="D830" i="12"/>
  <c r="D831" i="12"/>
  <c r="D832" i="12"/>
  <c r="D833" i="12"/>
  <c r="D834" i="12"/>
  <c r="D835" i="12"/>
  <c r="D836" i="12"/>
  <c r="D837" i="12"/>
  <c r="D838" i="12"/>
  <c r="D839" i="12"/>
  <c r="D840" i="12"/>
  <c r="D841" i="12"/>
  <c r="D842" i="12"/>
  <c r="D843" i="12"/>
  <c r="D844" i="12"/>
  <c r="D845" i="12"/>
  <c r="D846" i="12"/>
  <c r="D847" i="12"/>
  <c r="D848" i="12"/>
  <c r="D849" i="12"/>
  <c r="D850" i="12"/>
  <c r="D851" i="12"/>
  <c r="D852" i="12"/>
  <c r="D853" i="12"/>
  <c r="D854" i="12"/>
  <c r="D855" i="12"/>
  <c r="D856" i="12"/>
  <c r="D857" i="12"/>
  <c r="D858" i="12"/>
  <c r="D859" i="12"/>
  <c r="D860" i="12"/>
  <c r="D861" i="12"/>
  <c r="D862" i="12"/>
  <c r="D863" i="12"/>
  <c r="D864" i="12"/>
  <c r="D865" i="12"/>
  <c r="D866" i="12"/>
  <c r="D867" i="12"/>
  <c r="D868" i="12"/>
  <c r="D869" i="12"/>
  <c r="D870" i="12"/>
  <c r="D871" i="12"/>
  <c r="D872" i="12"/>
  <c r="D873" i="12"/>
  <c r="D874" i="12"/>
  <c r="D875" i="12"/>
  <c r="D876" i="12"/>
  <c r="D877" i="12"/>
  <c r="D878" i="12"/>
  <c r="D879" i="12"/>
  <c r="D880" i="12"/>
  <c r="D881" i="12"/>
  <c r="D882" i="12"/>
  <c r="D883" i="12"/>
  <c r="D884" i="12"/>
  <c r="D885" i="12"/>
  <c r="D886" i="12"/>
  <c r="D887" i="12"/>
  <c r="D888" i="12"/>
  <c r="D889" i="12"/>
  <c r="D890" i="12"/>
  <c r="D891" i="12"/>
  <c r="D892" i="12"/>
  <c r="D893" i="12"/>
  <c r="D894" i="12"/>
  <c r="D895" i="12"/>
  <c r="D896" i="12"/>
  <c r="D897" i="12"/>
  <c r="D898" i="12"/>
  <c r="D899" i="12"/>
  <c r="D900" i="12"/>
  <c r="D901" i="12"/>
  <c r="D902" i="12"/>
  <c r="D903" i="12"/>
  <c r="D904" i="12"/>
  <c r="D905" i="12"/>
  <c r="D906" i="12"/>
  <c r="D907" i="12"/>
  <c r="D908" i="12"/>
  <c r="D909" i="12"/>
  <c r="D910" i="12"/>
  <c r="D911" i="12"/>
  <c r="D912" i="12"/>
  <c r="D913" i="12"/>
  <c r="D914" i="12"/>
  <c r="D915" i="12"/>
  <c r="D916" i="12"/>
  <c r="D917" i="12"/>
  <c r="D918" i="12"/>
  <c r="D919" i="12"/>
  <c r="D920" i="12"/>
  <c r="D921" i="12"/>
  <c r="D922" i="12"/>
  <c r="D923" i="12"/>
  <c r="D924" i="12"/>
  <c r="D925" i="12"/>
  <c r="D926" i="12"/>
  <c r="D927" i="12"/>
  <c r="D928" i="12"/>
  <c r="D929" i="12"/>
  <c r="D930" i="12"/>
  <c r="D931" i="12"/>
  <c r="D932" i="12"/>
  <c r="D933" i="12"/>
  <c r="D934" i="12"/>
  <c r="D935" i="12"/>
  <c r="D936" i="12"/>
  <c r="D937" i="12"/>
  <c r="D938" i="12"/>
  <c r="D939" i="12"/>
  <c r="D940" i="12"/>
  <c r="D941" i="12"/>
  <c r="D942" i="12"/>
  <c r="D943" i="12"/>
  <c r="D944" i="12"/>
  <c r="D945" i="12"/>
  <c r="D946" i="12"/>
  <c r="D947" i="12"/>
  <c r="D948" i="12"/>
  <c r="D949" i="12"/>
  <c r="D950" i="12"/>
  <c r="D951" i="12"/>
  <c r="D952" i="12"/>
  <c r="D953" i="12"/>
  <c r="D954" i="12"/>
  <c r="D955" i="12"/>
  <c r="D956" i="12"/>
  <c r="D957" i="12"/>
  <c r="D958" i="12"/>
  <c r="D959" i="12"/>
  <c r="D960" i="12"/>
  <c r="D961" i="12"/>
  <c r="D962" i="12"/>
  <c r="D963" i="12"/>
  <c r="D964" i="12"/>
  <c r="D965" i="12"/>
  <c r="D966" i="12"/>
  <c r="D967" i="12"/>
  <c r="D968" i="12"/>
  <c r="D969" i="12"/>
  <c r="D970" i="12"/>
  <c r="D971" i="12"/>
  <c r="D972" i="12"/>
  <c r="D973" i="12"/>
  <c r="D974" i="12"/>
  <c r="D975" i="12"/>
  <c r="D976" i="12"/>
  <c r="D977" i="12"/>
  <c r="D978" i="12"/>
  <c r="D979" i="12"/>
  <c r="D980" i="12"/>
  <c r="D981" i="12"/>
  <c r="D982" i="12"/>
  <c r="D983" i="12"/>
  <c r="D984" i="12"/>
  <c r="D985" i="12"/>
  <c r="D986" i="12"/>
  <c r="D987" i="12"/>
  <c r="D988" i="12"/>
  <c r="D989" i="12"/>
  <c r="D990" i="12"/>
  <c r="D991" i="12"/>
  <c r="D992" i="12"/>
  <c r="D993" i="12"/>
  <c r="D994" i="12"/>
  <c r="D995" i="12"/>
  <c r="D996" i="12"/>
  <c r="D997" i="12"/>
  <c r="D998" i="12"/>
  <c r="D999" i="12"/>
  <c r="D1000" i="12"/>
  <c r="B3" i="12" l="1"/>
  <c r="O193" i="2" l="1"/>
  <c r="O194" i="2"/>
  <c r="O197" i="2"/>
  <c r="O195" i="2"/>
  <c r="O196" i="2"/>
  <c r="O199" i="2"/>
  <c r="D482" i="12" l="1"/>
  <c r="D486" i="12"/>
  <c r="D490" i="12"/>
  <c r="D494" i="12"/>
  <c r="D498" i="12"/>
  <c r="D633" i="12"/>
  <c r="D697" i="12"/>
  <c r="D54" i="12"/>
  <c r="D38" i="12"/>
  <c r="D23" i="12"/>
  <c r="D49" i="12"/>
  <c r="D39" i="12"/>
  <c r="D12" i="12"/>
  <c r="D484" i="12"/>
  <c r="D488" i="12"/>
  <c r="D492" i="12"/>
  <c r="D496" i="12"/>
  <c r="D134" i="12"/>
  <c r="D111" i="12"/>
  <c r="D106" i="12"/>
  <c r="D103" i="12"/>
  <c r="D79" i="12"/>
  <c r="D74" i="12"/>
  <c r="D71" i="12"/>
  <c r="D41" i="12"/>
  <c r="D20" i="12"/>
  <c r="D6" i="12"/>
  <c r="D483" i="12"/>
  <c r="D487" i="12"/>
  <c r="D491" i="12"/>
  <c r="D495" i="12"/>
  <c r="D499" i="12"/>
  <c r="D503" i="12"/>
  <c r="D507" i="12"/>
  <c r="D511" i="12"/>
  <c r="D515" i="12"/>
  <c r="D519" i="12"/>
  <c r="D523" i="12"/>
  <c r="D527" i="12"/>
  <c r="D531" i="12"/>
  <c r="D535" i="12"/>
  <c r="D539" i="12"/>
  <c r="D485" i="12"/>
  <c r="D489" i="12"/>
  <c r="D493" i="12"/>
  <c r="D497" i="12"/>
  <c r="D566" i="12"/>
  <c r="D570" i="12"/>
  <c r="D577" i="12"/>
  <c r="D602" i="12"/>
  <c r="D609" i="12"/>
  <c r="D458" i="12"/>
  <c r="D454" i="12"/>
  <c r="D452" i="12"/>
  <c r="D451" i="12"/>
  <c r="D450" i="12"/>
  <c r="D448" i="12"/>
  <c r="D447" i="12"/>
  <c r="D442" i="12"/>
  <c r="D426" i="12"/>
  <c r="D422" i="12"/>
  <c r="D420" i="12"/>
  <c r="D419" i="12"/>
  <c r="D418" i="12"/>
  <c r="D416" i="12"/>
  <c r="D415" i="12"/>
  <c r="D414" i="12"/>
  <c r="D394" i="12"/>
  <c r="D390" i="12"/>
  <c r="D389" i="12"/>
  <c r="D388" i="12"/>
  <c r="D386" i="12"/>
  <c r="D385" i="12"/>
  <c r="D384" i="12"/>
  <c r="D382" i="12"/>
  <c r="D381" i="12"/>
  <c r="D380" i="12"/>
  <c r="D374" i="12"/>
  <c r="D373" i="12"/>
  <c r="D372" i="12"/>
  <c r="D366" i="12"/>
  <c r="D293" i="12"/>
  <c r="D292" i="12"/>
  <c r="D291" i="12"/>
  <c r="D289" i="12"/>
  <c r="D285" i="12"/>
  <c r="D284" i="12"/>
  <c r="D283" i="12"/>
  <c r="D269" i="12"/>
  <c r="D268" i="12"/>
  <c r="D267" i="12"/>
  <c r="D266" i="12"/>
  <c r="D265" i="12"/>
  <c r="D264" i="12"/>
  <c r="D263" i="12"/>
  <c r="D261" i="12"/>
  <c r="D253" i="12"/>
  <c r="D221" i="12"/>
  <c r="D220" i="12"/>
  <c r="D219" i="12"/>
  <c r="D218" i="12"/>
  <c r="D217" i="12"/>
  <c r="D216" i="12"/>
  <c r="D215" i="12"/>
  <c r="D205" i="12"/>
  <c r="D204" i="12"/>
  <c r="D203" i="12"/>
  <c r="D202" i="12"/>
  <c r="D201" i="12"/>
  <c r="D200" i="12"/>
  <c r="D199" i="12"/>
  <c r="D197" i="12"/>
  <c r="D634" i="12"/>
  <c r="D649" i="12"/>
  <c r="D666" i="12"/>
  <c r="D543" i="12"/>
  <c r="D547" i="12"/>
  <c r="D551" i="12"/>
  <c r="D555" i="12"/>
  <c r="D559" i="12"/>
  <c r="D563" i="12"/>
  <c r="D568" i="12"/>
  <c r="D698" i="12"/>
  <c r="D705" i="12"/>
  <c r="D714" i="12"/>
  <c r="D118" i="12"/>
  <c r="D70" i="12"/>
  <c r="D578" i="12"/>
  <c r="D581" i="12"/>
  <c r="D582" i="12"/>
  <c r="D584" i="12"/>
  <c r="D585" i="12"/>
  <c r="D589" i="12"/>
  <c r="D590" i="12"/>
  <c r="D592" i="12"/>
  <c r="D593" i="12"/>
  <c r="D594" i="12"/>
  <c r="D597" i="12"/>
  <c r="D598" i="12"/>
  <c r="D600" i="12"/>
  <c r="D601" i="12"/>
  <c r="D610" i="12"/>
  <c r="D613" i="12"/>
  <c r="D614" i="12"/>
  <c r="D616" i="12"/>
  <c r="D617" i="12"/>
  <c r="D621" i="12"/>
  <c r="D622" i="12"/>
  <c r="D624" i="12"/>
  <c r="D625" i="12"/>
  <c r="D626" i="12"/>
  <c r="D629" i="12"/>
  <c r="D630" i="12"/>
  <c r="D632" i="12"/>
  <c r="D473" i="12"/>
  <c r="D471" i="12"/>
  <c r="D462" i="12"/>
  <c r="D461" i="12"/>
  <c r="D358" i="12"/>
  <c r="D333" i="12"/>
  <c r="D329" i="12"/>
  <c r="D326" i="12"/>
  <c r="D297" i="12"/>
  <c r="D294" i="12"/>
  <c r="D501" i="12"/>
  <c r="D505" i="12"/>
  <c r="D509" i="12"/>
  <c r="D513" i="12"/>
  <c r="D517" i="12"/>
  <c r="D521" i="12"/>
  <c r="D525" i="12"/>
  <c r="D529" i="12"/>
  <c r="D533" i="12"/>
  <c r="D537" i="12"/>
  <c r="D541" i="12"/>
  <c r="D545" i="12"/>
  <c r="D549" i="12"/>
  <c r="D553" i="12"/>
  <c r="D557" i="12"/>
  <c r="D561" i="12"/>
  <c r="D565" i="12"/>
  <c r="D653" i="12"/>
  <c r="D654" i="12"/>
  <c r="D656" i="12"/>
  <c r="D657" i="12"/>
  <c r="D658" i="12"/>
  <c r="D661" i="12"/>
  <c r="D662" i="12"/>
  <c r="D664" i="12"/>
  <c r="D665" i="12"/>
  <c r="D681" i="12"/>
  <c r="D685" i="12"/>
  <c r="D686" i="12"/>
  <c r="D688" i="12"/>
  <c r="D689" i="12"/>
  <c r="D690" i="12"/>
  <c r="D693" i="12"/>
  <c r="D694" i="12"/>
  <c r="D696" i="12"/>
  <c r="D245" i="12"/>
  <c r="D238" i="12"/>
  <c r="D222" i="12"/>
  <c r="D189" i="12"/>
  <c r="D181" i="12"/>
  <c r="D177" i="12"/>
  <c r="D175" i="12"/>
  <c r="D170" i="12"/>
  <c r="D167" i="12"/>
  <c r="D143" i="12"/>
  <c r="D138" i="12"/>
  <c r="D135" i="12"/>
  <c r="D569" i="12"/>
  <c r="D586" i="12"/>
  <c r="D605" i="12"/>
  <c r="D606" i="12"/>
  <c r="D608" i="12"/>
  <c r="D650" i="12"/>
  <c r="D669" i="12"/>
  <c r="D670" i="12"/>
  <c r="D672" i="12"/>
  <c r="D673" i="12"/>
  <c r="D674" i="12"/>
  <c r="D677" i="12"/>
  <c r="D678" i="12"/>
  <c r="D680" i="12"/>
  <c r="D357" i="12"/>
  <c r="D356" i="12"/>
  <c r="D354" i="12"/>
  <c r="D350" i="12"/>
  <c r="D349" i="12"/>
  <c r="D348" i="12"/>
  <c r="D341" i="12"/>
  <c r="D340" i="12"/>
  <c r="D339" i="12"/>
  <c r="D325" i="12"/>
  <c r="D324" i="12"/>
  <c r="D323" i="12"/>
  <c r="D321" i="12"/>
  <c r="D317" i="12"/>
  <c r="D316" i="12"/>
  <c r="D315" i="12"/>
  <c r="D309" i="12"/>
  <c r="D308" i="12"/>
  <c r="D307" i="12"/>
  <c r="D277" i="12"/>
  <c r="D270" i="12"/>
  <c r="D254" i="12"/>
  <c r="D188" i="12"/>
  <c r="D187" i="12"/>
  <c r="D186" i="12"/>
  <c r="D185" i="12"/>
  <c r="D184" i="12"/>
  <c r="D183" i="12"/>
  <c r="D166" i="12"/>
  <c r="D165" i="12"/>
  <c r="D164" i="12"/>
  <c r="D162" i="12"/>
  <c r="D158" i="12"/>
  <c r="D157" i="12"/>
  <c r="D156" i="12"/>
  <c r="D127" i="12"/>
  <c r="D122" i="12"/>
  <c r="D119" i="12"/>
  <c r="D53" i="12"/>
  <c r="D30" i="12"/>
  <c r="D22" i="12"/>
  <c r="D567" i="12"/>
  <c r="D573" i="12"/>
  <c r="D574" i="12"/>
  <c r="D576" i="12"/>
  <c r="D618" i="12"/>
  <c r="D637" i="12"/>
  <c r="D638" i="12"/>
  <c r="D640" i="12"/>
  <c r="D641" i="12"/>
  <c r="D642" i="12"/>
  <c r="D645" i="12"/>
  <c r="D646" i="12"/>
  <c r="D648" i="12"/>
  <c r="D682" i="12"/>
  <c r="D701" i="12"/>
  <c r="D702" i="12"/>
  <c r="D706" i="12"/>
  <c r="D480" i="12"/>
  <c r="D479" i="12"/>
  <c r="D441" i="12"/>
  <c r="D429" i="12"/>
  <c r="D410" i="12"/>
  <c r="D409" i="12"/>
  <c r="D407" i="12"/>
  <c r="D397" i="12"/>
  <c r="D395" i="12"/>
  <c r="D362" i="12"/>
  <c r="D359" i="12"/>
  <c r="D252" i="12"/>
  <c r="D251" i="12"/>
  <c r="D250" i="12"/>
  <c r="D249" i="12"/>
  <c r="D248" i="12"/>
  <c r="D247" i="12"/>
  <c r="D237" i="12"/>
  <c r="D236" i="12"/>
  <c r="D235" i="12"/>
  <c r="D234" i="12"/>
  <c r="D233" i="12"/>
  <c r="D232" i="12"/>
  <c r="D231" i="12"/>
  <c r="D213" i="12"/>
  <c r="D206" i="12"/>
  <c r="D190" i="12"/>
  <c r="D102" i="12"/>
  <c r="D101" i="12"/>
  <c r="D100" i="12"/>
  <c r="D98" i="12"/>
  <c r="D94" i="12"/>
  <c r="D93" i="12"/>
  <c r="D92" i="12"/>
  <c r="D63" i="12"/>
  <c r="D58" i="12"/>
  <c r="D55" i="12"/>
  <c r="D500" i="12"/>
  <c r="D504" i="12"/>
  <c r="D508" i="12"/>
  <c r="D512" i="12"/>
  <c r="D516" i="12"/>
  <c r="D520" i="12"/>
  <c r="D524" i="12"/>
  <c r="D528" i="12"/>
  <c r="D532" i="12"/>
  <c r="D536" i="12"/>
  <c r="D540" i="12"/>
  <c r="D544" i="12"/>
  <c r="D548" i="12"/>
  <c r="D552" i="12"/>
  <c r="D556" i="12"/>
  <c r="D560" i="12"/>
  <c r="D564" i="12"/>
  <c r="D502" i="12"/>
  <c r="D506" i="12"/>
  <c r="D510" i="12"/>
  <c r="D514" i="12"/>
  <c r="D518" i="12"/>
  <c r="D522" i="12"/>
  <c r="D526" i="12"/>
  <c r="D530" i="12"/>
  <c r="D534" i="12"/>
  <c r="D538" i="12"/>
  <c r="D542" i="12"/>
  <c r="D546" i="12"/>
  <c r="D550" i="12"/>
  <c r="D554" i="12"/>
  <c r="D558" i="12"/>
  <c r="D562" i="12"/>
  <c r="D713" i="12"/>
  <c r="D474" i="12"/>
  <c r="D301" i="12"/>
  <c r="D150" i="12"/>
  <c r="D229" i="12"/>
  <c r="D86" i="12"/>
  <c r="D709" i="12"/>
  <c r="D710" i="12"/>
  <c r="D712" i="12"/>
  <c r="D478" i="12"/>
  <c r="D477" i="12"/>
  <c r="D438" i="12"/>
  <c r="D436" i="12"/>
  <c r="D435" i="12"/>
  <c r="D434" i="12"/>
  <c r="D432" i="12"/>
  <c r="D431" i="12"/>
  <c r="D430" i="12"/>
  <c r="D425" i="12"/>
  <c r="D413" i="12"/>
  <c r="D411" i="12"/>
  <c r="D365" i="12"/>
  <c r="D364" i="12"/>
  <c r="D351" i="12"/>
  <c r="D346" i="12"/>
  <c r="D345" i="12"/>
  <c r="D342" i="12"/>
  <c r="D334" i="12"/>
  <c r="D300" i="12"/>
  <c r="D299" i="12"/>
  <c r="D286" i="12"/>
  <c r="D281" i="12"/>
  <c r="D278" i="12"/>
  <c r="D260" i="12"/>
  <c r="D259" i="12"/>
  <c r="D258" i="12"/>
  <c r="D257" i="12"/>
  <c r="D256" i="12"/>
  <c r="D255" i="12"/>
  <c r="D246" i="12"/>
  <c r="D228" i="12"/>
  <c r="D227" i="12"/>
  <c r="D226" i="12"/>
  <c r="D225" i="12"/>
  <c r="D224" i="12"/>
  <c r="D223" i="12"/>
  <c r="D214" i="12"/>
  <c r="D196" i="12"/>
  <c r="D195" i="12"/>
  <c r="D194" i="12"/>
  <c r="D193" i="12"/>
  <c r="D192" i="12"/>
  <c r="D191" i="12"/>
  <c r="D182" i="12"/>
  <c r="D149" i="12"/>
  <c r="D148" i="12"/>
  <c r="D146" i="12"/>
  <c r="D142" i="12"/>
  <c r="D141" i="12"/>
  <c r="D140" i="12"/>
  <c r="D85" i="12"/>
  <c r="D84" i="12"/>
  <c r="D82" i="12"/>
  <c r="D78" i="12"/>
  <c r="D77" i="12"/>
  <c r="D76" i="12"/>
  <c r="D40" i="12"/>
  <c r="D35" i="12"/>
  <c r="D28" i="12"/>
  <c r="D15" i="12"/>
  <c r="D133" i="12"/>
  <c r="D132" i="12"/>
  <c r="D130" i="12"/>
  <c r="D126" i="12"/>
  <c r="D125" i="12"/>
  <c r="D124" i="12"/>
  <c r="D69" i="12"/>
  <c r="D68" i="12"/>
  <c r="D66" i="12"/>
  <c r="D62" i="12"/>
  <c r="D61" i="12"/>
  <c r="D60" i="12"/>
  <c r="D704" i="12"/>
  <c r="D470" i="12"/>
  <c r="D468" i="12"/>
  <c r="D467" i="12"/>
  <c r="D466" i="12"/>
  <c r="D464" i="12"/>
  <c r="D463" i="12"/>
  <c r="D457" i="12"/>
  <c r="D446" i="12"/>
  <c r="D445" i="12"/>
  <c r="D406" i="12"/>
  <c r="D404" i="12"/>
  <c r="D402" i="12"/>
  <c r="D400" i="12"/>
  <c r="D398" i="12"/>
  <c r="D393" i="12"/>
  <c r="D391" i="12"/>
  <c r="D378" i="12"/>
  <c r="D375" i="12"/>
  <c r="D367" i="12"/>
  <c r="D332" i="12"/>
  <c r="D331" i="12"/>
  <c r="D318" i="12"/>
  <c r="D313" i="12"/>
  <c r="D310" i="12"/>
  <c r="D302" i="12"/>
  <c r="D276" i="12"/>
  <c r="D275" i="12"/>
  <c r="D274" i="12"/>
  <c r="D273" i="12"/>
  <c r="D272" i="12"/>
  <c r="D271" i="12"/>
  <c r="D262" i="12"/>
  <c r="D244" i="12"/>
  <c r="D243" i="12"/>
  <c r="D242" i="12"/>
  <c r="D241" i="12"/>
  <c r="D240" i="12"/>
  <c r="D239" i="12"/>
  <c r="D230" i="12"/>
  <c r="D212" i="12"/>
  <c r="D211" i="12"/>
  <c r="D210" i="12"/>
  <c r="D209" i="12"/>
  <c r="D208" i="12"/>
  <c r="D207" i="12"/>
  <c r="D198" i="12"/>
  <c r="D180" i="12"/>
  <c r="D178" i="12"/>
  <c r="D174" i="12"/>
  <c r="D173" i="12"/>
  <c r="D172" i="12"/>
  <c r="D159" i="12"/>
  <c r="D154" i="12"/>
  <c r="D151" i="12"/>
  <c r="D117" i="12"/>
  <c r="D116" i="12"/>
  <c r="D114" i="12"/>
  <c r="D110" i="12"/>
  <c r="D109" i="12"/>
  <c r="D108" i="12"/>
  <c r="D95" i="12"/>
  <c r="D90" i="12"/>
  <c r="D87" i="12"/>
  <c r="D50" i="12"/>
  <c r="D8" i="12"/>
  <c r="D7" i="12"/>
  <c r="D13" i="12"/>
  <c r="D44" i="12"/>
  <c r="D42" i="12"/>
  <c r="D472" i="12"/>
  <c r="D469" i="12"/>
  <c r="D456" i="12"/>
  <c r="D455" i="12"/>
  <c r="D453" i="12"/>
  <c r="D440" i="12"/>
  <c r="D439" i="12"/>
  <c r="D437" i="12"/>
  <c r="D424" i="12"/>
  <c r="D423" i="12"/>
  <c r="D421" i="12"/>
  <c r="D408" i="12"/>
  <c r="D405" i="12"/>
  <c r="D403" i="12"/>
  <c r="D383" i="12"/>
  <c r="D572" i="12"/>
  <c r="D580" i="12"/>
  <c r="D588" i="12"/>
  <c r="D595" i="12"/>
  <c r="D596" i="12"/>
  <c r="D603" i="12"/>
  <c r="D604" i="12"/>
  <c r="D611" i="12"/>
  <c r="D612" i="12"/>
  <c r="D619" i="12"/>
  <c r="D620" i="12"/>
  <c r="D627" i="12"/>
  <c r="D628" i="12"/>
  <c r="D635" i="12"/>
  <c r="D636" i="12"/>
  <c r="D643" i="12"/>
  <c r="D644" i="12"/>
  <c r="D651" i="12"/>
  <c r="D652" i="12"/>
  <c r="D659" i="12"/>
  <c r="D660" i="12"/>
  <c r="D667" i="12"/>
  <c r="D668" i="12"/>
  <c r="D675" i="12"/>
  <c r="D676" i="12"/>
  <c r="D683" i="12"/>
  <c r="D684" i="12"/>
  <c r="D691" i="12"/>
  <c r="D692" i="12"/>
  <c r="D699" i="12"/>
  <c r="D700" i="12"/>
  <c r="D707" i="12"/>
  <c r="D708" i="12"/>
  <c r="D715" i="12"/>
  <c r="D716" i="12"/>
  <c r="D481" i="12"/>
  <c r="D465" i="12"/>
  <c r="D449" i="12"/>
  <c r="D433" i="12"/>
  <c r="D417" i="12"/>
  <c r="D401" i="12"/>
  <c r="D399" i="12"/>
  <c r="D476" i="12"/>
  <c r="D475" i="12"/>
  <c r="D460" i="12"/>
  <c r="D459" i="12"/>
  <c r="D444" i="12"/>
  <c r="D443" i="12"/>
  <c r="D428" i="12"/>
  <c r="D427" i="12"/>
  <c r="D412" i="12"/>
  <c r="D396" i="12"/>
  <c r="D370" i="12"/>
  <c r="D337" i="12"/>
  <c r="D305" i="12"/>
  <c r="D392" i="12"/>
  <c r="D387" i="12"/>
  <c r="D377" i="12"/>
  <c r="D376" i="12"/>
  <c r="D371" i="12"/>
  <c r="D361" i="12"/>
  <c r="D360" i="12"/>
  <c r="D355" i="12"/>
  <c r="D344" i="12"/>
  <c r="D343" i="12"/>
  <c r="D338" i="12"/>
  <c r="D328" i="12"/>
  <c r="D327" i="12"/>
  <c r="D322" i="12"/>
  <c r="D312" i="12"/>
  <c r="D311" i="12"/>
  <c r="D306" i="12"/>
  <c r="D296" i="12"/>
  <c r="D295" i="12"/>
  <c r="D290" i="12"/>
  <c r="D280" i="12"/>
  <c r="D279" i="12"/>
  <c r="D179" i="12"/>
  <c r="D169" i="12"/>
  <c r="D168" i="12"/>
  <c r="D163" i="12"/>
  <c r="D153" i="12"/>
  <c r="D152" i="12"/>
  <c r="D147" i="12"/>
  <c r="D137" i="12"/>
  <c r="D136" i="12"/>
  <c r="D131" i="12"/>
  <c r="D121" i="12"/>
  <c r="D120" i="12"/>
  <c r="D115" i="12"/>
  <c r="D105" i="12"/>
  <c r="D104" i="12"/>
  <c r="D99" i="12"/>
  <c r="D89" i="12"/>
  <c r="D88" i="12"/>
  <c r="D83" i="12"/>
  <c r="D73" i="12"/>
  <c r="D72" i="12"/>
  <c r="D67" i="12"/>
  <c r="D57" i="12"/>
  <c r="D56" i="12"/>
  <c r="D14" i="12"/>
  <c r="D19" i="12"/>
  <c r="D36" i="12"/>
  <c r="D43" i="12"/>
  <c r="D46" i="12"/>
  <c r="D47" i="12"/>
  <c r="D52" i="12"/>
  <c r="D379" i="12"/>
  <c r="D369" i="12"/>
  <c r="D368" i="12"/>
  <c r="D363" i="12"/>
  <c r="D353" i="12"/>
  <c r="D352" i="12"/>
  <c r="D347" i="12"/>
  <c r="D336" i="12"/>
  <c r="D335" i="12"/>
  <c r="D330" i="12"/>
  <c r="D320" i="12"/>
  <c r="D319" i="12"/>
  <c r="D314" i="12"/>
  <c r="D304" i="12"/>
  <c r="D303" i="12"/>
  <c r="D298" i="12"/>
  <c r="D288" i="12"/>
  <c r="D287" i="12"/>
  <c r="D282" i="12"/>
  <c r="D176" i="12"/>
  <c r="D171" i="12"/>
  <c r="D161" i="12"/>
  <c r="D160" i="12"/>
  <c r="D155" i="12"/>
  <c r="D145" i="12"/>
  <c r="D144" i="12"/>
  <c r="D139" i="12"/>
  <c r="D129" i="12"/>
  <c r="D128" i="12"/>
  <c r="D123" i="12"/>
  <c r="D113" i="12"/>
  <c r="D112" i="12"/>
  <c r="D107" i="12"/>
  <c r="D97" i="12"/>
  <c r="D96" i="12"/>
  <c r="D91" i="12"/>
  <c r="D81" i="12"/>
  <c r="D80" i="12"/>
  <c r="D75" i="12"/>
  <c r="D65" i="12"/>
  <c r="D64" i="12"/>
  <c r="D59" i="12"/>
  <c r="D48" i="12"/>
  <c r="D11" i="12"/>
  <c r="D9" i="12"/>
  <c r="D18" i="12"/>
  <c r="D51" i="12"/>
  <c r="D45" i="12"/>
  <c r="D24" i="12"/>
  <c r="D571" i="12"/>
  <c r="D579" i="12"/>
  <c r="D587" i="12"/>
  <c r="D575" i="12"/>
  <c r="D583" i="12"/>
  <c r="D591" i="12"/>
  <c r="D599" i="12"/>
  <c r="D607" i="12"/>
  <c r="D615" i="12"/>
  <c r="D623" i="12"/>
  <c r="D631" i="12"/>
  <c r="D639" i="12"/>
  <c r="D647" i="12"/>
  <c r="D655" i="12"/>
  <c r="D663" i="12"/>
  <c r="D671" i="12"/>
  <c r="D679" i="12"/>
  <c r="D687" i="12"/>
  <c r="D695" i="12"/>
  <c r="D703" i="12"/>
  <c r="D711" i="12"/>
  <c r="O1858" i="2" l="1"/>
  <c r="O1859" i="2"/>
  <c r="O1860" i="2"/>
  <c r="O1861" i="2"/>
  <c r="O1862" i="2"/>
  <c r="O1863" i="2"/>
  <c r="O1864" i="2"/>
  <c r="O1865" i="2"/>
  <c r="O1866" i="2"/>
  <c r="O1867" i="2"/>
  <c r="O1868" i="2"/>
  <c r="O1869" i="2"/>
  <c r="O1870" i="2"/>
  <c r="O1871" i="2"/>
  <c r="O1872" i="2"/>
  <c r="O1873" i="2"/>
  <c r="O1874" i="2"/>
  <c r="O1875" i="2"/>
  <c r="O1876" i="2"/>
  <c r="O1877" i="2"/>
  <c r="O1878" i="2"/>
  <c r="O1879" i="2"/>
  <c r="O1880" i="2"/>
  <c r="O1881" i="2"/>
  <c r="O1882" i="2"/>
  <c r="O1883" i="2"/>
  <c r="O1884" i="2"/>
  <c r="O1885" i="2"/>
  <c r="O1886" i="2"/>
  <c r="O1887" i="2"/>
  <c r="O1888" i="2"/>
  <c r="O1889" i="2"/>
  <c r="O1890" i="2"/>
  <c r="O1891" i="2"/>
  <c r="O1892" i="2"/>
  <c r="O1893" i="2"/>
  <c r="O1894" i="2"/>
  <c r="O1895" i="2"/>
  <c r="O1896" i="2"/>
  <c r="O1897" i="2"/>
  <c r="O1898" i="2"/>
  <c r="O1899" i="2"/>
  <c r="O1900" i="2"/>
  <c r="O1901" i="2"/>
  <c r="O1902" i="2"/>
  <c r="O1903" i="2"/>
  <c r="O1904" i="2"/>
  <c r="O1905" i="2"/>
  <c r="O1906" i="2"/>
  <c r="O1907" i="2"/>
  <c r="O1908" i="2"/>
  <c r="O1909" i="2"/>
  <c r="O1910" i="2"/>
  <c r="O1911" i="2"/>
  <c r="O1912" i="2"/>
  <c r="O1913" i="2"/>
  <c r="O1914" i="2"/>
  <c r="O1915" i="2"/>
  <c r="O1916" i="2"/>
  <c r="O1917" i="2"/>
  <c r="O1918" i="2"/>
  <c r="O1919" i="2"/>
  <c r="O1920" i="2"/>
  <c r="O1921" i="2"/>
  <c r="O1922" i="2"/>
  <c r="O1923" i="2"/>
  <c r="O1924" i="2"/>
  <c r="O1925" i="2"/>
  <c r="O1926" i="2"/>
  <c r="O1927" i="2"/>
  <c r="O1928" i="2"/>
  <c r="O1929" i="2"/>
  <c r="O1930" i="2"/>
  <c r="O1931" i="2"/>
  <c r="O1932" i="2"/>
  <c r="O1933" i="2"/>
  <c r="O1934" i="2"/>
  <c r="O1935" i="2"/>
  <c r="O1936" i="2"/>
  <c r="O1937" i="2"/>
  <c r="O1938" i="2"/>
  <c r="O1939" i="2"/>
  <c r="O1940" i="2"/>
  <c r="O1941" i="2"/>
  <c r="O1942" i="2"/>
  <c r="O1943" i="2"/>
  <c r="O1944" i="2"/>
  <c r="O1945" i="2"/>
  <c r="O1946" i="2"/>
  <c r="O1947" i="2"/>
  <c r="O1948" i="2"/>
  <c r="O1949" i="2"/>
  <c r="O1950" i="2"/>
  <c r="O1951" i="2"/>
  <c r="O1952" i="2"/>
  <c r="O1953" i="2"/>
  <c r="O1954" i="2"/>
  <c r="O1955" i="2"/>
  <c r="O1956" i="2"/>
  <c r="O1957" i="2"/>
  <c r="O1958" i="2"/>
  <c r="O1959" i="2"/>
  <c r="O1960" i="2"/>
  <c r="O1961" i="2"/>
  <c r="O1962" i="2"/>
  <c r="O1963" i="2"/>
  <c r="O1964" i="2"/>
  <c r="O1965" i="2"/>
  <c r="O1966" i="2"/>
  <c r="O1967" i="2"/>
  <c r="O1968" i="2"/>
  <c r="O1969" i="2"/>
  <c r="O1970" i="2"/>
  <c r="O1971" i="2"/>
  <c r="O1972" i="2"/>
  <c r="O1973" i="2"/>
  <c r="O1974" i="2"/>
  <c r="O1975" i="2"/>
  <c r="O1976" i="2"/>
  <c r="O1977" i="2"/>
  <c r="O1978" i="2"/>
  <c r="O1979" i="2"/>
  <c r="O1980" i="2"/>
  <c r="O1981" i="2"/>
  <c r="O1982" i="2"/>
  <c r="O1983" i="2"/>
  <c r="O1984" i="2"/>
  <c r="O1985" i="2"/>
  <c r="O1986" i="2"/>
  <c r="O1987" i="2"/>
  <c r="O1988" i="2"/>
  <c r="O1989" i="2"/>
  <c r="O1990" i="2"/>
  <c r="O1991" i="2"/>
  <c r="O1992" i="2"/>
  <c r="O1993" i="2"/>
  <c r="O1994" i="2"/>
  <c r="O1995" i="2"/>
  <c r="O1996" i="2"/>
  <c r="O1997" i="2"/>
  <c r="O1998" i="2"/>
  <c r="O1999" i="2"/>
  <c r="O2000" i="2"/>
  <c r="O2001" i="2"/>
  <c r="O2002" i="2"/>
  <c r="O2003" i="2"/>
  <c r="O2004" i="2"/>
  <c r="O2005" i="2"/>
  <c r="O2006" i="2"/>
  <c r="O2007" i="2"/>
  <c r="O2008" i="2"/>
  <c r="O2009" i="2"/>
  <c r="O2010" i="2"/>
  <c r="O2011" i="2"/>
  <c r="O2012" i="2"/>
  <c r="O2013" i="2"/>
  <c r="O2014" i="2"/>
  <c r="O2015" i="2"/>
  <c r="O2016" i="2"/>
  <c r="O2017" i="2"/>
  <c r="O2018" i="2"/>
  <c r="O2019" i="2"/>
  <c r="O2020" i="2"/>
  <c r="O2021" i="2"/>
  <c r="O2022" i="2"/>
  <c r="O2023" i="2"/>
  <c r="O2024" i="2"/>
  <c r="O2025" i="2"/>
  <c r="O2026" i="2"/>
  <c r="O2027" i="2"/>
  <c r="O2028" i="2"/>
  <c r="O2029" i="2"/>
  <c r="O2030" i="2"/>
  <c r="O2031" i="2"/>
  <c r="O2032" i="2"/>
  <c r="O2033" i="2"/>
  <c r="O2034" i="2"/>
  <c r="O2035" i="2"/>
  <c r="O2036" i="2"/>
  <c r="O2037" i="2"/>
  <c r="O2038" i="2"/>
  <c r="O2039" i="2"/>
  <c r="O2040" i="2"/>
  <c r="O2041" i="2"/>
  <c r="O2042" i="2"/>
  <c r="O2043" i="2"/>
  <c r="O2044" i="2"/>
  <c r="O2045" i="2"/>
  <c r="O2046" i="2"/>
  <c r="O2047" i="2"/>
  <c r="O2048" i="2"/>
  <c r="O2049" i="2"/>
  <c r="O2050" i="2"/>
  <c r="O2051" i="2"/>
  <c r="O2052" i="2"/>
  <c r="O2053" i="2"/>
  <c r="O2054" i="2"/>
  <c r="O2055" i="2"/>
  <c r="O2056" i="2"/>
  <c r="O2057" i="2"/>
  <c r="O2058" i="2"/>
  <c r="O2059" i="2"/>
  <c r="O2060" i="2"/>
  <c r="O2061" i="2"/>
  <c r="O2062" i="2"/>
  <c r="O2063" i="2"/>
  <c r="O2064" i="2"/>
  <c r="O2065" i="2"/>
  <c r="O2066" i="2"/>
  <c r="O2067" i="2"/>
  <c r="O2068" i="2"/>
  <c r="O2069" i="2"/>
  <c r="O2070" i="2"/>
  <c r="O2071" i="2"/>
  <c r="O2072" i="2"/>
  <c r="O2073" i="2"/>
  <c r="O2074" i="2"/>
  <c r="O2075" i="2"/>
  <c r="O2076" i="2"/>
  <c r="O2077" i="2"/>
  <c r="O2078" i="2"/>
  <c r="O2079" i="2"/>
  <c r="O2080" i="2"/>
  <c r="O2081" i="2"/>
  <c r="O2082" i="2"/>
  <c r="O2083" i="2"/>
  <c r="O2084" i="2"/>
  <c r="O2085" i="2"/>
  <c r="O2086" i="2"/>
  <c r="O2087" i="2"/>
  <c r="O2088" i="2"/>
  <c r="O2089" i="2"/>
  <c r="O2090" i="2"/>
  <c r="O2091" i="2"/>
  <c r="O2092" i="2"/>
  <c r="O2093" i="2"/>
  <c r="O2094" i="2"/>
  <c r="O2095" i="2"/>
  <c r="O2096" i="2"/>
  <c r="O2097" i="2"/>
  <c r="O2098" i="2"/>
  <c r="O2099" i="2"/>
  <c r="O2100" i="2"/>
  <c r="O2101" i="2"/>
  <c r="O2102" i="2"/>
  <c r="O2103" i="2"/>
  <c r="O2104" i="2"/>
  <c r="O2105" i="2"/>
  <c r="O2106" i="2"/>
  <c r="O2107" i="2"/>
  <c r="O2108" i="2"/>
  <c r="O2109" i="2"/>
  <c r="O2110" i="2"/>
  <c r="O2111" i="2"/>
  <c r="O2112" i="2"/>
  <c r="O2113" i="2"/>
  <c r="O2114" i="2"/>
  <c r="O2115" i="2"/>
  <c r="O2116" i="2"/>
  <c r="O2117" i="2"/>
  <c r="O2118" i="2"/>
  <c r="O2119" i="2"/>
  <c r="O2120" i="2"/>
  <c r="O2121" i="2"/>
  <c r="O2122" i="2"/>
  <c r="O2123" i="2"/>
  <c r="O2124" i="2"/>
  <c r="O2125" i="2"/>
  <c r="O2126" i="2"/>
  <c r="O2127" i="2"/>
  <c r="O2128" i="2"/>
  <c r="O2129" i="2"/>
  <c r="O2130" i="2"/>
  <c r="O2131" i="2"/>
  <c r="O2132" i="2"/>
  <c r="O2133" i="2"/>
  <c r="O2134" i="2"/>
  <c r="O2135" i="2"/>
  <c r="O2136" i="2"/>
  <c r="O2137" i="2"/>
  <c r="O2138" i="2"/>
  <c r="O2139" i="2"/>
  <c r="O2140" i="2"/>
  <c r="O2141" i="2"/>
  <c r="O2142" i="2"/>
  <c r="O2143" i="2"/>
  <c r="O2144" i="2"/>
  <c r="O2145" i="2"/>
  <c r="O2146" i="2"/>
  <c r="O2147" i="2"/>
  <c r="O2148" i="2"/>
  <c r="O2149" i="2"/>
  <c r="O2150" i="2"/>
  <c r="O2151" i="2"/>
  <c r="O2152" i="2"/>
  <c r="O602" i="2" l="1"/>
  <c r="O601" i="2"/>
  <c r="O200" i="2"/>
  <c r="O198" i="2"/>
  <c r="O201" i="2"/>
  <c r="O202" i="2"/>
  <c r="O203" i="2"/>
  <c r="O204" i="2"/>
  <c r="O253" i="2"/>
  <c r="O254" i="2"/>
  <c r="O255" i="2"/>
  <c r="O256" i="2"/>
  <c r="O257" i="2"/>
  <c r="O258" i="2"/>
  <c r="O259" i="2"/>
  <c r="O260" i="2"/>
  <c r="O261" i="2"/>
  <c r="O262" i="2"/>
  <c r="O263" i="2"/>
  <c r="O266" i="2"/>
  <c r="O267" i="2"/>
  <c r="O268" i="2"/>
  <c r="O269" i="2"/>
  <c r="O270" i="2"/>
  <c r="O271" i="2"/>
  <c r="O272" i="2"/>
  <c r="O251" i="2"/>
  <c r="O252" i="2"/>
  <c r="O273" i="2"/>
  <c r="O277" i="2"/>
  <c r="O274" i="2"/>
  <c r="O278" i="2"/>
  <c r="O279" i="2"/>
  <c r="O280" i="2"/>
  <c r="O281" i="2"/>
  <c r="O282" i="2"/>
  <c r="O275" i="2"/>
  <c r="O276" i="2"/>
  <c r="O283" i="2"/>
  <c r="O284" i="2"/>
  <c r="O285" i="2"/>
  <c r="O286" i="2"/>
  <c r="O287" i="2"/>
  <c r="O289" i="2"/>
  <c r="O290" i="2"/>
  <c r="O291" i="2"/>
  <c r="O292" i="2"/>
  <c r="O293" i="2"/>
  <c r="O299" i="2"/>
  <c r="O300" i="2"/>
  <c r="O301" i="2"/>
  <c r="O302" i="2"/>
  <c r="O294" i="2"/>
  <c r="O303" i="2"/>
  <c r="O295" i="2"/>
  <c r="O296" i="2"/>
  <c r="O297" i="2"/>
  <c r="O298" i="2"/>
  <c r="O304" i="2"/>
  <c r="O305" i="2"/>
  <c r="O306" i="2"/>
  <c r="O307" i="2"/>
  <c r="O309" i="2"/>
  <c r="O310" i="2"/>
  <c r="O311" i="2"/>
  <c r="O312" i="2"/>
  <c r="O313" i="2"/>
  <c r="O314" i="2"/>
  <c r="O315" i="2"/>
  <c r="O316" i="2"/>
  <c r="O318" i="2"/>
  <c r="O317" i="2"/>
  <c r="O319" i="2"/>
  <c r="O327" i="2"/>
  <c r="O328" i="2"/>
  <c r="O320" i="2"/>
  <c r="O321" i="2"/>
  <c r="O322" i="2"/>
  <c r="O323" i="2"/>
  <c r="O329" i="2"/>
  <c r="O330" i="2"/>
  <c r="O334" i="2"/>
  <c r="O335" i="2"/>
  <c r="O324" i="2"/>
  <c r="O331" i="2"/>
  <c r="O332" i="2"/>
  <c r="O336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64" i="2"/>
  <c r="O265" i="2"/>
  <c r="O337" i="2"/>
  <c r="O340" i="2"/>
  <c r="O325" i="2"/>
  <c r="O326" i="2"/>
  <c r="O333" i="2"/>
  <c r="O339" i="2"/>
  <c r="O341" i="2"/>
  <c r="O342" i="2"/>
  <c r="O343" i="2"/>
  <c r="O344" i="2"/>
  <c r="O338" i="2"/>
  <c r="O348" i="2"/>
  <c r="O346" i="2"/>
  <c r="O347" i="2"/>
  <c r="O349" i="2"/>
  <c r="O288" i="2"/>
  <c r="O308" i="2"/>
  <c r="O345" i="2"/>
  <c r="O351" i="2"/>
  <c r="O352" i="2"/>
  <c r="O350" i="2"/>
  <c r="O353" i="2"/>
  <c r="O354" i="2"/>
  <c r="O355" i="2"/>
  <c r="O356" i="2"/>
  <c r="O357" i="2"/>
  <c r="O358" i="2"/>
  <c r="O359" i="2"/>
  <c r="O360" i="2"/>
  <c r="O361" i="2"/>
  <c r="O365" i="2"/>
  <c r="O362" i="2"/>
  <c r="O363" i="2"/>
  <c r="O364" i="2"/>
  <c r="O367" i="2"/>
  <c r="O371" i="2"/>
  <c r="O366" i="2"/>
  <c r="O368" i="2"/>
  <c r="O369" i="2"/>
  <c r="O370" i="2"/>
  <c r="O372" i="2"/>
  <c r="O373" i="2"/>
  <c r="O374" i="2"/>
  <c r="O375" i="2"/>
  <c r="O376" i="2"/>
  <c r="O377" i="2"/>
  <c r="O378" i="2"/>
  <c r="O379" i="2"/>
  <c r="O382" i="2"/>
  <c r="O386" i="2"/>
  <c r="O383" i="2"/>
  <c r="O384" i="2"/>
  <c r="O385" i="2"/>
  <c r="O381" i="2"/>
  <c r="O387" i="2"/>
  <c r="O388" i="2"/>
  <c r="O389" i="2"/>
  <c r="O390" i="2"/>
  <c r="O393" i="2"/>
  <c r="O391" i="2"/>
  <c r="O392" i="2"/>
  <c r="O394" i="2"/>
  <c r="O395" i="2"/>
  <c r="O396" i="2"/>
  <c r="O397" i="2"/>
  <c r="O398" i="2"/>
  <c r="O380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4" i="2"/>
  <c r="O415" i="2"/>
  <c r="O416" i="2"/>
  <c r="O417" i="2"/>
  <c r="O419" i="2"/>
  <c r="O420" i="2"/>
  <c r="O413" i="2"/>
  <c r="O412" i="2"/>
  <c r="O421" i="2"/>
  <c r="O422" i="2"/>
  <c r="O426" i="2"/>
  <c r="O423" i="2"/>
  <c r="O418" i="2"/>
  <c r="O424" i="2"/>
  <c r="O425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2" i="2"/>
  <c r="O453" i="2"/>
  <c r="O451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83" i="2"/>
  <c r="O484" i="2"/>
  <c r="O485" i="2"/>
  <c r="O478" i="2"/>
  <c r="O479" i="2"/>
  <c r="O480" i="2"/>
  <c r="O481" i="2"/>
  <c r="O486" i="2"/>
  <c r="O487" i="2"/>
  <c r="O488" i="2"/>
  <c r="O489" i="2"/>
  <c r="O492" i="2"/>
  <c r="O493" i="2"/>
  <c r="O494" i="2"/>
  <c r="O490" i="2"/>
  <c r="O495" i="2"/>
  <c r="O482" i="2"/>
  <c r="O497" i="2"/>
  <c r="O491" i="2"/>
  <c r="O496" i="2"/>
  <c r="O498" i="2"/>
  <c r="O499" i="2"/>
  <c r="O500" i="2"/>
  <c r="O501" i="2"/>
  <c r="O503" i="2"/>
  <c r="O507" i="2"/>
  <c r="O506" i="2"/>
  <c r="O505" i="2"/>
  <c r="O502" i="2"/>
  <c r="O504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3" i="2"/>
  <c r="O542" i="2"/>
  <c r="O544" i="2"/>
  <c r="O545" i="2"/>
  <c r="O546" i="2"/>
  <c r="O547" i="2"/>
  <c r="O548" i="2"/>
  <c r="O549" i="2"/>
  <c r="O550" i="2"/>
  <c r="O551" i="2"/>
  <c r="O552" i="2"/>
  <c r="O554" i="2"/>
  <c r="O541" i="2"/>
  <c r="O559" i="2"/>
  <c r="O553" i="2"/>
  <c r="O560" i="2"/>
  <c r="O556" i="2"/>
  <c r="O557" i="2"/>
  <c r="O561" i="2"/>
  <c r="O562" i="2"/>
  <c r="O563" i="2"/>
  <c r="O564" i="2"/>
  <c r="O555" i="2"/>
  <c r="O565" i="2"/>
  <c r="O566" i="2"/>
  <c r="O567" i="2"/>
  <c r="O568" i="2"/>
  <c r="O569" i="2"/>
  <c r="O558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678" i="2"/>
  <c r="O679" i="2"/>
  <c r="O680" i="2"/>
  <c r="O681" i="2"/>
  <c r="O682" i="2"/>
  <c r="O683" i="2"/>
  <c r="O684" i="2"/>
  <c r="O685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76" i="2"/>
  <c r="O777" i="2"/>
  <c r="O778" i="2"/>
  <c r="O779" i="2"/>
  <c r="O780" i="2"/>
  <c r="O781" i="2"/>
  <c r="O782" i="2"/>
  <c r="O783" i="2"/>
  <c r="O784" i="2"/>
  <c r="O785" i="2"/>
  <c r="O786" i="2"/>
  <c r="O787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828" i="2"/>
  <c r="O829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873" i="2"/>
  <c r="O874" i="2"/>
  <c r="O875" i="2"/>
  <c r="O876" i="2"/>
  <c r="O877" i="2"/>
  <c r="O878" i="2"/>
  <c r="O879" i="2"/>
  <c r="O880" i="2"/>
  <c r="O881" i="2"/>
  <c r="O882" i="2"/>
  <c r="O883" i="2"/>
  <c r="O884" i="2"/>
  <c r="O885" i="2"/>
  <c r="O886" i="2"/>
  <c r="O887" i="2"/>
  <c r="O888" i="2"/>
  <c r="O889" i="2"/>
  <c r="O890" i="2"/>
  <c r="O891" i="2"/>
  <c r="O892" i="2"/>
  <c r="O893" i="2"/>
  <c r="O894" i="2"/>
  <c r="O895" i="2"/>
  <c r="O896" i="2"/>
  <c r="O897" i="2"/>
  <c r="O898" i="2"/>
  <c r="O899" i="2"/>
  <c r="O900" i="2"/>
  <c r="O901" i="2"/>
  <c r="O902" i="2"/>
  <c r="O903" i="2"/>
  <c r="O904" i="2"/>
  <c r="O905" i="2"/>
  <c r="O906" i="2"/>
  <c r="O907" i="2"/>
  <c r="O908" i="2"/>
  <c r="O909" i="2"/>
  <c r="O910" i="2"/>
  <c r="O911" i="2"/>
  <c r="O912" i="2"/>
  <c r="O913" i="2"/>
  <c r="O914" i="2"/>
  <c r="O915" i="2"/>
  <c r="O916" i="2"/>
  <c r="O917" i="2"/>
  <c r="O918" i="2"/>
  <c r="O919" i="2"/>
  <c r="O920" i="2"/>
  <c r="O921" i="2"/>
  <c r="O922" i="2"/>
  <c r="O923" i="2"/>
  <c r="O924" i="2"/>
  <c r="O925" i="2"/>
  <c r="O926" i="2"/>
  <c r="O927" i="2"/>
  <c r="O928" i="2"/>
  <c r="O929" i="2"/>
  <c r="O930" i="2"/>
  <c r="O931" i="2"/>
  <c r="O932" i="2"/>
  <c r="O933" i="2"/>
  <c r="O934" i="2"/>
  <c r="O935" i="2"/>
  <c r="O936" i="2"/>
  <c r="O937" i="2"/>
  <c r="O938" i="2"/>
  <c r="O939" i="2"/>
  <c r="O940" i="2"/>
  <c r="O941" i="2"/>
  <c r="O942" i="2"/>
  <c r="O943" i="2"/>
  <c r="O944" i="2"/>
  <c r="O945" i="2"/>
  <c r="O946" i="2"/>
  <c r="O947" i="2"/>
  <c r="O948" i="2"/>
  <c r="O949" i="2"/>
  <c r="O950" i="2"/>
  <c r="O951" i="2"/>
  <c r="O952" i="2"/>
  <c r="O953" i="2"/>
  <c r="O954" i="2"/>
  <c r="O955" i="2"/>
  <c r="O956" i="2"/>
  <c r="O957" i="2"/>
  <c r="O958" i="2"/>
  <c r="O959" i="2"/>
  <c r="O960" i="2"/>
  <c r="O961" i="2"/>
  <c r="O962" i="2"/>
  <c r="O963" i="2"/>
  <c r="O964" i="2"/>
  <c r="O965" i="2"/>
  <c r="O966" i="2"/>
  <c r="O967" i="2"/>
  <c r="O968" i="2"/>
  <c r="O969" i="2"/>
  <c r="O970" i="2"/>
  <c r="O971" i="2"/>
  <c r="O972" i="2"/>
  <c r="O973" i="2"/>
  <c r="O974" i="2"/>
  <c r="O975" i="2"/>
  <c r="O976" i="2"/>
  <c r="O977" i="2"/>
  <c r="O978" i="2"/>
  <c r="O979" i="2"/>
  <c r="O980" i="2"/>
  <c r="O981" i="2"/>
  <c r="O982" i="2"/>
  <c r="O983" i="2"/>
  <c r="O984" i="2"/>
  <c r="O985" i="2"/>
  <c r="O986" i="2"/>
  <c r="O987" i="2"/>
  <c r="O988" i="2"/>
  <c r="O989" i="2"/>
  <c r="O990" i="2"/>
  <c r="O991" i="2"/>
  <c r="O992" i="2"/>
  <c r="O993" i="2"/>
  <c r="O994" i="2"/>
  <c r="O995" i="2"/>
  <c r="O996" i="2"/>
  <c r="O997" i="2"/>
  <c r="O998" i="2"/>
  <c r="O999" i="2"/>
  <c r="O1000" i="2"/>
  <c r="O1001" i="2"/>
  <c r="O1002" i="2"/>
  <c r="O1003" i="2"/>
  <c r="O1004" i="2"/>
  <c r="O1005" i="2"/>
  <c r="O1006" i="2"/>
  <c r="O1007" i="2"/>
  <c r="O1008" i="2"/>
  <c r="O1009" i="2"/>
  <c r="O1010" i="2"/>
  <c r="O1011" i="2"/>
  <c r="O1012" i="2"/>
  <c r="O1013" i="2"/>
  <c r="O1014" i="2"/>
  <c r="O1015" i="2"/>
  <c r="O1016" i="2"/>
  <c r="O1017" i="2"/>
  <c r="O1018" i="2"/>
  <c r="O1019" i="2"/>
  <c r="O1020" i="2"/>
  <c r="O1021" i="2"/>
  <c r="O1022" i="2"/>
  <c r="O1023" i="2"/>
  <c r="O1024" i="2"/>
  <c r="O1025" i="2"/>
  <c r="O1026" i="2"/>
  <c r="O1027" i="2"/>
  <c r="O1028" i="2"/>
  <c r="O1029" i="2"/>
  <c r="O1030" i="2"/>
  <c r="O1031" i="2"/>
  <c r="O1032" i="2"/>
  <c r="O1033" i="2"/>
  <c r="O1034" i="2"/>
  <c r="O1035" i="2"/>
  <c r="O1036" i="2"/>
  <c r="O1037" i="2"/>
  <c r="O1038" i="2"/>
  <c r="O1039" i="2"/>
  <c r="O1040" i="2"/>
  <c r="O1041" i="2"/>
  <c r="O1042" i="2"/>
  <c r="O1043" i="2"/>
  <c r="O1044" i="2"/>
  <c r="O1045" i="2"/>
  <c r="O1046" i="2"/>
  <c r="O1047" i="2"/>
  <c r="O1048" i="2"/>
  <c r="O1049" i="2"/>
  <c r="O1050" i="2"/>
  <c r="O1051" i="2"/>
  <c r="O1052" i="2"/>
  <c r="O1053" i="2"/>
  <c r="O1054" i="2"/>
  <c r="O1055" i="2"/>
  <c r="O1056" i="2"/>
  <c r="O1057" i="2"/>
  <c r="O1058" i="2"/>
  <c r="O1059" i="2"/>
  <c r="O1060" i="2"/>
  <c r="O1061" i="2"/>
  <c r="O1062" i="2"/>
  <c r="O1063" i="2"/>
  <c r="O1064" i="2"/>
  <c r="O1065" i="2"/>
  <c r="O1066" i="2"/>
  <c r="O1067" i="2"/>
  <c r="O1068" i="2"/>
  <c r="O1069" i="2"/>
  <c r="O1070" i="2"/>
  <c r="O1071" i="2"/>
  <c r="O1072" i="2"/>
  <c r="O1073" i="2"/>
  <c r="O1074" i="2"/>
  <c r="O1075" i="2"/>
  <c r="O1076" i="2"/>
  <c r="O1077" i="2"/>
  <c r="O1078" i="2"/>
  <c r="O1079" i="2"/>
  <c r="O1080" i="2"/>
  <c r="O1081" i="2"/>
  <c r="O1082" i="2"/>
  <c r="O1083" i="2"/>
  <c r="O1084" i="2"/>
  <c r="O1085" i="2"/>
  <c r="O1086" i="2"/>
  <c r="O1087" i="2"/>
  <c r="O1088" i="2"/>
  <c r="O1089" i="2"/>
  <c r="O1090" i="2"/>
  <c r="O1091" i="2"/>
  <c r="O1092" i="2"/>
  <c r="O1093" i="2"/>
  <c r="O1094" i="2"/>
  <c r="O1095" i="2"/>
  <c r="O1096" i="2"/>
  <c r="O1097" i="2"/>
  <c r="O1098" i="2"/>
  <c r="O1099" i="2"/>
  <c r="O1100" i="2"/>
  <c r="O1101" i="2"/>
  <c r="O1102" i="2"/>
  <c r="O1103" i="2"/>
  <c r="O1104" i="2"/>
  <c r="O1105" i="2"/>
  <c r="O1106" i="2"/>
  <c r="O1107" i="2"/>
  <c r="O1108" i="2"/>
  <c r="O1109" i="2"/>
  <c r="O1110" i="2"/>
  <c r="O1111" i="2"/>
  <c r="O1112" i="2"/>
  <c r="O1113" i="2"/>
  <c r="O1114" i="2"/>
  <c r="O1115" i="2"/>
  <c r="O1116" i="2"/>
  <c r="O1117" i="2"/>
  <c r="O1118" i="2"/>
  <c r="O1119" i="2"/>
  <c r="O1120" i="2"/>
  <c r="O1121" i="2"/>
  <c r="O1122" i="2"/>
  <c r="O1123" i="2"/>
  <c r="O1124" i="2"/>
  <c r="O1125" i="2"/>
  <c r="O1126" i="2"/>
  <c r="O1127" i="2"/>
  <c r="O1128" i="2"/>
  <c r="O1129" i="2"/>
  <c r="O1130" i="2"/>
  <c r="O1131" i="2"/>
  <c r="O1132" i="2"/>
  <c r="O1133" i="2"/>
  <c r="O1134" i="2"/>
  <c r="O1135" i="2"/>
  <c r="O1136" i="2"/>
  <c r="O1137" i="2"/>
  <c r="O1138" i="2"/>
  <c r="O1139" i="2"/>
  <c r="O1140" i="2"/>
  <c r="O1141" i="2"/>
  <c r="O1142" i="2"/>
  <c r="O1143" i="2"/>
  <c r="O1144" i="2"/>
  <c r="O1145" i="2"/>
  <c r="O1146" i="2"/>
  <c r="O1147" i="2"/>
  <c r="O1148" i="2"/>
  <c r="O1149" i="2"/>
  <c r="O1150" i="2"/>
  <c r="O1151" i="2"/>
  <c r="O1152" i="2"/>
  <c r="O1153" i="2"/>
  <c r="O1154" i="2"/>
  <c r="O1155" i="2"/>
  <c r="O1156" i="2"/>
  <c r="O1157" i="2"/>
  <c r="O1158" i="2"/>
  <c r="O1159" i="2"/>
  <c r="O1160" i="2"/>
  <c r="O1161" i="2"/>
  <c r="O1162" i="2"/>
  <c r="O1163" i="2"/>
  <c r="O1164" i="2"/>
  <c r="O1165" i="2"/>
  <c r="O1166" i="2"/>
  <c r="O1167" i="2"/>
  <c r="O1168" i="2"/>
  <c r="O1169" i="2"/>
  <c r="O1170" i="2"/>
  <c r="O1171" i="2"/>
  <c r="O1172" i="2"/>
  <c r="O1173" i="2"/>
  <c r="O1174" i="2"/>
  <c r="O1175" i="2"/>
  <c r="O1176" i="2"/>
  <c r="O1177" i="2"/>
  <c r="O1178" i="2"/>
  <c r="O1179" i="2"/>
  <c r="O1180" i="2"/>
  <c r="O1181" i="2"/>
  <c r="O1182" i="2"/>
  <c r="O1183" i="2"/>
  <c r="O1184" i="2"/>
  <c r="O1185" i="2"/>
  <c r="O1186" i="2"/>
  <c r="O1187" i="2"/>
  <c r="O1188" i="2"/>
  <c r="O1189" i="2"/>
  <c r="O1190" i="2"/>
  <c r="O1191" i="2"/>
  <c r="O1192" i="2"/>
  <c r="O1193" i="2"/>
  <c r="O1194" i="2"/>
  <c r="O1195" i="2"/>
  <c r="O1196" i="2"/>
  <c r="O1197" i="2"/>
  <c r="O1198" i="2"/>
  <c r="O1199" i="2"/>
  <c r="O1200" i="2"/>
  <c r="O1201" i="2"/>
  <c r="O1202" i="2"/>
  <c r="O1203" i="2"/>
  <c r="O1204" i="2"/>
  <c r="O1205" i="2"/>
  <c r="O1206" i="2"/>
  <c r="O1207" i="2"/>
  <c r="O1208" i="2"/>
  <c r="O1209" i="2"/>
  <c r="O1210" i="2"/>
  <c r="O1211" i="2"/>
  <c r="O1212" i="2"/>
  <c r="O1213" i="2"/>
  <c r="O1214" i="2"/>
  <c r="O1215" i="2"/>
  <c r="O1216" i="2"/>
  <c r="O1217" i="2"/>
  <c r="O1218" i="2"/>
  <c r="O1219" i="2"/>
  <c r="O1220" i="2"/>
  <c r="O1221" i="2"/>
  <c r="O1222" i="2"/>
  <c r="O1223" i="2"/>
  <c r="O1224" i="2"/>
  <c r="O1225" i="2"/>
  <c r="O1226" i="2"/>
  <c r="O1227" i="2"/>
  <c r="O1228" i="2"/>
  <c r="O1229" i="2"/>
  <c r="O1230" i="2"/>
  <c r="O1231" i="2"/>
  <c r="O1232" i="2"/>
  <c r="O1233" i="2"/>
  <c r="O1234" i="2"/>
  <c r="O1235" i="2"/>
  <c r="O1236" i="2"/>
  <c r="O1237" i="2"/>
  <c r="O1238" i="2"/>
  <c r="O1239" i="2"/>
  <c r="O1240" i="2"/>
  <c r="O1241" i="2"/>
  <c r="O1242" i="2"/>
  <c r="O1243" i="2"/>
  <c r="O1244" i="2"/>
  <c r="O1245" i="2"/>
  <c r="O1246" i="2"/>
  <c r="O1247" i="2"/>
  <c r="O1248" i="2"/>
  <c r="O1249" i="2"/>
  <c r="O1250" i="2"/>
  <c r="O1251" i="2"/>
  <c r="O1252" i="2"/>
  <c r="O1253" i="2"/>
  <c r="O1254" i="2"/>
  <c r="O1255" i="2"/>
  <c r="O1256" i="2"/>
  <c r="O1257" i="2"/>
  <c r="O1258" i="2"/>
  <c r="O1259" i="2"/>
  <c r="O1260" i="2"/>
  <c r="O1261" i="2"/>
  <c r="O1262" i="2"/>
  <c r="O1263" i="2"/>
  <c r="O1264" i="2"/>
  <c r="O1265" i="2"/>
  <c r="O1266" i="2"/>
  <c r="O1267" i="2"/>
  <c r="O1268" i="2"/>
  <c r="O1269" i="2"/>
  <c r="O1270" i="2"/>
  <c r="O1271" i="2"/>
  <c r="O1272" i="2"/>
  <c r="O1273" i="2"/>
  <c r="O1274" i="2"/>
  <c r="O1275" i="2"/>
  <c r="O1276" i="2"/>
  <c r="O1277" i="2"/>
  <c r="O1278" i="2"/>
  <c r="O1279" i="2"/>
  <c r="O1280" i="2"/>
  <c r="O1281" i="2"/>
  <c r="O1282" i="2"/>
  <c r="O1283" i="2"/>
  <c r="O1284" i="2"/>
  <c r="O1285" i="2"/>
  <c r="O1286" i="2"/>
  <c r="O1287" i="2"/>
  <c r="O1288" i="2"/>
  <c r="O1289" i="2"/>
  <c r="O1290" i="2"/>
  <c r="O1291" i="2"/>
  <c r="O1292" i="2"/>
  <c r="O1293" i="2"/>
  <c r="O1294" i="2"/>
  <c r="O1295" i="2"/>
  <c r="O1296" i="2"/>
  <c r="O1297" i="2"/>
  <c r="O1298" i="2"/>
  <c r="O1299" i="2"/>
  <c r="O1300" i="2"/>
  <c r="O1301" i="2"/>
  <c r="O1302" i="2"/>
  <c r="O1303" i="2"/>
  <c r="O1304" i="2"/>
  <c r="O1305" i="2"/>
  <c r="O1306" i="2"/>
  <c r="O1307" i="2"/>
  <c r="O1308" i="2"/>
  <c r="O1309" i="2"/>
  <c r="O1310" i="2"/>
  <c r="O1311" i="2"/>
  <c r="O1312" i="2"/>
  <c r="O1313" i="2"/>
  <c r="O1314" i="2"/>
  <c r="O1315" i="2"/>
  <c r="O1316" i="2"/>
  <c r="O1317" i="2"/>
  <c r="O1318" i="2"/>
  <c r="O1319" i="2"/>
  <c r="O1320" i="2"/>
  <c r="O1321" i="2"/>
  <c r="O1322" i="2"/>
  <c r="O1323" i="2"/>
  <c r="O1324" i="2"/>
  <c r="O1325" i="2"/>
  <c r="O1326" i="2"/>
  <c r="O1327" i="2"/>
  <c r="O1328" i="2"/>
  <c r="O1329" i="2"/>
  <c r="O1330" i="2"/>
  <c r="O1331" i="2"/>
  <c r="O1332" i="2"/>
  <c r="O1333" i="2"/>
  <c r="O1334" i="2"/>
  <c r="O1335" i="2"/>
  <c r="O1336" i="2"/>
  <c r="O1337" i="2"/>
  <c r="O1338" i="2"/>
  <c r="O1339" i="2"/>
  <c r="O1340" i="2"/>
  <c r="O1341" i="2"/>
  <c r="O1342" i="2"/>
  <c r="O1343" i="2"/>
  <c r="O1344" i="2"/>
  <c r="O1345" i="2"/>
  <c r="O1346" i="2"/>
  <c r="O1347" i="2"/>
  <c r="O1348" i="2"/>
  <c r="O1349" i="2"/>
  <c r="O1350" i="2"/>
  <c r="O1351" i="2"/>
  <c r="O1352" i="2"/>
  <c r="O1353" i="2"/>
  <c r="O1354" i="2"/>
  <c r="O1355" i="2"/>
  <c r="O1356" i="2"/>
  <c r="O1357" i="2"/>
  <c r="O1358" i="2"/>
  <c r="O1359" i="2"/>
  <c r="O1360" i="2"/>
  <c r="O1361" i="2"/>
  <c r="O1362" i="2"/>
  <c r="O1363" i="2"/>
  <c r="O1364" i="2"/>
  <c r="O1365" i="2"/>
  <c r="O1366" i="2"/>
  <c r="O1367" i="2"/>
  <c r="O1368" i="2"/>
  <c r="O1369" i="2"/>
  <c r="O1370" i="2"/>
  <c r="O1371" i="2"/>
  <c r="O1372" i="2"/>
  <c r="O1373" i="2"/>
  <c r="O1374" i="2"/>
  <c r="O1375" i="2"/>
  <c r="O1376" i="2"/>
  <c r="O1377" i="2"/>
  <c r="O1378" i="2"/>
  <c r="O1379" i="2"/>
  <c r="O1380" i="2"/>
  <c r="O1381" i="2"/>
  <c r="O1382" i="2"/>
  <c r="O1383" i="2"/>
  <c r="O1384" i="2"/>
  <c r="O1385" i="2"/>
  <c r="O1386" i="2"/>
  <c r="O1387" i="2"/>
  <c r="O1388" i="2"/>
  <c r="O1389" i="2"/>
  <c r="O1390" i="2"/>
  <c r="O1391" i="2"/>
  <c r="O1392" i="2"/>
  <c r="O1393" i="2"/>
  <c r="O1394" i="2"/>
  <c r="O1395" i="2"/>
  <c r="O1396" i="2"/>
  <c r="O1397" i="2"/>
  <c r="O1398" i="2"/>
  <c r="O1399" i="2"/>
  <c r="O1400" i="2"/>
  <c r="O1401" i="2"/>
  <c r="O1402" i="2"/>
  <c r="O1403" i="2"/>
  <c r="O1404" i="2"/>
  <c r="O1405" i="2"/>
  <c r="O1406" i="2"/>
  <c r="O1407" i="2"/>
  <c r="O1408" i="2"/>
  <c r="O1409" i="2"/>
  <c r="O1410" i="2"/>
  <c r="O1411" i="2"/>
  <c r="O1412" i="2"/>
  <c r="O1413" i="2"/>
  <c r="O1414" i="2"/>
  <c r="O1415" i="2"/>
  <c r="O1416" i="2"/>
  <c r="O1417" i="2"/>
  <c r="O1418" i="2"/>
  <c r="O1419" i="2"/>
  <c r="O1420" i="2"/>
  <c r="O1421" i="2"/>
  <c r="O1422" i="2"/>
  <c r="O1423" i="2"/>
  <c r="O1424" i="2"/>
  <c r="O1425" i="2"/>
  <c r="O1426" i="2"/>
  <c r="O1427" i="2"/>
  <c r="O1428" i="2"/>
  <c r="O1429" i="2"/>
  <c r="O1430" i="2"/>
  <c r="O1431" i="2"/>
  <c r="O1432" i="2"/>
  <c r="O1433" i="2"/>
  <c r="O1434" i="2"/>
  <c r="O1435" i="2"/>
  <c r="O1436" i="2"/>
  <c r="O1437" i="2"/>
  <c r="O1438" i="2"/>
  <c r="O1439" i="2"/>
  <c r="O1440" i="2"/>
  <c r="O1441" i="2"/>
  <c r="O1442" i="2"/>
  <c r="O1443" i="2"/>
  <c r="O1444" i="2"/>
  <c r="O1445" i="2"/>
  <c r="O1446" i="2"/>
  <c r="O1447" i="2"/>
  <c r="O1448" i="2"/>
  <c r="O1449" i="2"/>
  <c r="O1450" i="2"/>
  <c r="O1451" i="2"/>
  <c r="O1452" i="2"/>
  <c r="O1453" i="2"/>
  <c r="O1454" i="2"/>
  <c r="O1455" i="2"/>
  <c r="O1456" i="2"/>
  <c r="O1457" i="2"/>
  <c r="O1458" i="2"/>
  <c r="O1459" i="2"/>
  <c r="O1460" i="2"/>
  <c r="O1461" i="2"/>
  <c r="O1462" i="2"/>
  <c r="O1463" i="2"/>
  <c r="O1464" i="2"/>
  <c r="O1465" i="2"/>
  <c r="O1466" i="2"/>
  <c r="O1467" i="2"/>
  <c r="O1468" i="2"/>
  <c r="O1469" i="2"/>
  <c r="O1470" i="2"/>
  <c r="O1471" i="2"/>
  <c r="O1472" i="2"/>
  <c r="O1473" i="2"/>
  <c r="O1474" i="2"/>
  <c r="O1475" i="2"/>
  <c r="O1476" i="2"/>
  <c r="O1477" i="2"/>
  <c r="O1478" i="2"/>
  <c r="O1479" i="2"/>
  <c r="O1480" i="2"/>
  <c r="O1481" i="2"/>
  <c r="O1482" i="2"/>
  <c r="O1483" i="2"/>
  <c r="O1484" i="2"/>
  <c r="O1485" i="2"/>
  <c r="O1486" i="2"/>
  <c r="O1487" i="2"/>
  <c r="O1488" i="2"/>
  <c r="O1489" i="2"/>
  <c r="O1490" i="2"/>
  <c r="O1491" i="2"/>
  <c r="O1492" i="2"/>
  <c r="O1493" i="2"/>
  <c r="O1494" i="2"/>
  <c r="O1495" i="2"/>
  <c r="O1496" i="2"/>
  <c r="O1497" i="2"/>
  <c r="O1498" i="2"/>
  <c r="O1499" i="2"/>
  <c r="O1500" i="2"/>
  <c r="O1501" i="2"/>
  <c r="O1502" i="2"/>
  <c r="O1503" i="2"/>
  <c r="O1504" i="2"/>
  <c r="O1505" i="2"/>
  <c r="O1506" i="2"/>
  <c r="O1507" i="2"/>
  <c r="O1508" i="2"/>
  <c r="O1509" i="2"/>
  <c r="O1510" i="2"/>
  <c r="O1511" i="2"/>
  <c r="O1512" i="2"/>
  <c r="O1513" i="2"/>
  <c r="O1514" i="2"/>
  <c r="O1515" i="2"/>
  <c r="O1516" i="2"/>
  <c r="O1517" i="2"/>
  <c r="O1518" i="2"/>
  <c r="O1519" i="2"/>
  <c r="O1520" i="2"/>
  <c r="O1521" i="2"/>
  <c r="O1522" i="2"/>
  <c r="O1523" i="2"/>
  <c r="O1524" i="2"/>
  <c r="O1525" i="2"/>
  <c r="O1526" i="2"/>
  <c r="O1527" i="2"/>
  <c r="O1528" i="2"/>
  <c r="O1529" i="2"/>
  <c r="O1530" i="2"/>
  <c r="O1531" i="2"/>
  <c r="O1532" i="2"/>
  <c r="O1533" i="2"/>
  <c r="O1534" i="2"/>
  <c r="O1535" i="2"/>
  <c r="O1536" i="2"/>
  <c r="O1537" i="2"/>
  <c r="O1538" i="2"/>
  <c r="O1539" i="2"/>
  <c r="O1540" i="2"/>
  <c r="O1541" i="2"/>
  <c r="O1542" i="2"/>
  <c r="O1543" i="2"/>
  <c r="O1544" i="2"/>
  <c r="O1545" i="2"/>
  <c r="O1546" i="2"/>
  <c r="O1547" i="2"/>
  <c r="O1548" i="2"/>
  <c r="O1549" i="2"/>
  <c r="O1550" i="2"/>
  <c r="O1551" i="2"/>
  <c r="O1552" i="2"/>
  <c r="O1553" i="2"/>
  <c r="O1554" i="2"/>
  <c r="O1555" i="2"/>
  <c r="O1556" i="2"/>
  <c r="O1557" i="2"/>
  <c r="O1558" i="2"/>
  <c r="O1559" i="2"/>
  <c r="O1560" i="2"/>
  <c r="O1561" i="2"/>
  <c r="O1562" i="2"/>
  <c r="O1563" i="2"/>
  <c r="O1564" i="2"/>
  <c r="O1565" i="2"/>
  <c r="O1566" i="2"/>
  <c r="O1567" i="2"/>
  <c r="O1568" i="2"/>
  <c r="O1569" i="2"/>
  <c r="O1570" i="2"/>
  <c r="O1571" i="2"/>
  <c r="O1572" i="2"/>
  <c r="O1573" i="2"/>
  <c r="O1574" i="2"/>
  <c r="O1575" i="2"/>
  <c r="O1576" i="2"/>
  <c r="O1577" i="2"/>
  <c r="O1578" i="2"/>
  <c r="O1579" i="2"/>
  <c r="O1580" i="2"/>
  <c r="O1581" i="2"/>
  <c r="O1582" i="2"/>
  <c r="O1583" i="2"/>
  <c r="O1584" i="2"/>
  <c r="O1585" i="2"/>
  <c r="O1586" i="2"/>
  <c r="O1587" i="2"/>
  <c r="O1588" i="2"/>
  <c r="O1589" i="2"/>
  <c r="O1590" i="2"/>
  <c r="O1591" i="2"/>
  <c r="O1592" i="2"/>
  <c r="O1593" i="2"/>
  <c r="O1594" i="2"/>
  <c r="O1595" i="2"/>
  <c r="O1596" i="2"/>
  <c r="O1597" i="2"/>
  <c r="O1598" i="2"/>
  <c r="O1599" i="2"/>
  <c r="O1600" i="2"/>
  <c r="O1601" i="2"/>
  <c r="O1602" i="2"/>
  <c r="O1603" i="2"/>
  <c r="O1604" i="2"/>
  <c r="O1605" i="2"/>
  <c r="O1606" i="2"/>
  <c r="O1607" i="2"/>
  <c r="O1608" i="2"/>
  <c r="O1609" i="2"/>
  <c r="O1610" i="2"/>
  <c r="O1611" i="2"/>
  <c r="O1612" i="2"/>
  <c r="O1613" i="2"/>
  <c r="O1614" i="2"/>
  <c r="O1615" i="2"/>
  <c r="O1616" i="2"/>
  <c r="O1617" i="2"/>
  <c r="O1618" i="2"/>
  <c r="O1619" i="2"/>
  <c r="O1620" i="2"/>
  <c r="O1621" i="2"/>
  <c r="O1622" i="2"/>
  <c r="O1623" i="2"/>
  <c r="O1624" i="2"/>
  <c r="O1625" i="2"/>
  <c r="O1626" i="2"/>
  <c r="O1627" i="2"/>
  <c r="O1628" i="2"/>
  <c r="O1629" i="2"/>
  <c r="O1630" i="2"/>
  <c r="O1631" i="2"/>
  <c r="O1632" i="2"/>
  <c r="O1633" i="2"/>
  <c r="O1634" i="2"/>
  <c r="O1635" i="2"/>
  <c r="O1636" i="2"/>
  <c r="O1637" i="2"/>
  <c r="O1638" i="2"/>
  <c r="O1639" i="2"/>
  <c r="O1640" i="2"/>
  <c r="O1641" i="2"/>
  <c r="O1642" i="2"/>
  <c r="O1643" i="2"/>
  <c r="O1644" i="2"/>
  <c r="O1645" i="2"/>
  <c r="O1646" i="2"/>
  <c r="O1647" i="2"/>
  <c r="O1648" i="2"/>
  <c r="O1649" i="2"/>
  <c r="O1650" i="2"/>
  <c r="O1651" i="2"/>
  <c r="O1652" i="2"/>
  <c r="O1653" i="2"/>
  <c r="O1654" i="2"/>
  <c r="O1655" i="2"/>
  <c r="O1656" i="2"/>
  <c r="O1657" i="2"/>
  <c r="O1658" i="2"/>
  <c r="O1659" i="2"/>
  <c r="O1660" i="2"/>
  <c r="O1661" i="2"/>
  <c r="O1662" i="2"/>
  <c r="O1663" i="2"/>
  <c r="O1664" i="2"/>
  <c r="O1665" i="2"/>
  <c r="O1666" i="2"/>
  <c r="O1667" i="2"/>
  <c r="O1668" i="2"/>
  <c r="O1669" i="2"/>
  <c r="O1670" i="2"/>
  <c r="O1671" i="2"/>
  <c r="O1672" i="2"/>
  <c r="O1673" i="2"/>
  <c r="O1674" i="2"/>
  <c r="O1675" i="2"/>
  <c r="O1676" i="2"/>
  <c r="O1677" i="2"/>
  <c r="O1678" i="2"/>
  <c r="O1679" i="2"/>
  <c r="O1680" i="2"/>
  <c r="O1681" i="2"/>
  <c r="O1682" i="2"/>
  <c r="O1683" i="2"/>
  <c r="O1684" i="2"/>
  <c r="O1685" i="2"/>
  <c r="O1686" i="2"/>
  <c r="O1687" i="2"/>
  <c r="O1688" i="2"/>
  <c r="O1689" i="2"/>
  <c r="O1690" i="2"/>
  <c r="O1691" i="2"/>
  <c r="O1692" i="2"/>
  <c r="O1693" i="2"/>
  <c r="O1694" i="2"/>
  <c r="O1695" i="2"/>
  <c r="O1696" i="2"/>
  <c r="O1697" i="2"/>
  <c r="O1698" i="2"/>
  <c r="O1699" i="2"/>
  <c r="O1700" i="2"/>
  <c r="O1701" i="2"/>
  <c r="O1702" i="2"/>
  <c r="O1703" i="2"/>
  <c r="O1704" i="2"/>
  <c r="O1705" i="2"/>
  <c r="O1706" i="2"/>
  <c r="O1707" i="2"/>
  <c r="O1708" i="2"/>
  <c r="O1709" i="2"/>
  <c r="O1710" i="2"/>
  <c r="O1711" i="2"/>
  <c r="O1712" i="2"/>
  <c r="O1713" i="2"/>
  <c r="O1714" i="2"/>
  <c r="O1715" i="2"/>
  <c r="O1716" i="2"/>
  <c r="O1717" i="2"/>
  <c r="O1718" i="2"/>
  <c r="O1719" i="2"/>
  <c r="O1720" i="2"/>
  <c r="O1721" i="2"/>
  <c r="O1722" i="2"/>
  <c r="O1723" i="2"/>
  <c r="O1724" i="2"/>
  <c r="O1725" i="2"/>
  <c r="O1726" i="2"/>
  <c r="O1727" i="2"/>
  <c r="O1728" i="2"/>
  <c r="O1729" i="2"/>
  <c r="O1730" i="2"/>
  <c r="O1731" i="2"/>
  <c r="O1732" i="2"/>
  <c r="O1733" i="2"/>
  <c r="O1734" i="2"/>
  <c r="O1735" i="2"/>
  <c r="O1736" i="2"/>
  <c r="O1737" i="2"/>
  <c r="O1738" i="2"/>
  <c r="O1739" i="2"/>
  <c r="O1740" i="2"/>
  <c r="O1741" i="2"/>
  <c r="O1742" i="2"/>
  <c r="O1743" i="2"/>
  <c r="O1744" i="2"/>
  <c r="O1745" i="2"/>
  <c r="O1746" i="2"/>
  <c r="O1747" i="2"/>
  <c r="O1748" i="2"/>
  <c r="O1749" i="2"/>
  <c r="O1750" i="2"/>
  <c r="O1751" i="2"/>
  <c r="O1752" i="2"/>
  <c r="O1753" i="2"/>
  <c r="O1754" i="2"/>
  <c r="O1755" i="2"/>
  <c r="O1756" i="2"/>
  <c r="O1757" i="2"/>
  <c r="O1758" i="2"/>
  <c r="O1759" i="2"/>
  <c r="O1760" i="2"/>
  <c r="O1761" i="2"/>
  <c r="O1762" i="2"/>
  <c r="O1763" i="2"/>
  <c r="O1764" i="2"/>
  <c r="O1765" i="2"/>
  <c r="O1766" i="2"/>
  <c r="O1767" i="2"/>
  <c r="O1768" i="2"/>
  <c r="O1769" i="2"/>
  <c r="O1770" i="2"/>
  <c r="O1771" i="2"/>
  <c r="O1772" i="2"/>
  <c r="O1773" i="2"/>
  <c r="O1774" i="2"/>
  <c r="O1775" i="2"/>
  <c r="O1776" i="2"/>
  <c r="O1777" i="2"/>
  <c r="O1778" i="2"/>
  <c r="O1779" i="2"/>
  <c r="O1780" i="2"/>
  <c r="O1781" i="2"/>
  <c r="O1782" i="2"/>
  <c r="O1783" i="2"/>
  <c r="O1784" i="2"/>
  <c r="O1785" i="2"/>
  <c r="O1786" i="2"/>
  <c r="O1787" i="2"/>
  <c r="O1788" i="2"/>
  <c r="O1789" i="2"/>
  <c r="O1790" i="2"/>
  <c r="O1791" i="2"/>
  <c r="O1792" i="2"/>
  <c r="O1793" i="2"/>
  <c r="O1794" i="2"/>
  <c r="O1795" i="2"/>
  <c r="O1796" i="2"/>
  <c r="O1797" i="2"/>
  <c r="O1798" i="2"/>
  <c r="O1799" i="2"/>
  <c r="O1800" i="2"/>
  <c r="O1801" i="2"/>
  <c r="O1802" i="2"/>
  <c r="O1803" i="2"/>
  <c r="O1804" i="2"/>
  <c r="O1805" i="2"/>
  <c r="O1806" i="2"/>
  <c r="O1807" i="2"/>
  <c r="O1808" i="2"/>
  <c r="O1809" i="2"/>
  <c r="O1810" i="2"/>
  <c r="O1811" i="2"/>
  <c r="O1812" i="2"/>
  <c r="O1813" i="2"/>
  <c r="O1814" i="2"/>
  <c r="O1815" i="2"/>
  <c r="O1816" i="2"/>
  <c r="O1817" i="2"/>
  <c r="O1818" i="2"/>
  <c r="O1819" i="2"/>
  <c r="O1820" i="2"/>
  <c r="O1821" i="2"/>
  <c r="O1822" i="2"/>
  <c r="O1823" i="2"/>
  <c r="O1824" i="2"/>
  <c r="O1825" i="2"/>
  <c r="O1826" i="2"/>
  <c r="O1827" i="2"/>
  <c r="O1828" i="2"/>
  <c r="O1829" i="2"/>
  <c r="O1830" i="2"/>
  <c r="O1831" i="2"/>
  <c r="O1832" i="2"/>
  <c r="O1833" i="2"/>
  <c r="O1834" i="2"/>
  <c r="O1835" i="2"/>
  <c r="O1836" i="2"/>
  <c r="O1837" i="2"/>
  <c r="O1838" i="2"/>
  <c r="O1839" i="2"/>
  <c r="O1840" i="2"/>
  <c r="O1841" i="2"/>
  <c r="O1842" i="2"/>
  <c r="O1843" i="2"/>
  <c r="O1844" i="2"/>
  <c r="O1845" i="2"/>
  <c r="O1846" i="2"/>
  <c r="O1847" i="2"/>
  <c r="O1848" i="2"/>
  <c r="O1849" i="2"/>
  <c r="O1850" i="2"/>
  <c r="O1851" i="2"/>
  <c r="O1852" i="2"/>
  <c r="O1853" i="2"/>
  <c r="O1854" i="2"/>
  <c r="O1855" i="2"/>
  <c r="O1856" i="2"/>
  <c r="O1857" i="2"/>
  <c r="W3" i="2" l="1"/>
  <c r="O603" i="2"/>
</calcChain>
</file>

<file path=xl/sharedStrings.xml><?xml version="1.0" encoding="utf-8"?>
<sst xmlns="http://schemas.openxmlformats.org/spreadsheetml/2006/main" count="2035" uniqueCount="453">
  <si>
    <t>Type</t>
    <phoneticPr fontId="1" type="noConversion"/>
  </si>
  <si>
    <t>LOAD KEY</t>
    <phoneticPr fontId="1" type="noConversion"/>
  </si>
  <si>
    <t>From</t>
    <phoneticPr fontId="1" type="noConversion"/>
  </si>
  <si>
    <t>To</t>
    <phoneticPr fontId="1" type="noConversion"/>
  </si>
  <si>
    <t>S/M</t>
    <phoneticPr fontId="1" type="noConversion"/>
  </si>
  <si>
    <t>End Time</t>
    <phoneticPr fontId="1" type="noConversion"/>
  </si>
  <si>
    <t>Status</t>
    <phoneticPr fontId="1" type="noConversion"/>
  </si>
  <si>
    <t>Productivity</t>
    <phoneticPr fontId="1" type="noConversion"/>
  </si>
  <si>
    <t>Total QTY</t>
    <phoneticPr fontId="1" type="noConversion"/>
  </si>
  <si>
    <t>Total Time</t>
    <phoneticPr fontId="1" type="noConversion"/>
  </si>
  <si>
    <t>Name</t>
    <phoneticPr fontId="1" type="noConversion"/>
  </si>
  <si>
    <t>Productivity Report</t>
    <phoneticPr fontId="1" type="noConversion"/>
  </si>
  <si>
    <t>avg</t>
    <phoneticPr fontId="1" type="noConversion"/>
  </si>
  <si>
    <t>Picking Record System</t>
    <phoneticPr fontId="1" type="noConversion"/>
  </si>
  <si>
    <t>Total piece</t>
    <phoneticPr fontId="1" type="noConversion"/>
  </si>
  <si>
    <t>Total time</t>
    <phoneticPr fontId="1" type="noConversion"/>
  </si>
  <si>
    <t>Pending Labels</t>
  </si>
  <si>
    <t xml:space="preserve">Persons in working </t>
  </si>
  <si>
    <t>Missing Label</t>
  </si>
  <si>
    <t>Available Labels</t>
  </si>
  <si>
    <t>break</t>
  </si>
  <si>
    <t>off</t>
  </si>
  <si>
    <t>garment care</t>
  </si>
  <si>
    <t>Working type</t>
  </si>
  <si>
    <t>TTL time</t>
  </si>
  <si>
    <t>QTY</t>
  </si>
  <si>
    <t>Type</t>
  </si>
  <si>
    <t>Row Labels</t>
  </si>
  <si>
    <t>Grand Total</t>
  </si>
  <si>
    <t>Sum of QTY</t>
  </si>
  <si>
    <t>Sum of Pending Labels</t>
  </si>
  <si>
    <t>Status</t>
  </si>
  <si>
    <t>Order Type</t>
  </si>
  <si>
    <t>Hour</t>
  </si>
  <si>
    <t>(blank)</t>
  </si>
  <si>
    <t>Name</t>
  </si>
  <si>
    <t>Start Time</t>
  </si>
  <si>
    <t>MANISH RS0432</t>
  </si>
  <si>
    <t>Picking</t>
  </si>
  <si>
    <t>144962</t>
  </si>
  <si>
    <t>1</t>
  </si>
  <si>
    <t>27</t>
  </si>
  <si>
    <t>117</t>
  </si>
  <si>
    <t>M</t>
  </si>
  <si>
    <t>MADHUKAR PSN1643</t>
  </si>
  <si>
    <t>144963</t>
  </si>
  <si>
    <t>25</t>
  </si>
  <si>
    <t>72</t>
  </si>
  <si>
    <t>SAJJAN PSN1867</t>
  </si>
  <si>
    <t>144964</t>
  </si>
  <si>
    <t>10</t>
  </si>
  <si>
    <t>49</t>
  </si>
  <si>
    <t>S</t>
  </si>
  <si>
    <t>Myntra</t>
  </si>
  <si>
    <t>SHUBHASH PSN2540</t>
  </si>
  <si>
    <t>144965</t>
  </si>
  <si>
    <t>21</t>
  </si>
  <si>
    <t>50</t>
  </si>
  <si>
    <t>DIPAK C RS0424</t>
  </si>
  <si>
    <t>144966</t>
  </si>
  <si>
    <t>17</t>
  </si>
  <si>
    <t>PANDURANG RS0433</t>
  </si>
  <si>
    <t>144967</t>
  </si>
  <si>
    <t>18</t>
  </si>
  <si>
    <t>BHAVESH RS0434</t>
  </si>
  <si>
    <t>144968</t>
  </si>
  <si>
    <t>ARCHANA PSN1297</t>
  </si>
  <si>
    <t>144969</t>
  </si>
  <si>
    <t>SHRADHA PSN1270</t>
  </si>
  <si>
    <t>144970</t>
  </si>
  <si>
    <t>2</t>
  </si>
  <si>
    <t>5</t>
  </si>
  <si>
    <t>SWATI RS1343</t>
  </si>
  <si>
    <t>144971</t>
  </si>
  <si>
    <t>26</t>
  </si>
  <si>
    <t>151</t>
  </si>
  <si>
    <t>DIPALI PSN1849</t>
  </si>
  <si>
    <t>144972</t>
  </si>
  <si>
    <t>7</t>
  </si>
  <si>
    <t>44</t>
  </si>
  <si>
    <t>HM</t>
  </si>
  <si>
    <t>OFF</t>
  </si>
  <si>
    <t>Loadkey</t>
  </si>
  <si>
    <t>COD</t>
  </si>
  <si>
    <t>NORMAL</t>
  </si>
  <si>
    <t>MYNTRA</t>
  </si>
  <si>
    <t>12</t>
  </si>
  <si>
    <t>8</t>
  </si>
  <si>
    <t>16</t>
  </si>
  <si>
    <t>3</t>
  </si>
  <si>
    <t>4</t>
  </si>
  <si>
    <t>9</t>
  </si>
  <si>
    <t>11</t>
  </si>
  <si>
    <t>28</t>
  </si>
  <si>
    <t>19</t>
  </si>
  <si>
    <t>23</t>
  </si>
  <si>
    <t>67</t>
  </si>
  <si>
    <t>30</t>
  </si>
  <si>
    <t>20</t>
  </si>
  <si>
    <t>47</t>
  </si>
  <si>
    <t>6</t>
  </si>
  <si>
    <t>24</t>
  </si>
  <si>
    <t>14</t>
  </si>
  <si>
    <t>34</t>
  </si>
  <si>
    <t>13</t>
  </si>
  <si>
    <t>15</t>
  </si>
  <si>
    <t>35</t>
  </si>
  <si>
    <t>43</t>
  </si>
  <si>
    <t>22</t>
  </si>
  <si>
    <t>32</t>
  </si>
  <si>
    <t>46</t>
  </si>
  <si>
    <t>55</t>
  </si>
  <si>
    <t>39</t>
  </si>
  <si>
    <t>33</t>
  </si>
  <si>
    <t>31</t>
  </si>
  <si>
    <t>36</t>
  </si>
  <si>
    <t>58</t>
  </si>
  <si>
    <t>57</t>
  </si>
  <si>
    <t>45</t>
  </si>
  <si>
    <t>52</t>
  </si>
  <si>
    <t>71</t>
  </si>
  <si>
    <t>48</t>
  </si>
  <si>
    <t>60</t>
  </si>
  <si>
    <t>61</t>
  </si>
  <si>
    <t>38</t>
  </si>
  <si>
    <t>37</t>
  </si>
  <si>
    <t>29</t>
  </si>
  <si>
    <t>41</t>
  </si>
  <si>
    <t>68</t>
  </si>
  <si>
    <t>42</t>
  </si>
  <si>
    <t>86</t>
  </si>
  <si>
    <t>59</t>
  </si>
  <si>
    <t>173</t>
  </si>
  <si>
    <t>65</t>
  </si>
  <si>
    <t>147</t>
  </si>
  <si>
    <t>93</t>
  </si>
  <si>
    <t>111</t>
  </si>
  <si>
    <t>87</t>
  </si>
  <si>
    <t>81</t>
  </si>
  <si>
    <t>155</t>
  </si>
  <si>
    <t>76</t>
  </si>
  <si>
    <t>120</t>
  </si>
  <si>
    <t>121</t>
  </si>
  <si>
    <t>113</t>
  </si>
  <si>
    <t>169</t>
  </si>
  <si>
    <t>66</t>
  </si>
  <si>
    <t>40</t>
  </si>
  <si>
    <t>102</t>
  </si>
  <si>
    <t>75</t>
  </si>
  <si>
    <t>88</t>
  </si>
  <si>
    <t>134</t>
  </si>
  <si>
    <t>89</t>
  </si>
  <si>
    <t>129</t>
  </si>
  <si>
    <t>139</t>
  </si>
  <si>
    <t>135</t>
  </si>
  <si>
    <t>145</t>
  </si>
  <si>
    <t>100</t>
  </si>
  <si>
    <t>85</t>
  </si>
  <si>
    <t>97</t>
  </si>
  <si>
    <t>141</t>
  </si>
  <si>
    <t>153</t>
  </si>
  <si>
    <t>101</t>
  </si>
  <si>
    <t>160</t>
  </si>
  <si>
    <t>0000144962</t>
  </si>
  <si>
    <t>0000144963</t>
  </si>
  <si>
    <t>0000144964</t>
  </si>
  <si>
    <t>0000144965</t>
  </si>
  <si>
    <t>0000144966</t>
  </si>
  <si>
    <t>0000144967</t>
  </si>
  <si>
    <t>0000144968</t>
  </si>
  <si>
    <t>0000144969</t>
  </si>
  <si>
    <t>0000144970</t>
  </si>
  <si>
    <t>0000144971</t>
  </si>
  <si>
    <t>0000144972</t>
  </si>
  <si>
    <t>0000144973</t>
  </si>
  <si>
    <t>0000144974</t>
  </si>
  <si>
    <t>0000144975</t>
  </si>
  <si>
    <t>119</t>
  </si>
  <si>
    <t>0000144976</t>
  </si>
  <si>
    <t>0000144977</t>
  </si>
  <si>
    <t>0000144978</t>
  </si>
  <si>
    <t>0000144979</t>
  </si>
  <si>
    <t>0000144980</t>
  </si>
  <si>
    <t>0000144981</t>
  </si>
  <si>
    <t>0000144982</t>
  </si>
  <si>
    <t>0000144983</t>
  </si>
  <si>
    <t>0000144984</t>
  </si>
  <si>
    <t>0000144985</t>
  </si>
  <si>
    <t>0000144986</t>
  </si>
  <si>
    <t>0000144987</t>
  </si>
  <si>
    <t>0000144988</t>
  </si>
  <si>
    <t>0000144989</t>
  </si>
  <si>
    <t>0000144990</t>
  </si>
  <si>
    <t>0000144991</t>
  </si>
  <si>
    <t>0000144992</t>
  </si>
  <si>
    <t>0000144993</t>
  </si>
  <si>
    <t>0000144994</t>
  </si>
  <si>
    <t>0000144995</t>
  </si>
  <si>
    <t>0000144996</t>
  </si>
  <si>
    <t>MISSING</t>
  </si>
  <si>
    <t>ASMITA RS1348</t>
  </si>
  <si>
    <t>144975</t>
  </si>
  <si>
    <t>144976</t>
  </si>
  <si>
    <t>144977</t>
  </si>
  <si>
    <t>144978</t>
  </si>
  <si>
    <t>144979</t>
  </si>
  <si>
    <t>144980</t>
  </si>
  <si>
    <t>NARESH PSN1817</t>
  </si>
  <si>
    <t>144981</t>
  </si>
  <si>
    <t>NITIN PSN1875</t>
  </si>
  <si>
    <t>144982</t>
  </si>
  <si>
    <t>144983</t>
  </si>
  <si>
    <t>126</t>
  </si>
  <si>
    <t>144984</t>
  </si>
  <si>
    <t>144985</t>
  </si>
  <si>
    <t>144986</t>
  </si>
  <si>
    <t>144987</t>
  </si>
  <si>
    <t>144988</t>
  </si>
  <si>
    <t>144989</t>
  </si>
  <si>
    <t>144990</t>
  </si>
  <si>
    <t>144991</t>
  </si>
  <si>
    <t>144992</t>
  </si>
  <si>
    <t>144993</t>
  </si>
  <si>
    <t>144994</t>
  </si>
  <si>
    <t>144995</t>
  </si>
  <si>
    <t>145010</t>
  </si>
  <si>
    <t>145009</t>
  </si>
  <si>
    <t>145011</t>
  </si>
  <si>
    <t>145012</t>
  </si>
  <si>
    <t>165</t>
  </si>
  <si>
    <t>145013</t>
  </si>
  <si>
    <t>145015</t>
  </si>
  <si>
    <t>145016</t>
  </si>
  <si>
    <t>145026</t>
  </si>
  <si>
    <t>145027</t>
  </si>
  <si>
    <t>140</t>
  </si>
  <si>
    <t>0000145009</t>
  </si>
  <si>
    <t>0000145010</t>
  </si>
  <si>
    <t>0000145011</t>
  </si>
  <si>
    <t>171</t>
  </si>
  <si>
    <t>0000145012</t>
  </si>
  <si>
    <t>0000145013</t>
  </si>
  <si>
    <t>0000145015</t>
  </si>
  <si>
    <t>0000145016</t>
  </si>
  <si>
    <t>0000145026</t>
  </si>
  <si>
    <t>0000145027</t>
  </si>
  <si>
    <t>0000145028</t>
  </si>
  <si>
    <t>0000145029</t>
  </si>
  <si>
    <t>0000145030</t>
  </si>
  <si>
    <t>145028</t>
  </si>
  <si>
    <t>145029</t>
  </si>
  <si>
    <t>145030</t>
  </si>
  <si>
    <t>RAHUAL RS0086</t>
  </si>
  <si>
    <t>145031</t>
  </si>
  <si>
    <t>SATISH I R1142</t>
  </si>
  <si>
    <t>PREM B R1131</t>
  </si>
  <si>
    <t>145032</t>
  </si>
  <si>
    <t>PRAVIN A R1217</t>
  </si>
  <si>
    <t>OM S R1439</t>
  </si>
  <si>
    <t>145033</t>
  </si>
  <si>
    <t>SIDHART P R1244</t>
  </si>
  <si>
    <t>145034</t>
  </si>
  <si>
    <t>RAHUAL PA RS0899</t>
  </si>
  <si>
    <t>RAHUL S PA RS0924</t>
  </si>
  <si>
    <t>145035</t>
  </si>
  <si>
    <t xml:space="preserve"> FARAN PA PAS1778</t>
  </si>
  <si>
    <t>145036</t>
  </si>
  <si>
    <t>AJAY PA RS0985</t>
  </si>
  <si>
    <t>145037</t>
  </si>
  <si>
    <t>SHUBHAM PA RS1377</t>
  </si>
  <si>
    <t>145038</t>
  </si>
  <si>
    <t>SUBHASH PSN2540</t>
  </si>
  <si>
    <t>PADURANG</t>
  </si>
  <si>
    <t>145040</t>
  </si>
  <si>
    <t>RAVI</t>
  </si>
  <si>
    <t>145039</t>
  </si>
  <si>
    <t>145041</t>
  </si>
  <si>
    <t>145043</t>
  </si>
  <si>
    <t>158</t>
  </si>
  <si>
    <t>RAHUL R</t>
  </si>
  <si>
    <t>145042</t>
  </si>
  <si>
    <t xml:space="preserve">MIRAJ </t>
  </si>
  <si>
    <t>PRATIK D</t>
  </si>
  <si>
    <t>145044</t>
  </si>
  <si>
    <t>HARENDRA C</t>
  </si>
  <si>
    <t xml:space="preserve">FARAN </t>
  </si>
  <si>
    <t>145046</t>
  </si>
  <si>
    <t>145048</t>
  </si>
  <si>
    <t>145047</t>
  </si>
  <si>
    <t>DEEPALI</t>
  </si>
  <si>
    <t>145049</t>
  </si>
  <si>
    <t>145050</t>
  </si>
  <si>
    <t>145052</t>
  </si>
  <si>
    <t>ISREAL</t>
  </si>
  <si>
    <t>145051</t>
  </si>
  <si>
    <t>145045</t>
  </si>
  <si>
    <t>RAHUL W RS0086</t>
  </si>
  <si>
    <t>180</t>
  </si>
  <si>
    <t>0000145031</t>
  </si>
  <si>
    <t>0000145032</t>
  </si>
  <si>
    <t>0000145033</t>
  </si>
  <si>
    <t>0000145034</t>
  </si>
  <si>
    <t>0000145035</t>
  </si>
  <si>
    <t>0000145036</t>
  </si>
  <si>
    <t>0000145037</t>
  </si>
  <si>
    <t>0000145038</t>
  </si>
  <si>
    <t>0000145040</t>
  </si>
  <si>
    <t>0000145041</t>
  </si>
  <si>
    <t>0000145042</t>
  </si>
  <si>
    <t>0000145043</t>
  </si>
  <si>
    <t>0000145044</t>
  </si>
  <si>
    <t>0000145045</t>
  </si>
  <si>
    <t>0000145046</t>
  </si>
  <si>
    <t>0000145047</t>
  </si>
  <si>
    <t>0000145048</t>
  </si>
  <si>
    <t>0000145049</t>
  </si>
  <si>
    <t>0000145050</t>
  </si>
  <si>
    <t>0000145051</t>
  </si>
  <si>
    <t>0000145052</t>
  </si>
  <si>
    <t>0000145053</t>
  </si>
  <si>
    <t>0000145054</t>
  </si>
  <si>
    <t>0000145055</t>
  </si>
  <si>
    <t>0000145056</t>
  </si>
  <si>
    <t>0000145057</t>
  </si>
  <si>
    <t>0000145058</t>
  </si>
  <si>
    <t>0000145059</t>
  </si>
  <si>
    <t>0000145060</t>
  </si>
  <si>
    <t>0000145061</t>
  </si>
  <si>
    <t>0000145062</t>
  </si>
  <si>
    <t>0000145063</t>
  </si>
  <si>
    <t>0000145064</t>
  </si>
  <si>
    <t>0000145039</t>
  </si>
  <si>
    <t>145053</t>
  </si>
  <si>
    <t>175</t>
  </si>
  <si>
    <t>145054</t>
  </si>
  <si>
    <t>145055</t>
  </si>
  <si>
    <t>178</t>
  </si>
  <si>
    <t>145056</t>
  </si>
  <si>
    <t>161</t>
  </si>
  <si>
    <t>145057</t>
  </si>
  <si>
    <t>174</t>
  </si>
  <si>
    <t>145058</t>
  </si>
  <si>
    <t>145059</t>
  </si>
  <si>
    <t>145060</t>
  </si>
  <si>
    <t>145061</t>
  </si>
  <si>
    <t>145062</t>
  </si>
  <si>
    <t>145063</t>
  </si>
  <si>
    <t>145065</t>
  </si>
  <si>
    <t>145066</t>
  </si>
  <si>
    <t>163</t>
  </si>
  <si>
    <t>145067</t>
  </si>
  <si>
    <t>172</t>
  </si>
  <si>
    <t xml:space="preserve"> MD HUSAIN</t>
  </si>
  <si>
    <t>145068</t>
  </si>
  <si>
    <t>187</t>
  </si>
  <si>
    <t>145069</t>
  </si>
  <si>
    <t>145070</t>
  </si>
  <si>
    <t>145071</t>
  </si>
  <si>
    <t>145072</t>
  </si>
  <si>
    <t>UATTAM</t>
  </si>
  <si>
    <t>145073</t>
  </si>
  <si>
    <t>145074</t>
  </si>
  <si>
    <t>145075</t>
  </si>
  <si>
    <t>145077</t>
  </si>
  <si>
    <t>145078</t>
  </si>
  <si>
    <t>PICKING</t>
  </si>
  <si>
    <t>145079</t>
  </si>
  <si>
    <t>145080</t>
  </si>
  <si>
    <t>145081</t>
  </si>
  <si>
    <t>154</t>
  </si>
  <si>
    <t>114</t>
  </si>
  <si>
    <t>0000145066</t>
  </si>
  <si>
    <t>0000145067</t>
  </si>
  <si>
    <t>0000145068</t>
  </si>
  <si>
    <t>0000145069</t>
  </si>
  <si>
    <t>0000145070</t>
  </si>
  <si>
    <t>0000145071</t>
  </si>
  <si>
    <t>0000145072</t>
  </si>
  <si>
    <t>0000145073</t>
  </si>
  <si>
    <t>0000145074</t>
  </si>
  <si>
    <t>0000145075</t>
  </si>
  <si>
    <t>0000145076</t>
  </si>
  <si>
    <t>0000145077</t>
  </si>
  <si>
    <t>0000145078</t>
  </si>
  <si>
    <t>0000145079</t>
  </si>
  <si>
    <t>0000145080</t>
  </si>
  <si>
    <t>0000145081</t>
  </si>
  <si>
    <t>0000145082</t>
  </si>
  <si>
    <t>0000145083</t>
  </si>
  <si>
    <t>0000145084</t>
  </si>
  <si>
    <t>0000145085</t>
  </si>
  <si>
    <t>0000145086</t>
  </si>
  <si>
    <t>0000145087</t>
  </si>
  <si>
    <t>0000145088</t>
  </si>
  <si>
    <t>0000145089</t>
  </si>
  <si>
    <t>0000145093</t>
  </si>
  <si>
    <t>0000145094</t>
  </si>
  <si>
    <t>0000145095</t>
  </si>
  <si>
    <t>0000145096</t>
  </si>
  <si>
    <t>0000145097</t>
  </si>
  <si>
    <t>0000145098</t>
  </si>
  <si>
    <t>0000145099</t>
  </si>
  <si>
    <t>0000145100</t>
  </si>
  <si>
    <t>0000145101</t>
  </si>
  <si>
    <t>0000145102</t>
  </si>
  <si>
    <t>0000145103</t>
  </si>
  <si>
    <t>0000145104</t>
  </si>
  <si>
    <t>0000145105</t>
  </si>
  <si>
    <t>0000145106</t>
  </si>
  <si>
    <t>145082</t>
  </si>
  <si>
    <t>ROHIDAS J P2497</t>
  </si>
  <si>
    <t>145086</t>
  </si>
  <si>
    <t>145087</t>
  </si>
  <si>
    <t>145085</t>
  </si>
  <si>
    <t>UTTAM M P1296</t>
  </si>
  <si>
    <t>145084</t>
  </si>
  <si>
    <t>145083</t>
  </si>
  <si>
    <t>145088</t>
  </si>
  <si>
    <t>145089</t>
  </si>
  <si>
    <t>AMAN U R1253</t>
  </si>
  <si>
    <t>NAYAN P R1405</t>
  </si>
  <si>
    <t>PRATIK V R1459</t>
  </si>
  <si>
    <t>NIKHIL T R1166</t>
  </si>
  <si>
    <t>RAMDAS T  P2487</t>
  </si>
  <si>
    <t>PRAMOD H R1126</t>
  </si>
  <si>
    <t>DAULAT B R1456</t>
  </si>
  <si>
    <t>DINESH D P2371</t>
  </si>
  <si>
    <t>PANDURANG P P2339</t>
  </si>
  <si>
    <t>RAIS R0675</t>
  </si>
  <si>
    <t>145095</t>
  </si>
  <si>
    <t>145096</t>
  </si>
  <si>
    <t>145097</t>
  </si>
  <si>
    <t>BAJRANG R1397</t>
  </si>
  <si>
    <t>145098</t>
  </si>
  <si>
    <t>VIJAY M 1352</t>
  </si>
  <si>
    <t>145099</t>
  </si>
  <si>
    <t>145093</t>
  </si>
  <si>
    <t>YASH G P2521</t>
  </si>
  <si>
    <t>145094</t>
  </si>
  <si>
    <t>145100</t>
  </si>
  <si>
    <t>KAMLAKAR P P2340</t>
  </si>
  <si>
    <t>145101</t>
  </si>
  <si>
    <t>NITESH B 1410</t>
  </si>
  <si>
    <t>145102</t>
  </si>
  <si>
    <t>145103</t>
  </si>
  <si>
    <t>145104</t>
  </si>
  <si>
    <t>145105</t>
  </si>
  <si>
    <t>145106</t>
  </si>
  <si>
    <t>145107</t>
  </si>
  <si>
    <t>191</t>
  </si>
  <si>
    <t>181</t>
  </si>
  <si>
    <t>145108</t>
  </si>
  <si>
    <t>133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</si>
</sst>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:ss;@"/>
    <numFmt numFmtId="165" formatCode="0.00_ "/>
    <numFmt numFmtId="166" formatCode="0.00_);[Red]\(0.00\)"/>
  </numFmts>
  <fonts count="16">
    <font>
      <sz val="11"/>
      <color theme="1"/>
      <name val="Calibri"/>
      <family val="2"/>
      <charset val="134"/>
      <scheme val="minor"/>
    </font>
    <font>
      <sz val="9"/>
      <name val="Calibri"/>
      <family val="2"/>
      <charset val="134"/>
      <scheme val="minor"/>
    </font>
    <font>
      <sz val="36"/>
      <color theme="1"/>
      <name val="微软雅黑"/>
      <family val="2"/>
      <charset val="134"/>
    </font>
    <font>
      <sz val="36"/>
      <color theme="1"/>
      <name val="Code39SlimTT-Regular"/>
    </font>
    <font>
      <b/>
      <sz val="18"/>
      <color rgb="FFFF0000"/>
      <name val="等线"/>
      <family val="3"/>
      <charset val="134"/>
    </font>
    <font>
      <sz val="22"/>
      <color theme="0"/>
      <name val="Calibri"/>
      <family val="2"/>
      <charset val="134"/>
      <scheme val="minor"/>
    </font>
    <font>
      <b/>
      <sz val="12"/>
      <color theme="0"/>
      <name val="Calibri"/>
      <family val="3"/>
      <charset val="134"/>
      <scheme val="minor"/>
    </font>
    <font>
      <b/>
      <sz val="11"/>
      <color theme="1"/>
      <name val="Calibri"/>
      <family val="3"/>
      <charset val="134"/>
      <scheme val="minor"/>
    </font>
    <font>
      <sz val="11"/>
      <color theme="1"/>
      <name val="Calibri"/>
      <family val="3"/>
      <charset val="134"/>
      <scheme val="minor"/>
    </font>
    <font>
      <b/>
      <sz val="11"/>
      <name val="Calibri"/>
      <family val="3"/>
      <charset val="134"/>
      <scheme val="minor"/>
    </font>
    <font>
      <b/>
      <sz val="18"/>
      <name val="等线"/>
      <family val="3"/>
      <charset val="134"/>
    </font>
    <font>
      <sz val="12"/>
      <color theme="1"/>
      <name val="Calibri"/>
      <family val="3"/>
      <charset val="134"/>
      <scheme val="minor"/>
    </font>
    <font>
      <sz val="36"/>
      <color theme="1"/>
      <name val="Calibri"/>
      <family val="2"/>
    </font>
    <font>
      <b/>
      <sz val="16"/>
      <color rgb="FF000000"/>
      <name val="等线"/>
    </font>
    <font>
      <sz val="40"/>
      <color theme="1"/>
      <name val="Calibri"/>
      <family val="2"/>
    </font>
    <font>
      <b/>
      <sz val="11"/>
      <color theme="1"/>
      <name val="Calibri"/>
      <family val="2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6"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Border="1" applyProtection="1">
      <alignment vertical="center"/>
      <protection locked="0"/>
    </xf>
    <xf numFmtId="0" fontId="4" fillId="4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166" fontId="6" fillId="3" borderId="1" xfId="0" applyNumberFormat="1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166" fontId="0" fillId="0" borderId="0" xfId="0" applyNumberFormat="1" applyBorder="1">
      <alignment vertical="center"/>
    </xf>
    <xf numFmtId="166" fontId="0" fillId="0" borderId="0" xfId="0" applyNumberForma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11" fillId="0" borderId="1" xfId="0" applyNumberFormat="1" applyFont="1" applyBorder="1" applyAlignment="1">
      <alignment horizontal="center" vertical="center"/>
    </xf>
    <xf numFmtId="166" fontId="11" fillId="0" borderId="1" xfId="0" applyNumberFormat="1" applyFont="1" applyFill="1" applyBorder="1" applyAlignment="1">
      <alignment horizontal="center" vertical="center"/>
    </xf>
    <xf numFmtId="0" fontId="8" fillId="0" borderId="1" xfId="0" applyFont="1" applyBorder="1">
      <alignment vertical="center"/>
    </xf>
    <xf numFmtId="166" fontId="8" fillId="0" borderId="1" xfId="0" applyNumberFormat="1" applyFont="1" applyBorder="1">
      <alignment vertical="center"/>
    </xf>
    <xf numFmtId="49" fontId="0" fillId="6" borderId="1" xfId="0" applyNumberFormat="1" applyFill="1" applyBorder="1" applyAlignment="1" applyProtection="1">
      <alignment horizontal="center" vertical="center"/>
      <protection locked="0"/>
    </xf>
    <xf numFmtId="164" fontId="0" fillId="6" borderId="1" xfId="0" applyNumberFormat="1" applyFill="1" applyBorder="1" applyAlignment="1" applyProtection="1">
      <alignment horizontal="center" vertical="center"/>
      <protection locked="0"/>
    </xf>
    <xf numFmtId="0" fontId="0" fillId="6" borderId="1" xfId="0" applyFill="1" applyBorder="1" applyAlignment="1" applyProtection="1">
      <alignment horizontal="center" vertical="center"/>
      <protection locked="0"/>
    </xf>
    <xf numFmtId="164" fontId="0" fillId="6" borderId="1" xfId="0" applyNumberFormat="1" applyFill="1" applyBorder="1" applyAlignment="1" applyProtection="1">
      <alignment horizontal="center" vertical="center"/>
    </xf>
    <xf numFmtId="165" fontId="8" fillId="6" borderId="1" xfId="0" applyNumberFormat="1" applyFont="1" applyFill="1" applyBorder="1" applyAlignment="1" applyProtection="1">
      <alignment horizontal="center" vertical="center"/>
      <protection locked="0"/>
    </xf>
    <xf numFmtId="0" fontId="8" fillId="6" borderId="1" xfId="0" applyFont="1" applyFill="1" applyBorder="1" applyAlignment="1" applyProtection="1">
      <alignment horizontal="center" vertical="center"/>
      <protection locked="0"/>
    </xf>
    <xf numFmtId="164" fontId="0" fillId="5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>
      <alignment horizontal="center" vertical="center"/>
    </xf>
    <xf numFmtId="22" fontId="0" fillId="0" borderId="0" xfId="0" applyNumberFormat="1" applyAlignment="1" applyProtection="1">
      <alignment horizontal="center" vertical="center"/>
      <protection locked="0"/>
    </xf>
    <xf numFmtId="0" fontId="0" fillId="0" borderId="0" xfId="0" applyNumberFormat="1">
      <alignment vertical="center"/>
    </xf>
    <xf numFmtId="0" fontId="12" fillId="0" borderId="0" xfId="0" applyFont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2" fillId="0" borderId="0" xfId="0" applyFont="1" applyAlignment="1">
      <alignment horizontal="right" vertical="center"/>
    </xf>
    <xf numFmtId="0" fontId="14" fillId="0" borderId="0" xfId="0" applyFont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Protection="1">
      <alignment vertical="center"/>
      <protection locked="0"/>
    </xf>
    <xf numFmtId="0" fontId="9" fillId="5" borderId="1" xfId="0" applyFont="1" applyFill="1" applyBorder="1" applyAlignment="1" applyProtection="1">
      <alignment horizontal="center" vertical="center"/>
      <protection locked="0"/>
    </xf>
    <xf numFmtId="0" fontId="0" fillId="5" borderId="1" xfId="0" applyNumberFormat="1" applyFill="1" applyBorder="1" applyAlignment="1" applyProtection="1">
      <alignment horizontal="center" vertical="center"/>
      <protection locked="0"/>
    </xf>
    <xf numFmtId="0" fontId="0" fillId="6" borderId="1" xfId="0" applyNumberFormat="1" applyFill="1" applyBorder="1" applyAlignment="1" applyProtection="1">
      <alignment horizontal="center" vertical="center"/>
      <protection locked="0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 applyProtection="1">
      <alignment horizontal="center" vertical="center"/>
      <protection locked="0"/>
    </xf>
    <xf numFmtId="49" fontId="7" fillId="5" borderId="2" xfId="0" applyNumberFormat="1" applyFont="1" applyFill="1" applyBorder="1" applyAlignment="1" applyProtection="1">
      <alignment horizontal="center" vertical="center"/>
      <protection locked="0"/>
    </xf>
    <xf numFmtId="49" fontId="7" fillId="5" borderId="3" xfId="0" applyNumberFormat="1" applyFont="1" applyFill="1" applyBorder="1" applyAlignment="1" applyProtection="1">
      <alignment horizontal="center" vertical="center"/>
      <protection locked="0"/>
    </xf>
    <xf numFmtId="49" fontId="7" fillId="5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left" vertical="center" wrapText="1"/>
    </xf>
    <xf numFmtId="0" fontId="5" fillId="2" borderId="5" xfId="0" applyFont="1" applyFill="1" applyBorder="1" applyAlignment="1">
      <alignment horizontal="center" vertical="center"/>
    </xf>
    <xf numFmtId="166" fontId="10" fillId="4" borderId="2" xfId="0" applyNumberFormat="1" applyFont="1" applyFill="1" applyBorder="1" applyAlignment="1">
      <alignment horizontal="center" vertical="center"/>
    </xf>
    <xf numFmtId="166" fontId="10" fillId="4" borderId="3" xfId="0" applyNumberFormat="1" applyFont="1" applyFill="1" applyBorder="1" applyAlignment="1">
      <alignment horizontal="center" vertical="center"/>
    </xf>
    <xf numFmtId="166" fontId="10" fillId="4" borderId="4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NumberFormat="1" applyBorder="1" applyAlignment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14" fontId="15" fillId="0" borderId="1" xfId="0" applyNumberFormat="1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1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8" borderId="1" xfId="0" applyFill="1" applyBorder="1" applyAlignment="1">
      <alignment horizontal="center"/>
    </xf>
    <xf numFmtId="49" fontId="0" fillId="8" borderId="1" xfId="0" applyNumberFormat="1" applyFill="1" applyBorder="1" applyAlignment="1" applyProtection="1">
      <alignment horizontal="center" vertical="center"/>
      <protection locked="0"/>
    </xf>
    <xf numFmtId="0" fontId="0" fillId="8" borderId="1" xfId="0" applyFill="1" applyBorder="1" applyAlignment="1" applyProtection="1">
      <alignment horizontal="center" vertical="center"/>
      <protection locked="0"/>
    </xf>
    <xf numFmtId="164" fontId="0" fillId="8" borderId="1" xfId="0" applyNumberFormat="1" applyFill="1" applyBorder="1" applyAlignment="1" applyProtection="1">
      <alignment horizontal="center" vertical="center"/>
      <protection locked="0"/>
    </xf>
    <xf numFmtId="164" fontId="0" fillId="8" borderId="1" xfId="0" applyNumberFormat="1" applyFill="1" applyBorder="1" applyAlignment="1" applyProtection="1">
      <alignment horizontal="center" vertical="center"/>
    </xf>
    <xf numFmtId="0" fontId="0" fillId="8" borderId="1" xfId="0" applyNumberFormat="1" applyFill="1" applyBorder="1" applyAlignment="1" applyProtection="1">
      <alignment horizontal="center" vertical="center"/>
      <protection locked="0"/>
    </xf>
    <xf numFmtId="165" fontId="8" fillId="8" borderId="1" xfId="0" applyNumberFormat="1" applyFont="1" applyFill="1" applyBorder="1" applyAlignment="1" applyProtection="1">
      <alignment horizontal="center" vertical="center"/>
      <protection locked="0"/>
    </xf>
    <xf numFmtId="0" fontId="8" fillId="8" borderId="1" xfId="0" applyFont="1" applyFill="1" applyBorder="1" applyAlignment="1" applyProtection="1">
      <alignment horizontal="center" vertical="center"/>
      <protection locked="0"/>
    </xf>
    <xf numFmtId="0" fontId="0" fillId="8" borderId="0" xfId="0" applyFill="1" applyAlignment="1" applyProtection="1">
      <alignment horizontal="center" vertical="center"/>
      <protection locked="0"/>
    </xf>
    <xf numFmtId="0" fontId="0" fillId="8" borderId="0" xfId="0" applyFill="1" applyProtection="1">
      <alignment vertical="center"/>
      <protection locked="0"/>
    </xf>
    <xf numFmtId="49" fontId="0" fillId="0" borderId="1" xfId="0" applyNumberFormat="1" applyFill="1" applyBorder="1" applyAlignment="1" applyProtection="1">
      <alignment horizontal="center" vertical="center"/>
      <protection locked="0"/>
    </xf>
    <xf numFmtId="49" fontId="15" fillId="7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8" borderId="1" xfId="0" applyNumberForma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809625</xdr:colOff>
          <xdr:row>3</xdr:row>
          <xdr:rowOff>0</xdr:rowOff>
        </xdr:from>
        <xdr:to>
          <xdr:col>21</xdr:col>
          <xdr:colOff>1162050</xdr:colOff>
          <xdr:row>4</xdr:row>
          <xdr:rowOff>104775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0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FL INDHMPS15" refreshedDate="43697.837230324076" createdVersion="6" refreshedVersion="6" minRefreshableVersion="3" recordCount="4994" xr:uid="{E4372E09-695E-4A57-B22A-204D1B0BD8A6}">
  <cacheSource type="worksheet">
    <worksheetSource ref="A2:Q4983" sheet="Data Record"/>
  </cacheSource>
  <cacheFields count="17">
    <cacheField name="Name" numFmtId="49">
      <sharedItems containsNonDate="0" containsString="0" containsBlank="1"/>
    </cacheField>
    <cacheField name="Type" numFmtId="0">
      <sharedItems containsNonDate="0" containsBlank="1" count="5">
        <m/>
        <s v="OFF" u="1"/>
        <s v="Break" u="1"/>
        <s v="Garment Care" u="1"/>
        <s v="Picking" u="1"/>
      </sharedItems>
    </cacheField>
    <cacheField name="LOAD KEY" numFmtId="49">
      <sharedItems containsNonDate="0" containsString="0" containsBlank="1"/>
    </cacheField>
    <cacheField name="From" numFmtId="49">
      <sharedItems containsNonDate="0" containsString="0" containsBlank="1"/>
    </cacheField>
    <cacheField name="To" numFmtId="49">
      <sharedItems containsNonDate="0" containsString="0" containsBlank="1"/>
    </cacheField>
    <cacheField name="Total piece" numFmtId="49">
      <sharedItems containsNonDate="0" containsString="0" containsBlank="1"/>
    </cacheField>
    <cacheField name="S/M" numFmtId="0">
      <sharedItems containsNonDate="0" containsString="0" containsBlank="1"/>
    </cacheField>
    <cacheField name="Start Time" numFmtId="164">
      <sharedItems containsNonDate="0" containsString="0" containsBlank="1"/>
    </cacheField>
    <cacheField name="End Time" numFmtId="164">
      <sharedItems/>
    </cacheField>
    <cacheField name="QTY" numFmtId="0">
      <sharedItems/>
    </cacheField>
    <cacheField name="Total time" numFmtId="165">
      <sharedItems/>
    </cacheField>
    <cacheField name="Status" numFmtId="0">
      <sharedItems count="4">
        <s v=""/>
        <s v="Work Finished" u="1"/>
        <s v="Break" u="1"/>
        <s v="Working" u="1"/>
      </sharedItems>
    </cacheField>
    <cacheField name="Pending Labels" numFmtId="0">
      <sharedItems containsNonDate="0" containsString="0" containsBlank="1"/>
    </cacheField>
    <cacheField name="Missing Label" numFmtId="0">
      <sharedItems containsNonDate="0" containsString="0" containsBlank="1"/>
    </cacheField>
    <cacheField name="Available Labels" numFmtId="0">
      <sharedItems/>
    </cacheField>
    <cacheField name="Hour" numFmtId="0">
      <sharedItems containsMixedTypes="1" containsNumber="1" containsInteger="1" minValue="8" maxValue="19" count="13">
        <s v=""/>
        <n v="13" u="1"/>
        <n v="14" u="1"/>
        <n v="15" u="1"/>
        <n v="16" u="1"/>
        <n v="17" u="1"/>
        <n v="18" u="1"/>
        <n v="19" u="1"/>
        <n v="8" u="1"/>
        <n v="9" u="1"/>
        <n v="10" u="1"/>
        <n v="11" u="1"/>
        <n v="12" u="1"/>
      </sharedItems>
    </cacheField>
    <cacheField name="Order Type" numFmtId="0">
      <sharedItems containsNonDate="0" containsBlank="1" count="3">
        <m/>
        <s v="Myntra" u="1"/>
        <s v="HM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94"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  <r>
    <m/>
    <x v="0"/>
    <m/>
    <m/>
    <m/>
    <m/>
    <m/>
    <m/>
    <s v=""/>
    <s v=""/>
    <s v=""/>
    <x v="0"/>
    <m/>
    <m/>
    <s v="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D1BB3A-491A-4BE7-AF1E-F02E8AA04DE0}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5:C7" firstHeaderRow="0" firstDataRow="1" firstDataCol="1" rowPageCount="3" colPageCount="1"/>
  <pivotFields count="17">
    <pivotField showAll="0"/>
    <pivotField axis="axisPage" showAll="0">
      <items count="6">
        <item m="1" x="3"/>
        <item m="1" x="1"/>
        <item m="1" x="4"/>
        <item x="0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axis="axisPage" showAll="0">
      <items count="5">
        <item x="0"/>
        <item m="1" x="1"/>
        <item m="1" x="3"/>
        <item m="1" x="2"/>
        <item t="default"/>
      </items>
    </pivotField>
    <pivotField dataField="1" showAll="0"/>
    <pivotField showAll="0"/>
    <pivotField showAll="0"/>
    <pivotField axis="axisRow" showAll="0">
      <items count="14">
        <item m="1" x="8"/>
        <item m="1" x="9"/>
        <item m="1" x="10"/>
        <item m="1" x="11"/>
        <item m="1" x="12"/>
        <item m="1" x="1"/>
        <item m="1" x="2"/>
        <item m="1" x="3"/>
        <item m="1" x="4"/>
        <item m="1" x="5"/>
        <item x="0"/>
        <item m="1" x="6"/>
        <item m="1" x="7"/>
        <item t="default"/>
      </items>
    </pivotField>
    <pivotField axis="axisPage" showAll="0">
      <items count="4">
        <item m="1" x="2"/>
        <item x="0"/>
        <item m="1" x="1"/>
        <item t="default"/>
      </items>
    </pivotField>
  </pivotFields>
  <rowFields count="1">
    <field x="15"/>
  </rowFields>
  <rowItems count="2">
    <i>
      <x v="10"/>
    </i>
    <i t="grand">
      <x/>
    </i>
  </rowItems>
  <colFields count="1">
    <field x="-2"/>
  </colFields>
  <colItems count="2">
    <i>
      <x/>
    </i>
    <i i="1">
      <x v="1"/>
    </i>
  </colItems>
  <pageFields count="3">
    <pageField fld="1" item="3" hier="-1"/>
    <pageField fld="11" item="0" hier="-1"/>
    <pageField fld="16" item="1" hier="-1"/>
  </pageFields>
  <dataFields count="2">
    <dataField name="Sum of QTY" fld="9" baseField="15" baseItem="1"/>
    <dataField name="Sum of Pending Labels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Y4983"/>
  <sheetViews>
    <sheetView showGridLines="0" tabSelected="1" zoomScale="87" zoomScaleNormal="87" workbookViewId="0">
      <pane ySplit="2" topLeftCell="A229" activePane="bottomLeft" state="frozen"/>
      <selection pane="bottomLeft" activeCell="S198" sqref="S198"/>
    </sheetView>
  </sheetViews>
  <sheetFormatPr defaultColWidth="9" defaultRowHeight="15"/>
  <cols>
    <col min="1" max="1" width="20.5703125" style="20" bestFit="1" customWidth="1"/>
    <col min="2" max="2" width="13.28515625" style="22" bestFit="1" customWidth="1"/>
    <col min="3" max="3" width="9.5703125" style="20" bestFit="1" customWidth="1"/>
    <col min="4" max="4" width="6.85546875" style="20" customWidth="1"/>
    <col min="5" max="5" width="8.5703125" style="20" customWidth="1"/>
    <col min="6" max="6" width="10.7109375" style="20" bestFit="1" customWidth="1"/>
    <col min="7" max="7" width="7.28515625" style="20" customWidth="1"/>
    <col min="8" max="8" width="10" style="21" bestFit="1" customWidth="1"/>
    <col min="9" max="9" width="9.140625" style="21" bestFit="1" customWidth="1"/>
    <col min="10" max="10" width="7.42578125" style="40" customWidth="1"/>
    <col min="11" max="11" width="10" style="25" bestFit="1" customWidth="1"/>
    <col min="12" max="12" width="13.85546875" style="25" bestFit="1" customWidth="1"/>
    <col min="13" max="13" width="13.85546875" style="33" customWidth="1"/>
    <col min="14" max="14" width="12.85546875" style="33" bestFit="1" customWidth="1"/>
    <col min="15" max="17" width="15.42578125" style="33" bestFit="1" customWidth="1"/>
    <col min="18" max="18" width="8.85546875" style="6" customWidth="1"/>
    <col min="19" max="19" width="12.85546875" style="6" bestFit="1" customWidth="1"/>
    <col min="20" max="20" width="8.5703125" style="6" bestFit="1" customWidth="1"/>
    <col min="21" max="21" width="11.85546875" style="6" bestFit="1" customWidth="1"/>
    <col min="22" max="22" width="18.42578125" style="6" bestFit="1" customWidth="1"/>
    <col min="23" max="23" width="22.42578125" style="6" bestFit="1" customWidth="1"/>
    <col min="24" max="24" width="8.42578125" style="6" customWidth="1"/>
    <col min="25" max="16384" width="9" style="1"/>
  </cols>
  <sheetData>
    <row r="1" spans="1:25">
      <c r="A1" s="44" t="s">
        <v>13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6"/>
      <c r="X1" s="29">
        <v>43983.35528935185</v>
      </c>
    </row>
    <row r="2" spans="1:25" ht="21.75" customHeight="1">
      <c r="A2" s="28" t="s">
        <v>35</v>
      </c>
      <c r="B2" s="28" t="s">
        <v>0</v>
      </c>
      <c r="C2" s="28" t="s">
        <v>1</v>
      </c>
      <c r="D2" s="28" t="s">
        <v>2</v>
      </c>
      <c r="E2" s="28" t="s">
        <v>3</v>
      </c>
      <c r="F2" s="28" t="s">
        <v>14</v>
      </c>
      <c r="G2" s="28" t="s">
        <v>4</v>
      </c>
      <c r="H2" s="26" t="s">
        <v>36</v>
      </c>
      <c r="I2" s="26" t="s">
        <v>5</v>
      </c>
      <c r="J2" s="39" t="s">
        <v>25</v>
      </c>
      <c r="K2" s="27" t="s">
        <v>15</v>
      </c>
      <c r="L2" s="28" t="s">
        <v>6</v>
      </c>
      <c r="M2" s="28" t="s">
        <v>16</v>
      </c>
      <c r="N2" s="28" t="s">
        <v>18</v>
      </c>
      <c r="O2" s="28" t="s">
        <v>19</v>
      </c>
      <c r="P2" s="28" t="s">
        <v>33</v>
      </c>
      <c r="Q2" s="28" t="s">
        <v>32</v>
      </c>
      <c r="S2" s="28" t="s">
        <v>23</v>
      </c>
      <c r="T2" s="28" t="s">
        <v>24</v>
      </c>
      <c r="X2" s="29"/>
    </row>
    <row r="3" spans="1:25">
      <c r="A3" s="20" t="s">
        <v>37</v>
      </c>
      <c r="B3" s="22" t="s">
        <v>38</v>
      </c>
      <c r="C3" s="20" t="s">
        <v>39</v>
      </c>
      <c r="D3" s="20" t="s">
        <v>40</v>
      </c>
      <c r="E3" s="20" t="s">
        <v>41</v>
      </c>
      <c r="F3" s="20" t="s">
        <v>42</v>
      </c>
      <c r="G3" s="20" t="s">
        <v>43</v>
      </c>
      <c r="H3" s="21">
        <v>44069.354826388888</v>
      </c>
      <c r="I3" s="23">
        <f>_xlfn.IFNA(VLOOKUP(A3,A4:$H$3523,8,0),"")</f>
        <v>44069.382326388892</v>
      </c>
      <c r="J3" s="40">
        <f>IF(B3="OFF",0,IF(AND(D3&lt;&gt;"",E3&lt;&gt;""),E3-D3+1,""))</f>
        <v>27</v>
      </c>
      <c r="K3" s="24">
        <f>IF(H3="","",IFERROR((I3-H3)*24,0))</f>
        <v>0.66000000009080395</v>
      </c>
      <c r="L3" s="25" t="str">
        <f>IF(K3="","",IF(B3="Break","Break",IF(K3&lt;&gt;0,"Work Finished",IF(B3="OFF","Work Finished",IF(I3="","Working","Work Finished")))))</f>
        <v>Work Finished</v>
      </c>
      <c r="O3" s="33">
        <f t="shared" ref="O3:O54" si="0">IF(AND(J3="",M3="",N3=""),"",J3-M3-N3)</f>
        <v>27</v>
      </c>
      <c r="P3" s="33">
        <f t="shared" ref="P3:P54" si="1">IF(HOUR(H3)=0,"",HOUR(H3))</f>
        <v>8</v>
      </c>
      <c r="Q3" s="33" t="s">
        <v>53</v>
      </c>
      <c r="R3"/>
      <c r="S3" s="36" t="s">
        <v>20</v>
      </c>
      <c r="T3" s="36">
        <f>ROUND(SUMIF(B:B,"Break",K:K),2)</f>
        <v>0</v>
      </c>
      <c r="U3"/>
      <c r="V3" s="38" t="s">
        <v>17</v>
      </c>
      <c r="W3" s="28">
        <f>COUNTIF(L:L,"Working")</f>
        <v>0</v>
      </c>
      <c r="X3"/>
      <c r="Y3" s="30"/>
    </row>
    <row r="4" spans="1:25">
      <c r="A4" s="20" t="s">
        <v>44</v>
      </c>
      <c r="B4" s="22" t="s">
        <v>38</v>
      </c>
      <c r="C4" s="20" t="s">
        <v>45</v>
      </c>
      <c r="D4" s="20" t="s">
        <v>40</v>
      </c>
      <c r="E4" s="20" t="s">
        <v>46</v>
      </c>
      <c r="F4" s="20" t="s">
        <v>47</v>
      </c>
      <c r="G4" s="20" t="s">
        <v>43</v>
      </c>
      <c r="H4" s="21">
        <v>44069.355763888889</v>
      </c>
      <c r="I4" s="23">
        <f>_xlfn.IFNA(VLOOKUP(A4,A5:$H$3523,8,0),"")</f>
        <v>44069.381979166668</v>
      </c>
      <c r="J4" s="40">
        <f>IF(B4="OFF",0,IF(AND(D4&lt;&gt;"",E4&lt;&gt;""),E4-D4+1,""))</f>
        <v>25</v>
      </c>
      <c r="K4" s="24">
        <f>IF(H4="","",IFERROR((I4-H4)*24,0))</f>
        <v>0.62916666670935228</v>
      </c>
      <c r="L4" s="25" t="str">
        <f>IF(K4="","",IF(B4="Break","Break",IF(K4&lt;&gt;0,"Work Finished",IF(B4="OFF","Work Finished",IF(I4="","Working","Work Finished")))))</f>
        <v>Work Finished</v>
      </c>
      <c r="O4" s="33">
        <f t="shared" si="0"/>
        <v>25</v>
      </c>
      <c r="P4" s="33">
        <f t="shared" si="1"/>
        <v>8</v>
      </c>
      <c r="Q4" s="33" t="s">
        <v>53</v>
      </c>
      <c r="R4"/>
      <c r="S4" s="36" t="s">
        <v>22</v>
      </c>
      <c r="T4" s="36">
        <f>ROUND(SUMIF(B:B,"Garment care",K:K),2)</f>
        <v>0</v>
      </c>
      <c r="U4"/>
      <c r="V4"/>
      <c r="W4"/>
      <c r="X4"/>
      <c r="Y4"/>
    </row>
    <row r="5" spans="1:25">
      <c r="A5" s="20" t="s">
        <v>48</v>
      </c>
      <c r="B5" s="22" t="s">
        <v>38</v>
      </c>
      <c r="C5" s="20" t="s">
        <v>49</v>
      </c>
      <c r="D5" s="20" t="s">
        <v>40</v>
      </c>
      <c r="E5" s="20" t="s">
        <v>50</v>
      </c>
      <c r="F5" s="20" t="s">
        <v>51</v>
      </c>
      <c r="G5" s="20" t="s">
        <v>52</v>
      </c>
      <c r="H5" s="21">
        <v>44069.356099537035</v>
      </c>
      <c r="I5" s="23">
        <f>_xlfn.IFNA(VLOOKUP(A5,A6:$H$3523,8,0),"")</f>
        <v>44069.375902777778</v>
      </c>
      <c r="J5" s="40">
        <f>IF(B5="OFF",0,IF(AND(D5&lt;&gt;"",E5&lt;&gt;""),E5-D5+1,""))</f>
        <v>10</v>
      </c>
      <c r="K5" s="24">
        <f>IF(H5="","",IFERROR((I5-H5)*24,0))</f>
        <v>0.47527777781942859</v>
      </c>
      <c r="L5" s="25" t="str">
        <f>IF(K5="","",IF(B5="Break","Break",IF(K5&lt;&gt;0,"Work Finished",IF(B5="OFF","Work Finished",IF(I5="","Working","Work Finished")))))</f>
        <v>Work Finished</v>
      </c>
      <c r="M5" s="33">
        <v>2</v>
      </c>
      <c r="O5" s="33">
        <f t="shared" si="0"/>
        <v>8</v>
      </c>
      <c r="P5" s="33">
        <f t="shared" si="1"/>
        <v>8</v>
      </c>
      <c r="Q5" s="33" t="s">
        <v>53</v>
      </c>
      <c r="R5"/>
      <c r="S5" s="36" t="s">
        <v>21</v>
      </c>
      <c r="T5" s="36">
        <f>ROUND(SUMIF(B:B,"Off",K:K),2)</f>
        <v>79.739999999999995</v>
      </c>
      <c r="U5"/>
      <c r="V5"/>
      <c r="W5"/>
      <c r="X5"/>
      <c r="Y5"/>
    </row>
    <row r="6" spans="1:25" ht="15.75" customHeight="1">
      <c r="A6" s="20" t="s">
        <v>54</v>
      </c>
      <c r="B6" s="22" t="s">
        <v>38</v>
      </c>
      <c r="C6" s="20" t="s">
        <v>55</v>
      </c>
      <c r="D6" s="20" t="s">
        <v>40</v>
      </c>
      <c r="E6" s="20" t="s">
        <v>56</v>
      </c>
      <c r="F6" s="20" t="s">
        <v>57</v>
      </c>
      <c r="G6" s="20" t="s">
        <v>52</v>
      </c>
      <c r="H6" s="21">
        <v>44069.356631944444</v>
      </c>
      <c r="I6" s="23">
        <f>_xlfn.IFNA(VLOOKUP(A6,A7:$H$3523,8,0),"")</f>
        <v>44069.381273148145</v>
      </c>
      <c r="J6" s="40">
        <f>IF(B6="OFF",0,IF(AND(D6&lt;&gt;"",E6&lt;&gt;""),E6-D6+1,""))</f>
        <v>21</v>
      </c>
      <c r="K6" s="24">
        <f>IF(H6="","",IFERROR((I6-H6)*24,0))</f>
        <v>0.59138888883171603</v>
      </c>
      <c r="L6" s="25" t="str">
        <f>IF(K6="","",IF(B6="Break","Break",IF(K6&lt;&gt;0,"Work Finished",IF(B6="OFF","Work Finished",IF(I6="","Working","Work Finished")))))</f>
        <v>Work Finished</v>
      </c>
      <c r="M6" s="33">
        <v>3</v>
      </c>
      <c r="O6" s="33">
        <f t="shared" si="0"/>
        <v>18</v>
      </c>
      <c r="P6" s="33">
        <f t="shared" si="1"/>
        <v>8</v>
      </c>
      <c r="Q6" s="33" t="s">
        <v>53</v>
      </c>
      <c r="R6"/>
      <c r="U6"/>
      <c r="V6"/>
      <c r="W6"/>
      <c r="X6"/>
      <c r="Y6"/>
    </row>
    <row r="7" spans="1:25">
      <c r="A7" s="20" t="s">
        <v>58</v>
      </c>
      <c r="B7" s="22" t="s">
        <v>38</v>
      </c>
      <c r="C7" s="20" t="s">
        <v>59</v>
      </c>
      <c r="D7" s="20" t="s">
        <v>40</v>
      </c>
      <c r="E7" s="20" t="s">
        <v>60</v>
      </c>
      <c r="F7" s="20" t="s">
        <v>57</v>
      </c>
      <c r="G7" s="20" t="s">
        <v>52</v>
      </c>
      <c r="H7" s="21">
        <v>44069.35701388889</v>
      </c>
      <c r="I7" s="23">
        <f>_xlfn.IFNA(VLOOKUP(A7,A8:$H$3523,8,0),"")</f>
        <v>44069.376840277779</v>
      </c>
      <c r="J7" s="40">
        <f>IF(B7="OFF",0,IF(AND(D7&lt;&gt;"",E7&lt;&gt;""),E7-D7+1,""))</f>
        <v>17</v>
      </c>
      <c r="K7" s="24">
        <f>IF(H7="","",IFERROR((I7-H7)*24,0))</f>
        <v>0.47583333333022892</v>
      </c>
      <c r="L7" s="25" t="str">
        <f>IF(K7="","",IF(B7="Break","Break",IF(K7&lt;&gt;0,"Work Finished",IF(B7="OFF","Work Finished",IF(I7="","Working","Work Finished")))))</f>
        <v>Work Finished</v>
      </c>
      <c r="M7" s="33">
        <v>1</v>
      </c>
      <c r="O7" s="33">
        <f t="shared" si="0"/>
        <v>16</v>
      </c>
      <c r="P7" s="33">
        <f t="shared" si="1"/>
        <v>8</v>
      </c>
      <c r="Q7" s="33" t="s">
        <v>53</v>
      </c>
      <c r="Y7" s="7"/>
    </row>
    <row r="8" spans="1:25">
      <c r="A8" s="20" t="s">
        <v>61</v>
      </c>
      <c r="B8" s="22" t="s">
        <v>38</v>
      </c>
      <c r="C8" s="20" t="s">
        <v>62</v>
      </c>
      <c r="D8" s="20" t="s">
        <v>40</v>
      </c>
      <c r="E8" s="20" t="s">
        <v>63</v>
      </c>
      <c r="F8" s="20" t="s">
        <v>57</v>
      </c>
      <c r="G8" s="20" t="s">
        <v>52</v>
      </c>
      <c r="H8" s="21">
        <v>44069.357430555552</v>
      </c>
      <c r="I8" s="23">
        <f>_xlfn.IFNA(VLOOKUP(A8,A9:$H$3523,8,0),"")</f>
        <v>44069.382222222222</v>
      </c>
      <c r="J8" s="40">
        <f>IF(B8="OFF",0,IF(AND(D8&lt;&gt;"",E8&lt;&gt;""),E8-D8+1,""))</f>
        <v>18</v>
      </c>
      <c r="K8" s="24">
        <f>IF(H8="","",IFERROR((I8-H8)*24,0))</f>
        <v>0.59500000008847564</v>
      </c>
      <c r="L8" s="25" t="str">
        <f>IF(K8="","",IF(B8="Break","Break",IF(K8&lt;&gt;0,"Work Finished",IF(B8="OFF","Work Finished",IF(I8="","Working","Work Finished")))))</f>
        <v>Work Finished</v>
      </c>
      <c r="O8" s="33">
        <f t="shared" si="0"/>
        <v>18</v>
      </c>
      <c r="P8" s="33">
        <f t="shared" si="1"/>
        <v>8</v>
      </c>
      <c r="Q8" s="33" t="s">
        <v>53</v>
      </c>
    </row>
    <row r="9" spans="1:25">
      <c r="A9" s="20" t="s">
        <v>64</v>
      </c>
      <c r="B9" s="22" t="s">
        <v>38</v>
      </c>
      <c r="C9" s="20" t="s">
        <v>65</v>
      </c>
      <c r="D9" s="20" t="s">
        <v>40</v>
      </c>
      <c r="E9" s="20" t="s">
        <v>63</v>
      </c>
      <c r="F9" s="20" t="s">
        <v>57</v>
      </c>
      <c r="G9" s="20" t="s">
        <v>52</v>
      </c>
      <c r="H9" s="21">
        <v>44069.357708333337</v>
      </c>
      <c r="I9" s="23">
        <f>_xlfn.IFNA(VLOOKUP(A9,A10:$H$3523,8,0),"")</f>
        <v>44069.382164351853</v>
      </c>
      <c r="J9" s="40">
        <f>IF(B9="OFF",0,IF(AND(D9&lt;&gt;"",E9&lt;&gt;""),E9-D9+1,""))</f>
        <v>18</v>
      </c>
      <c r="K9" s="24">
        <f>IF(H9="","",IFERROR((I9-H9)*24,0))</f>
        <v>0.58694444439606741</v>
      </c>
      <c r="L9" s="25" t="str">
        <f>IF(K9="","",IF(B9="Break","Break",IF(K9&lt;&gt;0,"Work Finished",IF(B9="OFF","Work Finished",IF(I9="","Working","Work Finished")))))</f>
        <v>Work Finished</v>
      </c>
      <c r="O9" s="33">
        <f t="shared" si="0"/>
        <v>18</v>
      </c>
      <c r="P9" s="33">
        <f t="shared" si="1"/>
        <v>8</v>
      </c>
      <c r="Q9" s="33" t="s">
        <v>53</v>
      </c>
    </row>
    <row r="10" spans="1:25">
      <c r="A10" s="20" t="s">
        <v>66</v>
      </c>
      <c r="B10" s="22" t="s">
        <v>38</v>
      </c>
      <c r="C10" s="20" t="s">
        <v>67</v>
      </c>
      <c r="D10" s="20" t="s">
        <v>40</v>
      </c>
      <c r="E10" s="20" t="s">
        <v>60</v>
      </c>
      <c r="F10" s="20" t="s">
        <v>57</v>
      </c>
      <c r="G10" s="20" t="s">
        <v>52</v>
      </c>
      <c r="H10" s="21">
        <v>44069.358124999999</v>
      </c>
      <c r="I10" s="23">
        <f>_xlfn.IFNA(VLOOKUP(A10,A11:$H$3523,8,0),"")</f>
        <v>44069.37908564815</v>
      </c>
      <c r="J10" s="40">
        <f>IF(B10="OFF",0,IF(AND(D10&lt;&gt;"",E10&lt;&gt;""),E10-D10+1,""))</f>
        <v>17</v>
      </c>
      <c r="K10" s="24">
        <f>IF(H10="","",IFERROR((I10-H10)*24,0))</f>
        <v>0.50305555562954396</v>
      </c>
      <c r="L10" s="25" t="str">
        <f>IF(K10="","",IF(B10="Break","Break",IF(K10&lt;&gt;0,"Work Finished",IF(B10="OFF","Work Finished",IF(I10="","Working","Work Finished")))))</f>
        <v>Work Finished</v>
      </c>
      <c r="M10" s="33">
        <v>1</v>
      </c>
      <c r="O10" s="33">
        <f t="shared" si="0"/>
        <v>16</v>
      </c>
      <c r="P10" s="33">
        <f t="shared" si="1"/>
        <v>8</v>
      </c>
      <c r="Q10" s="33" t="s">
        <v>53</v>
      </c>
    </row>
    <row r="11" spans="1:25">
      <c r="A11" s="20" t="s">
        <v>68</v>
      </c>
      <c r="B11" s="22" t="s">
        <v>38</v>
      </c>
      <c r="C11" s="20" t="s">
        <v>69</v>
      </c>
      <c r="D11" s="20" t="s">
        <v>40</v>
      </c>
      <c r="E11" s="20" t="s">
        <v>70</v>
      </c>
      <c r="F11" s="20" t="s">
        <v>71</v>
      </c>
      <c r="G11" s="20" t="s">
        <v>52</v>
      </c>
      <c r="H11" s="21">
        <v>44069.358796296299</v>
      </c>
      <c r="I11" s="23">
        <f>_xlfn.IFNA(VLOOKUP(A11,A12:$H$3523,8,0),"")</f>
        <v>44069.36650462963</v>
      </c>
      <c r="J11" s="40">
        <f>IF(B11="OFF",0,IF(AND(D11&lt;&gt;"",E11&lt;&gt;""),E11-D11+1,""))</f>
        <v>2</v>
      </c>
      <c r="K11" s="24">
        <f>IF(H11="","",IFERROR((I11-H11)*24,0))</f>
        <v>0.18499999993946403</v>
      </c>
      <c r="L11" s="25" t="str">
        <f>IF(K11="","",IF(B11="Break","Break",IF(K11&lt;&gt;0,"Work Finished",IF(B11="OFF","Work Finished",IF(I11="","Working","Work Finished")))))</f>
        <v>Work Finished</v>
      </c>
      <c r="O11" s="33">
        <f t="shared" si="0"/>
        <v>2</v>
      </c>
      <c r="P11" s="33">
        <f t="shared" si="1"/>
        <v>8</v>
      </c>
      <c r="Q11" s="33" t="s">
        <v>53</v>
      </c>
    </row>
    <row r="12" spans="1:25">
      <c r="A12" s="20" t="s">
        <v>72</v>
      </c>
      <c r="B12" s="22" t="s">
        <v>38</v>
      </c>
      <c r="C12" s="20" t="s">
        <v>73</v>
      </c>
      <c r="D12" s="20" t="s">
        <v>40</v>
      </c>
      <c r="E12" s="20" t="s">
        <v>74</v>
      </c>
      <c r="F12" s="20" t="s">
        <v>75</v>
      </c>
      <c r="G12" s="20" t="s">
        <v>43</v>
      </c>
      <c r="H12" s="21">
        <v>44069.359039351853</v>
      </c>
      <c r="I12" s="23">
        <f>_xlfn.IFNA(VLOOKUP(A12,A13:$H$3523,8,0),"")</f>
        <v>44069.37568287037</v>
      </c>
      <c r="J12" s="40">
        <f>IF(B12="OFF",0,IF(AND(D12&lt;&gt;"",E12&lt;&gt;""),E12-D12+1,""))</f>
        <v>26</v>
      </c>
      <c r="K12" s="24">
        <f>IF(H12="","",IFERROR((I12-H12)*24,0))</f>
        <v>0.39944444439606741</v>
      </c>
      <c r="L12" s="25" t="str">
        <f>IF(K12="","",IF(B12="Break","Break",IF(K12&lt;&gt;0,"Work Finished",IF(B12="OFF","Work Finished",IF(I12="","Working","Work Finished")))))</f>
        <v>Work Finished</v>
      </c>
      <c r="O12" s="33">
        <f t="shared" si="0"/>
        <v>26</v>
      </c>
      <c r="P12" s="33">
        <f t="shared" si="1"/>
        <v>8</v>
      </c>
      <c r="Q12" s="33" t="s">
        <v>80</v>
      </c>
    </row>
    <row r="13" spans="1:25">
      <c r="A13" s="20" t="s">
        <v>76</v>
      </c>
      <c r="B13" s="22" t="s">
        <v>38</v>
      </c>
      <c r="C13" s="20" t="s">
        <v>77</v>
      </c>
      <c r="D13" s="20" t="s">
        <v>40</v>
      </c>
      <c r="E13" s="20" t="s">
        <v>78</v>
      </c>
      <c r="F13" s="20" t="s">
        <v>79</v>
      </c>
      <c r="G13" s="20" t="s">
        <v>52</v>
      </c>
      <c r="H13" s="21">
        <v>44069.359363425923</v>
      </c>
      <c r="I13" s="23">
        <f>_xlfn.IFNA(VLOOKUP(A13,A14:$H$3523,8,0),"")</f>
        <v>44069.366319444445</v>
      </c>
      <c r="J13" s="40">
        <f>IF(B13="OFF",0,IF(AND(D13&lt;&gt;"",E13&lt;&gt;""),E13-D13+1,""))</f>
        <v>7</v>
      </c>
      <c r="K13" s="24">
        <f>IF(H13="","",IFERROR((I13-H13)*24,0))</f>
        <v>0.16694444452878088</v>
      </c>
      <c r="L13" s="25" t="str">
        <f>IF(K13="","",IF(B13="Break","Break",IF(K13&lt;&gt;0,"Work Finished",IF(B13="OFF","Work Finished",IF(I13="","Working","Work Finished")))))</f>
        <v>Work Finished</v>
      </c>
      <c r="O13" s="33">
        <f t="shared" si="0"/>
        <v>7</v>
      </c>
      <c r="P13" s="33">
        <f t="shared" si="1"/>
        <v>8</v>
      </c>
      <c r="Q13" s="33" t="s">
        <v>80</v>
      </c>
    </row>
    <row r="14" spans="1:25">
      <c r="A14" s="20" t="s">
        <v>76</v>
      </c>
      <c r="B14" s="22" t="s">
        <v>81</v>
      </c>
      <c r="H14" s="21">
        <v>44069.366319444445</v>
      </c>
      <c r="I14" s="23" t="str">
        <f>_xlfn.IFNA(VLOOKUP(A14,A15:$H$3523,8,0),"")</f>
        <v/>
      </c>
      <c r="J14" s="40">
        <f>IF(B14="OFF",0,IF(AND(D14&lt;&gt;"",E14&lt;&gt;""),E14-D14+1,""))</f>
        <v>0</v>
      </c>
      <c r="K14" s="24">
        <f>IF(H14="","",IFERROR((I14-H14)*24,0))</f>
        <v>0</v>
      </c>
      <c r="L14" s="25" t="str">
        <f>IF(K14="","",IF(B14="Break","Break",IF(K14&lt;&gt;0,"Work Finished",IF(B14="OFF","Work Finished",IF(I14="","Working","Work Finished")))))</f>
        <v>Work Finished</v>
      </c>
      <c r="O14" s="33">
        <f t="shared" si="0"/>
        <v>0</v>
      </c>
      <c r="P14" s="33">
        <f t="shared" si="1"/>
        <v>8</v>
      </c>
    </row>
    <row r="15" spans="1:25">
      <c r="A15" s="20" t="s">
        <v>68</v>
      </c>
      <c r="B15" s="22" t="s">
        <v>81</v>
      </c>
      <c r="H15" s="21">
        <v>44069.36650462963</v>
      </c>
      <c r="I15" s="23">
        <f>_xlfn.IFNA(VLOOKUP(A15,A16:$H$3523,8,0),"")</f>
        <v>44069.593171296299</v>
      </c>
      <c r="J15" s="40">
        <f>IF(B15="OFF",0,IF(AND(D15&lt;&gt;"",E15&lt;&gt;""),E15-D15+1,""))</f>
        <v>0</v>
      </c>
      <c r="K15" s="24">
        <f>IF(H15="","",IFERROR((I15-H15)*24,0))</f>
        <v>5.440000000060536</v>
      </c>
      <c r="L15" s="25" t="str">
        <f>IF(K15="","",IF(B15="Break","Break",IF(K15&lt;&gt;0,"Work Finished",IF(B15="OFF","Work Finished",IF(I15="","Working","Work Finished")))))</f>
        <v>Work Finished</v>
      </c>
      <c r="O15" s="33">
        <f t="shared" si="0"/>
        <v>0</v>
      </c>
      <c r="P15" s="33">
        <f t="shared" si="1"/>
        <v>8</v>
      </c>
    </row>
    <row r="16" spans="1:25">
      <c r="A16" s="20" t="s">
        <v>72</v>
      </c>
      <c r="B16" s="22" t="s">
        <v>81</v>
      </c>
      <c r="H16" s="21">
        <v>44069.37568287037</v>
      </c>
      <c r="I16" s="23">
        <f>_xlfn.IFNA(VLOOKUP(A16,A17:$H$3523,8,0),"")</f>
        <v>44069.639710648145</v>
      </c>
      <c r="J16" s="40">
        <f>IF(B16="OFF",0,IF(AND(D16&lt;&gt;"",E16&lt;&gt;""),E16-D16+1,""))</f>
        <v>0</v>
      </c>
      <c r="K16" s="24">
        <f>IF(H16="","",IFERROR((I16-H16)*24,0))</f>
        <v>6.3366666666115634</v>
      </c>
      <c r="L16" s="25" t="str">
        <f>IF(K16="","",IF(B16="Break","Break",IF(K16&lt;&gt;0,"Work Finished",IF(B16="OFF","Work Finished",IF(I16="","Working","Work Finished")))))</f>
        <v>Work Finished</v>
      </c>
      <c r="O16" s="33">
        <f t="shared" si="0"/>
        <v>0</v>
      </c>
      <c r="P16" s="33">
        <f t="shared" si="1"/>
        <v>9</v>
      </c>
    </row>
    <row r="17" spans="1:17">
      <c r="A17" s="20" t="s">
        <v>48</v>
      </c>
      <c r="B17" s="22" t="s">
        <v>81</v>
      </c>
      <c r="H17" s="21">
        <v>44069.375902777778</v>
      </c>
      <c r="I17" s="23">
        <f>_xlfn.IFNA(VLOOKUP(A17,A18:$H$3523,8,0),"")</f>
        <v>44069.414606481485</v>
      </c>
      <c r="J17" s="40">
        <f>IF(B17="OFF",0,IF(AND(D17&lt;&gt;"",E17&lt;&gt;""),E17-D17+1,""))</f>
        <v>0</v>
      </c>
      <c r="K17" s="24">
        <f>IF(H17="","",IFERROR((I17-H17)*24,0))</f>
        <v>0.92888888897141442</v>
      </c>
      <c r="L17" s="25" t="str">
        <f>IF(K17="","",IF(B17="Break","Break",IF(K17&lt;&gt;0,"Work Finished",IF(B17="OFF","Work Finished",IF(I17="","Working","Work Finished")))))</f>
        <v>Work Finished</v>
      </c>
      <c r="O17" s="33">
        <f t="shared" si="0"/>
        <v>0</v>
      </c>
      <c r="P17" s="33">
        <f t="shared" si="1"/>
        <v>9</v>
      </c>
    </row>
    <row r="18" spans="1:17">
      <c r="A18" s="20" t="s">
        <v>58</v>
      </c>
      <c r="B18" s="22" t="s">
        <v>81</v>
      </c>
      <c r="H18" s="21">
        <v>44069.376840277779</v>
      </c>
      <c r="I18" s="23">
        <f>_xlfn.IFNA(VLOOKUP(A18,A19:$H$3523,8,0),"")</f>
        <v>44069.416759259257</v>
      </c>
      <c r="J18" s="40">
        <f>IF(B18="OFF",0,IF(AND(D18&lt;&gt;"",E18&lt;&gt;""),E18-D18+1,""))</f>
        <v>0</v>
      </c>
      <c r="K18" s="24">
        <f>IF(H18="","",IFERROR((I18-H18)*24,0))</f>
        <v>0.95805555547121912</v>
      </c>
      <c r="L18" s="25" t="str">
        <f>IF(K18="","",IF(B18="Break","Break",IF(K18&lt;&gt;0,"Work Finished",IF(B18="OFF","Work Finished",IF(I18="","Working","Work Finished")))))</f>
        <v>Work Finished</v>
      </c>
      <c r="O18" s="33">
        <f t="shared" si="0"/>
        <v>0</v>
      </c>
      <c r="P18" s="33">
        <f t="shared" si="1"/>
        <v>9</v>
      </c>
    </row>
    <row r="19" spans="1:17">
      <c r="A19" s="20" t="s">
        <v>66</v>
      </c>
      <c r="B19" s="22" t="s">
        <v>81</v>
      </c>
      <c r="H19" s="21">
        <v>44069.37908564815</v>
      </c>
      <c r="I19" s="23">
        <f>_xlfn.IFNA(VLOOKUP(A19,A20:$H$3523,8,0),"")</f>
        <v>44069.572268518517</v>
      </c>
      <c r="J19" s="40">
        <f>IF(B19="OFF",0,IF(AND(D19&lt;&gt;"",E19&lt;&gt;""),E19-D19+1,""))</f>
        <v>0</v>
      </c>
      <c r="K19" s="24">
        <f>IF(H19="","",IFERROR((I19-H19)*24,0))</f>
        <v>4.6363888888154179</v>
      </c>
      <c r="L19" s="25" t="str">
        <f>IF(K19="","",IF(B19="Break","Break",IF(K19&lt;&gt;0,"Work Finished",IF(B19="OFF","Work Finished",IF(I19="","Working","Work Finished")))))</f>
        <v>Work Finished</v>
      </c>
      <c r="O19" s="33">
        <f t="shared" si="0"/>
        <v>0</v>
      </c>
      <c r="P19" s="33">
        <f t="shared" si="1"/>
        <v>9</v>
      </c>
    </row>
    <row r="20" spans="1:17">
      <c r="A20" s="20" t="s">
        <v>54</v>
      </c>
      <c r="B20" s="22" t="s">
        <v>81</v>
      </c>
      <c r="H20" s="21">
        <v>44069.381273148145</v>
      </c>
      <c r="I20" s="23">
        <f>_xlfn.IFNA(VLOOKUP(A20,A21:$H$3523,8,0),"")</f>
        <v>44069.415023148147</v>
      </c>
      <c r="J20" s="40">
        <f>IF(B20="OFF",0,IF(AND(D20&lt;&gt;"",E20&lt;&gt;""),E20-D20+1,""))</f>
        <v>0</v>
      </c>
      <c r="K20" s="24">
        <f>IF(H20="","",IFERROR((I20-H20)*24,0))</f>
        <v>0.81000000005587935</v>
      </c>
      <c r="L20" s="25" t="str">
        <f>IF(K20="","",IF(B20="Break","Break",IF(K20&lt;&gt;0,"Work Finished",IF(B20="OFF","Work Finished",IF(I20="","Working","Work Finished")))))</f>
        <v>Work Finished</v>
      </c>
      <c r="O20" s="33">
        <f t="shared" si="0"/>
        <v>0</v>
      </c>
      <c r="P20" s="33">
        <f t="shared" si="1"/>
        <v>9</v>
      </c>
    </row>
    <row r="21" spans="1:17">
      <c r="A21" s="20" t="s">
        <v>44</v>
      </c>
      <c r="B21" s="22" t="s">
        <v>81</v>
      </c>
      <c r="H21" s="21">
        <v>44069.381979166668</v>
      </c>
      <c r="I21" s="23" t="str">
        <f>_xlfn.IFNA(VLOOKUP(A21,A22:$H$3523,8,0),"")</f>
        <v/>
      </c>
      <c r="J21" s="40">
        <f>IF(B21="OFF",0,IF(AND(D21&lt;&gt;"",E21&lt;&gt;""),E21-D21+1,""))</f>
        <v>0</v>
      </c>
      <c r="K21" s="24">
        <f>IF(H21="","",IFERROR((I21-H21)*24,0))</f>
        <v>0</v>
      </c>
      <c r="L21" s="25" t="str">
        <f>IF(K21="","",IF(B21="Break","Break",IF(K21&lt;&gt;0,"Work Finished",IF(B21="OFF","Work Finished",IF(I21="","Working","Work Finished")))))</f>
        <v>Work Finished</v>
      </c>
      <c r="O21" s="33">
        <f t="shared" si="0"/>
        <v>0</v>
      </c>
      <c r="P21" s="33">
        <f t="shared" si="1"/>
        <v>9</v>
      </c>
    </row>
    <row r="22" spans="1:17">
      <c r="A22" s="20" t="s">
        <v>64</v>
      </c>
      <c r="B22" s="22" t="s">
        <v>81</v>
      </c>
      <c r="H22" s="21">
        <v>44069.382164351853</v>
      </c>
      <c r="I22" s="23">
        <f>_xlfn.IFNA(VLOOKUP(A22,A23:$H$3523,8,0),"")</f>
        <v>44069.413900462961</v>
      </c>
      <c r="J22" s="40">
        <f>IF(B22="OFF",0,IF(AND(D22&lt;&gt;"",E22&lt;&gt;""),E22-D22+1,""))</f>
        <v>0</v>
      </c>
      <c r="K22" s="24">
        <f>IF(H22="","",IFERROR((I22-H22)*24,0))</f>
        <v>0.76166666659992188</v>
      </c>
      <c r="L22" s="25" t="str">
        <f>IF(K22="","",IF(B22="Break","Break",IF(K22&lt;&gt;0,"Work Finished",IF(B22="OFF","Work Finished",IF(I22="","Working","Work Finished")))))</f>
        <v>Work Finished</v>
      </c>
      <c r="O22" s="33">
        <f t="shared" si="0"/>
        <v>0</v>
      </c>
      <c r="P22" s="33">
        <f t="shared" si="1"/>
        <v>9</v>
      </c>
    </row>
    <row r="23" spans="1:17">
      <c r="A23" s="20" t="s">
        <v>61</v>
      </c>
      <c r="B23" s="22" t="s">
        <v>81</v>
      </c>
      <c r="H23" s="21">
        <v>44069.382222222222</v>
      </c>
      <c r="I23" s="23">
        <f>_xlfn.IFNA(VLOOKUP(A23,A24:$H$3523,8,0),"")</f>
        <v>44069.413680555554</v>
      </c>
      <c r="J23" s="40">
        <f>IF(B23="OFF",0,IF(AND(D23&lt;&gt;"",E23&lt;&gt;""),E23-D23+1,""))</f>
        <v>0</v>
      </c>
      <c r="K23" s="24">
        <f>IF(H23="","",IFERROR((I23-H23)*24,0))</f>
        <v>0.75499999994644895</v>
      </c>
      <c r="L23" s="25" t="str">
        <f>IF(K23="","",IF(B23="Break","Break",IF(K23&lt;&gt;0,"Work Finished",IF(B23="OFF","Work Finished",IF(I23="","Working","Work Finished")))))</f>
        <v>Work Finished</v>
      </c>
      <c r="O23" s="33">
        <f t="shared" si="0"/>
        <v>0</v>
      </c>
      <c r="P23" s="33">
        <f t="shared" si="1"/>
        <v>9</v>
      </c>
    </row>
    <row r="24" spans="1:17">
      <c r="A24" s="20" t="s">
        <v>37</v>
      </c>
      <c r="B24" s="22" t="s">
        <v>81</v>
      </c>
      <c r="H24" s="21">
        <v>44069.382326388892</v>
      </c>
      <c r="I24" s="23">
        <f>_xlfn.IFNA(VLOOKUP(A24,A25:$H$3523,8,0),"")</f>
        <v>44069.414097222223</v>
      </c>
      <c r="J24" s="40">
        <f>IF(B24="OFF",0,IF(AND(D24&lt;&gt;"",E24&lt;&gt;""),E24-D24+1,""))</f>
        <v>0</v>
      </c>
      <c r="K24" s="24">
        <f>IF(H24="","",IFERROR((I24-H24)*24,0))</f>
        <v>0.76249999995343387</v>
      </c>
      <c r="L24" s="25" t="str">
        <f>IF(K24="","",IF(B24="Break","Break",IF(K24&lt;&gt;0,"Work Finished",IF(B24="OFF","Work Finished",IF(I24="","Working","Work Finished")))))</f>
        <v>Work Finished</v>
      </c>
      <c r="O24" s="33">
        <f t="shared" si="0"/>
        <v>0</v>
      </c>
      <c r="P24" s="33">
        <f t="shared" si="1"/>
        <v>9</v>
      </c>
    </row>
    <row r="25" spans="1:17">
      <c r="A25" s="20" t="s">
        <v>200</v>
      </c>
      <c r="B25" s="22" t="s">
        <v>38</v>
      </c>
      <c r="C25" s="20" t="s">
        <v>201</v>
      </c>
      <c r="D25" s="20" t="s">
        <v>40</v>
      </c>
      <c r="E25" s="20" t="s">
        <v>108</v>
      </c>
      <c r="F25" s="20" t="s">
        <v>160</v>
      </c>
      <c r="G25" s="20" t="s">
        <v>43</v>
      </c>
      <c r="H25" s="21">
        <v>44069.412951388891</v>
      </c>
      <c r="I25" s="23">
        <f>_xlfn.IFNA(VLOOKUP(A25,A26:$H$3523,8,0),"")</f>
        <v>44069.436956018515</v>
      </c>
      <c r="J25" s="40">
        <f>IF(B25="OFF",0,IF(AND(D25&lt;&gt;"",E25&lt;&gt;""),E25-D25+1,""))</f>
        <v>22</v>
      </c>
      <c r="K25" s="24">
        <f>IF(H25="","",IFERROR((I25-H25)*24,0))</f>
        <v>0.57611111097503453</v>
      </c>
      <c r="L25" s="25" t="str">
        <f>IF(K25="","",IF(B25="Break","Break",IF(K25&lt;&gt;0,"Work Finished",IF(B25="OFF","Work Finished",IF(I25="","Working","Work Finished")))))</f>
        <v>Work Finished</v>
      </c>
      <c r="M25" s="33">
        <v>2</v>
      </c>
      <c r="O25" s="33">
        <f t="shared" si="0"/>
        <v>20</v>
      </c>
      <c r="P25" s="33">
        <f t="shared" si="1"/>
        <v>9</v>
      </c>
      <c r="Q25" s="33" t="s">
        <v>80</v>
      </c>
    </row>
    <row r="26" spans="1:17">
      <c r="A26" s="20" t="s">
        <v>61</v>
      </c>
      <c r="B26" s="22" t="s">
        <v>38</v>
      </c>
      <c r="C26" s="20" t="s">
        <v>202</v>
      </c>
      <c r="D26" s="20" t="s">
        <v>40</v>
      </c>
      <c r="E26" s="20" t="s">
        <v>113</v>
      </c>
      <c r="F26" s="20" t="s">
        <v>144</v>
      </c>
      <c r="G26" s="20" t="s">
        <v>43</v>
      </c>
      <c r="H26" s="21">
        <v>44069.413680555554</v>
      </c>
      <c r="I26" s="23">
        <f>_xlfn.IFNA(VLOOKUP(A26,A27:$H$3523,8,0),"")</f>
        <v>44069.457615740743</v>
      </c>
      <c r="J26" s="40">
        <f>IF(B26="OFF",0,IF(AND(D26&lt;&gt;"",E26&lt;&gt;""),E26-D26+1,""))</f>
        <v>33</v>
      </c>
      <c r="K26" s="24">
        <f>IF(H26="","",IFERROR((I26-H26)*24,0))</f>
        <v>1.0544444445404224</v>
      </c>
      <c r="L26" s="25" t="str">
        <f>IF(K26="","",IF(B26="Break","Break",IF(K26&lt;&gt;0,"Work Finished",IF(B26="OFF","Work Finished",IF(I26="","Working","Work Finished")))))</f>
        <v>Work Finished</v>
      </c>
      <c r="M26" s="33">
        <v>3</v>
      </c>
      <c r="O26" s="33">
        <f t="shared" si="0"/>
        <v>30</v>
      </c>
      <c r="P26" s="33">
        <f t="shared" si="1"/>
        <v>9</v>
      </c>
      <c r="Q26" s="33" t="s">
        <v>80</v>
      </c>
    </row>
    <row r="27" spans="1:17">
      <c r="A27" s="20" t="s">
        <v>64</v>
      </c>
      <c r="B27" s="22" t="s">
        <v>38</v>
      </c>
      <c r="C27" s="20" t="s">
        <v>203</v>
      </c>
      <c r="D27" s="20" t="s">
        <v>40</v>
      </c>
      <c r="E27" s="20" t="s">
        <v>98</v>
      </c>
      <c r="F27" s="20" t="s">
        <v>150</v>
      </c>
      <c r="G27" s="20" t="s">
        <v>43</v>
      </c>
      <c r="H27" s="21">
        <v>44069.413900462961</v>
      </c>
      <c r="I27" s="23">
        <f>_xlfn.IFNA(VLOOKUP(A27,A28:$H$3523,8,0),"")</f>
        <v>44069.42827546296</v>
      </c>
      <c r="J27" s="40">
        <f>IF(B27="OFF",0,IF(AND(D27&lt;&gt;"",E27&lt;&gt;""),E27-D27+1,""))</f>
        <v>20</v>
      </c>
      <c r="K27" s="24">
        <f>IF(H27="","",IFERROR((I27-H27)*24,0))</f>
        <v>0.34499999997206032</v>
      </c>
      <c r="L27" s="25" t="str">
        <f>IF(K27="","",IF(B27="Break","Break",IF(K27&lt;&gt;0,"Work Finished",IF(B27="OFF","Work Finished",IF(I27="","Working","Work Finished")))))</f>
        <v>Work Finished</v>
      </c>
      <c r="M27" s="33">
        <v>1</v>
      </c>
      <c r="O27" s="33">
        <f t="shared" si="0"/>
        <v>19</v>
      </c>
      <c r="P27" s="33">
        <f t="shared" si="1"/>
        <v>9</v>
      </c>
      <c r="Q27" s="33" t="s">
        <v>80</v>
      </c>
    </row>
    <row r="28" spans="1:17">
      <c r="A28" s="20" t="s">
        <v>37</v>
      </c>
      <c r="B28" s="22" t="s">
        <v>38</v>
      </c>
      <c r="C28" s="20" t="s">
        <v>204</v>
      </c>
      <c r="D28" s="20" t="s">
        <v>40</v>
      </c>
      <c r="E28" s="20" t="s">
        <v>107</v>
      </c>
      <c r="F28" s="20" t="s">
        <v>139</v>
      </c>
      <c r="G28" s="20" t="s">
        <v>43</v>
      </c>
      <c r="H28" s="21">
        <v>44069.414097222223</v>
      </c>
      <c r="I28" s="23">
        <f>_xlfn.IFNA(VLOOKUP(A28,A29:$H$3523,8,0),"")</f>
        <v>44069.451689814814</v>
      </c>
      <c r="J28" s="40">
        <f>IF(B28="OFF",0,IF(AND(D28&lt;&gt;"",E28&lt;&gt;""),E28-D28+1,""))</f>
        <v>43</v>
      </c>
      <c r="K28" s="24">
        <f>IF(H28="","",IFERROR((I28-H28)*24,0))</f>
        <v>0.90222222218289971</v>
      </c>
      <c r="L28" s="25" t="str">
        <f>IF(K28="","",IF(B28="Break","Break",IF(K28&lt;&gt;0,"Work Finished",IF(B28="OFF","Work Finished",IF(I28="","Working","Work Finished")))))</f>
        <v>Work Finished</v>
      </c>
      <c r="M28" s="33">
        <v>1</v>
      </c>
      <c r="O28" s="33">
        <f t="shared" si="0"/>
        <v>42</v>
      </c>
      <c r="P28" s="33">
        <f t="shared" si="1"/>
        <v>9</v>
      </c>
      <c r="Q28" s="33" t="s">
        <v>80</v>
      </c>
    </row>
    <row r="29" spans="1:17">
      <c r="A29" s="20" t="s">
        <v>48</v>
      </c>
      <c r="B29" s="22" t="s">
        <v>38</v>
      </c>
      <c r="C29" s="20" t="s">
        <v>205</v>
      </c>
      <c r="D29" s="20" t="s">
        <v>40</v>
      </c>
      <c r="E29" s="20" t="s">
        <v>109</v>
      </c>
      <c r="F29" s="20" t="s">
        <v>177</v>
      </c>
      <c r="G29" s="20" t="s">
        <v>43</v>
      </c>
      <c r="H29" s="21">
        <v>44069.414606481485</v>
      </c>
      <c r="I29" s="23">
        <f>_xlfn.IFNA(VLOOKUP(A29,A30:$H$3523,8,0),"")</f>
        <v>44069.452002314814</v>
      </c>
      <c r="J29" s="40">
        <f>IF(B29="OFF",0,IF(AND(D29&lt;&gt;"",E29&lt;&gt;""),E29-D29+1,""))</f>
        <v>32</v>
      </c>
      <c r="K29" s="24">
        <f>IF(H29="","",IFERROR((I29-H29)*24,0))</f>
        <v>0.89749999990453944</v>
      </c>
      <c r="L29" s="25" t="str">
        <f>IF(K29="","",IF(B29="Break","Break",IF(K29&lt;&gt;0,"Work Finished",IF(B29="OFF","Work Finished",IF(I29="","Working","Work Finished")))))</f>
        <v>Work Finished</v>
      </c>
      <c r="M29" s="33">
        <v>1</v>
      </c>
      <c r="O29" s="33">
        <f t="shared" si="0"/>
        <v>31</v>
      </c>
      <c r="P29" s="33">
        <f t="shared" si="1"/>
        <v>9</v>
      </c>
      <c r="Q29" s="33" t="s">
        <v>80</v>
      </c>
    </row>
    <row r="30" spans="1:17">
      <c r="A30" s="20" t="s">
        <v>54</v>
      </c>
      <c r="B30" s="22" t="s">
        <v>38</v>
      </c>
      <c r="C30" s="20" t="s">
        <v>206</v>
      </c>
      <c r="D30" s="20" t="s">
        <v>40</v>
      </c>
      <c r="E30" s="20" t="s">
        <v>89</v>
      </c>
      <c r="F30" s="20" t="s">
        <v>127</v>
      </c>
      <c r="G30" s="20" t="s">
        <v>52</v>
      </c>
      <c r="H30" s="21">
        <v>44069.415023148147</v>
      </c>
      <c r="I30" s="23">
        <f>_xlfn.IFNA(VLOOKUP(A30,A31:$H$3523,8,0),"")</f>
        <v>44069.422361111108</v>
      </c>
      <c r="J30" s="40">
        <f>IF(B30="OFF",0,IF(AND(D30&lt;&gt;"",E30&lt;&gt;""),E30-D30+1,""))</f>
        <v>3</v>
      </c>
      <c r="K30" s="24">
        <f>IF(H30="","",IFERROR((I30-H30)*24,0))</f>
        <v>0.17611111106816679</v>
      </c>
      <c r="L30" s="25" t="str">
        <f>IF(K30="","",IF(B30="Break","Break",IF(K30&lt;&gt;0,"Work Finished",IF(B30="OFF","Work Finished",IF(I30="","Working","Work Finished")))))</f>
        <v>Work Finished</v>
      </c>
      <c r="M30" s="33">
        <v>1</v>
      </c>
      <c r="O30" s="33">
        <f t="shared" si="0"/>
        <v>2</v>
      </c>
      <c r="P30" s="33">
        <f t="shared" si="1"/>
        <v>9</v>
      </c>
      <c r="Q30" s="33" t="s">
        <v>80</v>
      </c>
    </row>
    <row r="31" spans="1:17">
      <c r="A31" s="20" t="s">
        <v>207</v>
      </c>
      <c r="B31" s="22" t="s">
        <v>38</v>
      </c>
      <c r="C31" s="20" t="s">
        <v>208</v>
      </c>
      <c r="D31" s="20" t="s">
        <v>40</v>
      </c>
      <c r="E31" s="20" t="s">
        <v>90</v>
      </c>
      <c r="F31" s="20" t="s">
        <v>79</v>
      </c>
      <c r="G31" s="20" t="s">
        <v>52</v>
      </c>
      <c r="H31" s="21">
        <v>44069.415659722225</v>
      </c>
      <c r="I31" s="23">
        <f>_xlfn.IFNA(VLOOKUP(A31,A32:$H$3523,8,0),"")</f>
        <v>44069.422905092593</v>
      </c>
      <c r="J31" s="40">
        <f>IF(B31="OFF",0,IF(AND(D31&lt;&gt;"",E31&lt;&gt;""),E31-D31+1,""))</f>
        <v>4</v>
      </c>
      <c r="K31" s="24">
        <f>IF(H31="","",IFERROR((I31-H31)*24,0))</f>
        <v>0.17388888885034248</v>
      </c>
      <c r="L31" s="25" t="str">
        <f>IF(K31="","",IF(B31="Break","Break",IF(K31&lt;&gt;0,"Work Finished",IF(B31="OFF","Work Finished",IF(I31="","Working","Work Finished")))))</f>
        <v>Work Finished</v>
      </c>
      <c r="O31" s="33">
        <f t="shared" si="0"/>
        <v>4</v>
      </c>
      <c r="P31" s="33">
        <f t="shared" si="1"/>
        <v>9</v>
      </c>
      <c r="Q31" s="33" t="s">
        <v>80</v>
      </c>
    </row>
    <row r="32" spans="1:17">
      <c r="A32" s="20" t="s">
        <v>209</v>
      </c>
      <c r="B32" s="22" t="s">
        <v>38</v>
      </c>
      <c r="C32" s="20" t="s">
        <v>210</v>
      </c>
      <c r="D32" s="20" t="s">
        <v>40</v>
      </c>
      <c r="E32" s="20" t="s">
        <v>89</v>
      </c>
      <c r="F32" s="20" t="s">
        <v>114</v>
      </c>
      <c r="G32" s="20" t="s">
        <v>52</v>
      </c>
      <c r="H32" s="21">
        <v>44069.416296296295</v>
      </c>
      <c r="I32" s="23">
        <f>_xlfn.IFNA(VLOOKUP(A32,A33:$H$3523,8,0),"")</f>
        <v>44069.422685185185</v>
      </c>
      <c r="J32" s="40">
        <f>IF(B32="OFF",0,IF(AND(D32&lt;&gt;"",E32&lt;&gt;""),E32-D32+1,""))</f>
        <v>3</v>
      </c>
      <c r="K32" s="24">
        <f>IF(H32="","",IFERROR((I32-H32)*24,0))</f>
        <v>0.15333333337912336</v>
      </c>
      <c r="L32" s="25" t="str">
        <f>IF(K32="","",IF(B32="Break","Break",IF(K32&lt;&gt;0,"Work Finished",IF(B32="OFF","Work Finished",IF(I32="","Working","Work Finished")))))</f>
        <v>Work Finished</v>
      </c>
      <c r="M32" s="33">
        <v>1</v>
      </c>
      <c r="O32" s="33">
        <f t="shared" si="0"/>
        <v>2</v>
      </c>
      <c r="P32" s="33">
        <f t="shared" si="1"/>
        <v>9</v>
      </c>
      <c r="Q32" s="33" t="s">
        <v>80</v>
      </c>
    </row>
    <row r="33" spans="1:17">
      <c r="A33" s="20" t="s">
        <v>58</v>
      </c>
      <c r="B33" s="22" t="s">
        <v>38</v>
      </c>
      <c r="C33" s="20" t="s">
        <v>211</v>
      </c>
      <c r="D33" s="20" t="s">
        <v>40</v>
      </c>
      <c r="E33" s="20" t="s">
        <v>113</v>
      </c>
      <c r="F33" s="20" t="s">
        <v>212</v>
      </c>
      <c r="G33" s="20" t="s">
        <v>43</v>
      </c>
      <c r="H33" s="21">
        <v>44069.416759259257</v>
      </c>
      <c r="I33" s="23">
        <f>_xlfn.IFNA(VLOOKUP(A33,A34:$H$3523,8,0),"")</f>
        <v>44069.442696759259</v>
      </c>
      <c r="J33" s="40">
        <f>IF(B33="OFF",0,IF(AND(D33&lt;&gt;"",E33&lt;&gt;""),E33-D33+1,""))</f>
        <v>33</v>
      </c>
      <c r="K33" s="24">
        <f>IF(H33="","",IFERROR((I33-H33)*24,0))</f>
        <v>0.62250000005587935</v>
      </c>
      <c r="L33" s="25" t="str">
        <f>IF(K33="","",IF(B33="Break","Break",IF(K33&lt;&gt;0,"Work Finished",IF(B33="OFF","Work Finished",IF(I33="","Working","Work Finished")))))</f>
        <v>Work Finished</v>
      </c>
      <c r="M33" s="33">
        <v>4</v>
      </c>
      <c r="O33" s="33">
        <f t="shared" si="0"/>
        <v>29</v>
      </c>
      <c r="P33" s="33">
        <f t="shared" si="1"/>
        <v>10</v>
      </c>
      <c r="Q33" s="33" t="s">
        <v>53</v>
      </c>
    </row>
    <row r="34" spans="1:17">
      <c r="A34" s="20" t="s">
        <v>54</v>
      </c>
      <c r="B34" s="22" t="s">
        <v>38</v>
      </c>
      <c r="C34" s="20" t="s">
        <v>213</v>
      </c>
      <c r="D34" s="20" t="s">
        <v>40</v>
      </c>
      <c r="E34" s="20" t="s">
        <v>106</v>
      </c>
      <c r="F34" s="20" t="s">
        <v>212</v>
      </c>
      <c r="G34" s="20" t="s">
        <v>43</v>
      </c>
      <c r="H34" s="21">
        <v>44069.422361111108</v>
      </c>
      <c r="I34" s="23">
        <f>_xlfn.IFNA(VLOOKUP(A34,A35:$H$3523,8,0),"")</f>
        <v>44069.456550925926</v>
      </c>
      <c r="J34" s="40">
        <f>IF(B34="OFF",0,IF(AND(D34&lt;&gt;"",E34&lt;&gt;""),E34-D34+1,""))</f>
        <v>35</v>
      </c>
      <c r="K34" s="24">
        <f>IF(H34="","",IFERROR((I34-H34)*24,0))</f>
        <v>0.82055555563420057</v>
      </c>
      <c r="L34" s="25" t="str">
        <f>IF(K34="","",IF(B34="Break","Break",IF(K34&lt;&gt;0,"Work Finished",IF(B34="OFF","Work Finished",IF(I34="","Working","Work Finished")))))</f>
        <v>Work Finished</v>
      </c>
      <c r="M34" s="33">
        <v>3</v>
      </c>
      <c r="O34" s="33">
        <f t="shared" si="0"/>
        <v>32</v>
      </c>
      <c r="P34" s="33">
        <f t="shared" si="1"/>
        <v>10</v>
      </c>
      <c r="Q34" s="33" t="s">
        <v>53</v>
      </c>
    </row>
    <row r="35" spans="1:17">
      <c r="A35" s="20" t="s">
        <v>209</v>
      </c>
      <c r="B35" s="22" t="s">
        <v>38</v>
      </c>
      <c r="C35" s="20" t="s">
        <v>214</v>
      </c>
      <c r="D35" s="20" t="s">
        <v>40</v>
      </c>
      <c r="E35" s="20" t="s">
        <v>94</v>
      </c>
      <c r="F35" s="20" t="s">
        <v>120</v>
      </c>
      <c r="G35" s="20" t="s">
        <v>43</v>
      </c>
      <c r="H35" s="21">
        <v>44069.422685185185</v>
      </c>
      <c r="I35" s="23">
        <f>_xlfn.IFNA(VLOOKUP(A35,A36:$H$3523,8,0),"")</f>
        <v>44069.459236111114</v>
      </c>
      <c r="J35" s="40">
        <f>IF(B35="OFF",0,IF(AND(D35&lt;&gt;"",E35&lt;&gt;""),E35-D35+1,""))</f>
        <v>19</v>
      </c>
      <c r="K35" s="24">
        <f>IF(H35="","",IFERROR((I35-H35)*24,0))</f>
        <v>0.87722222227603197</v>
      </c>
      <c r="L35" s="25" t="str">
        <f>IF(K35="","",IF(B35="Break","Break",IF(K35&lt;&gt;0,"Work Finished",IF(B35="OFF","Work Finished",IF(I35="","Working","Work Finished")))))</f>
        <v>Work Finished</v>
      </c>
      <c r="O35" s="33">
        <f t="shared" si="0"/>
        <v>19</v>
      </c>
      <c r="P35" s="33">
        <f t="shared" si="1"/>
        <v>10</v>
      </c>
      <c r="Q35" s="33" t="s">
        <v>53</v>
      </c>
    </row>
    <row r="36" spans="1:17">
      <c r="A36" s="20" t="s">
        <v>207</v>
      </c>
      <c r="B36" s="22" t="s">
        <v>38</v>
      </c>
      <c r="C36" s="20" t="s">
        <v>215</v>
      </c>
      <c r="D36" s="20" t="s">
        <v>40</v>
      </c>
      <c r="E36" s="20" t="s">
        <v>60</v>
      </c>
      <c r="F36" s="20" t="s">
        <v>57</v>
      </c>
      <c r="G36" s="20" t="s">
        <v>52</v>
      </c>
      <c r="H36" s="21">
        <v>44069.422905092593</v>
      </c>
      <c r="I36" s="23">
        <f>_xlfn.IFNA(VLOOKUP(A36,A37:$H$3523,8,0),"")</f>
        <v>44069.443553240744</v>
      </c>
      <c r="J36" s="40">
        <f>IF(B36="OFF",0,IF(AND(D36&lt;&gt;"",E36&lt;&gt;""),E36-D36+1,""))</f>
        <v>17</v>
      </c>
      <c r="K36" s="24">
        <f>IF(H36="","",IFERROR((I36-H36)*24,0))</f>
        <v>0.49555555562255904</v>
      </c>
      <c r="L36" s="25" t="str">
        <f>IF(K36="","",IF(B36="Break","Break",IF(K36&lt;&gt;0,"Work Finished",IF(B36="OFF","Work Finished",IF(I36="","Working","Work Finished")))))</f>
        <v>Work Finished</v>
      </c>
      <c r="M36" s="33">
        <v>3</v>
      </c>
      <c r="O36" s="33">
        <f t="shared" si="0"/>
        <v>14</v>
      </c>
      <c r="P36" s="33">
        <f t="shared" si="1"/>
        <v>10</v>
      </c>
      <c r="Q36" s="33" t="s">
        <v>53</v>
      </c>
    </row>
    <row r="37" spans="1:17">
      <c r="A37" s="20" t="s">
        <v>64</v>
      </c>
      <c r="B37" s="22" t="s">
        <v>38</v>
      </c>
      <c r="C37" s="20" t="s">
        <v>216</v>
      </c>
      <c r="D37" s="20" t="s">
        <v>40</v>
      </c>
      <c r="E37" s="20" t="s">
        <v>63</v>
      </c>
      <c r="F37" s="20" t="s">
        <v>121</v>
      </c>
      <c r="G37" s="20" t="s">
        <v>52</v>
      </c>
      <c r="H37" s="21">
        <v>44069.42827546296</v>
      </c>
      <c r="I37" s="23">
        <f>_xlfn.IFNA(VLOOKUP(A37,A38:$H$3523,8,0),"")</f>
        <v>44069.474548611113</v>
      </c>
      <c r="J37" s="40">
        <f>IF(B37="OFF",0,IF(AND(D37&lt;&gt;"",E37&lt;&gt;""),E37-D37+1,""))</f>
        <v>18</v>
      </c>
      <c r="K37" s="24">
        <f>IF(H37="","",IFERROR((I37-H37)*24,0))</f>
        <v>1.1105555556714535</v>
      </c>
      <c r="L37" s="25" t="str">
        <f>IF(K37="","",IF(B37="Break","Break",IF(K37&lt;&gt;0,"Work Finished",IF(B37="OFF","Work Finished",IF(I37="","Working","Work Finished")))))</f>
        <v>Work Finished</v>
      </c>
      <c r="M37" s="33">
        <v>3</v>
      </c>
      <c r="O37" s="33">
        <f t="shared" si="0"/>
        <v>15</v>
      </c>
      <c r="P37" s="33">
        <f t="shared" si="1"/>
        <v>10</v>
      </c>
      <c r="Q37" s="33" t="s">
        <v>53</v>
      </c>
    </row>
    <row r="38" spans="1:17">
      <c r="A38" s="20" t="s">
        <v>200</v>
      </c>
      <c r="B38" s="22" t="s">
        <v>38</v>
      </c>
      <c r="C38" s="20" t="s">
        <v>217</v>
      </c>
      <c r="D38" s="20" t="s">
        <v>40</v>
      </c>
      <c r="E38" s="20" t="s">
        <v>105</v>
      </c>
      <c r="F38" s="20" t="s">
        <v>51</v>
      </c>
      <c r="G38" s="20" t="s">
        <v>52</v>
      </c>
      <c r="H38" s="21">
        <v>44069.436956018515</v>
      </c>
      <c r="I38" s="23">
        <f>_xlfn.IFNA(VLOOKUP(A38,A39:$H$3523,8,0),"")</f>
        <v>44069.451192129629</v>
      </c>
      <c r="J38" s="40">
        <f>IF(B38="OFF",0,IF(AND(D38&lt;&gt;"",E38&lt;&gt;""),E38-D38+1,""))</f>
        <v>15</v>
      </c>
      <c r="K38" s="24">
        <f>IF(H38="","",IFERROR((I38-H38)*24,0))</f>
        <v>0.34166666673263535</v>
      </c>
      <c r="L38" s="25" t="str">
        <f>IF(K38="","",IF(B38="Break","Break",IF(K38&lt;&gt;0,"Work Finished",IF(B38="OFF","Work Finished",IF(I38="","Working","Work Finished")))))</f>
        <v>Work Finished</v>
      </c>
      <c r="M38" s="33">
        <v>1</v>
      </c>
      <c r="O38" s="33">
        <f t="shared" si="0"/>
        <v>14</v>
      </c>
      <c r="P38" s="33">
        <f t="shared" si="1"/>
        <v>10</v>
      </c>
      <c r="Q38" s="33" t="s">
        <v>53</v>
      </c>
    </row>
    <row r="39" spans="1:17">
      <c r="A39" s="20" t="s">
        <v>58</v>
      </c>
      <c r="B39" s="22" t="s">
        <v>38</v>
      </c>
      <c r="C39" s="20" t="s">
        <v>218</v>
      </c>
      <c r="D39" s="20" t="s">
        <v>40</v>
      </c>
      <c r="E39" s="20" t="s">
        <v>105</v>
      </c>
      <c r="F39" s="20" t="s">
        <v>57</v>
      </c>
      <c r="G39" s="20" t="s">
        <v>52</v>
      </c>
      <c r="H39" s="21">
        <v>44069.442696759259</v>
      </c>
      <c r="I39" s="23">
        <f>_xlfn.IFNA(VLOOKUP(A39,A40:$H$3523,8,0),"")</f>
        <v>44069.456018518518</v>
      </c>
      <c r="J39" s="40">
        <f>IF(B39="OFF",0,IF(AND(D39&lt;&gt;"",E39&lt;&gt;""),E39-D39+1,""))</f>
        <v>15</v>
      </c>
      <c r="K39" s="24">
        <f>IF(H39="","",IFERROR((I39-H39)*24,0))</f>
        <v>0.31972222222248092</v>
      </c>
      <c r="L39" s="25" t="str">
        <f>IF(K39="","",IF(B39="Break","Break",IF(K39&lt;&gt;0,"Work Finished",IF(B39="OFF","Work Finished",IF(I39="","Working","Work Finished")))))</f>
        <v>Work Finished</v>
      </c>
      <c r="M39" s="33">
        <v>1</v>
      </c>
      <c r="O39" s="33">
        <f t="shared" si="0"/>
        <v>14</v>
      </c>
      <c r="P39" s="33">
        <f t="shared" si="1"/>
        <v>10</v>
      </c>
      <c r="Q39" s="33" t="s">
        <v>53</v>
      </c>
    </row>
    <row r="40" spans="1:17">
      <c r="A40" s="20" t="s">
        <v>207</v>
      </c>
      <c r="B40" s="22" t="s">
        <v>38</v>
      </c>
      <c r="C40" s="20" t="s">
        <v>219</v>
      </c>
      <c r="D40" s="20" t="s">
        <v>40</v>
      </c>
      <c r="E40" s="20" t="s">
        <v>86</v>
      </c>
      <c r="F40" s="20" t="s">
        <v>57</v>
      </c>
      <c r="G40" s="20" t="s">
        <v>52</v>
      </c>
      <c r="H40" s="21">
        <v>44069.443553240744</v>
      </c>
      <c r="I40" s="23">
        <f>_xlfn.IFNA(VLOOKUP(A40,A41:$H$3523,8,0),"")</f>
        <v>44069.459664351853</v>
      </c>
      <c r="J40" s="40">
        <f>IF(B40="OFF",0,IF(AND(D40&lt;&gt;"",E40&lt;&gt;""),E40-D40+1,""))</f>
        <v>12</v>
      </c>
      <c r="K40" s="24">
        <f>IF(H40="","",IFERROR((I40-H40)*24,0))</f>
        <v>0.38666666659992188</v>
      </c>
      <c r="L40" s="25" t="str">
        <f>IF(K40="","",IF(B40="Break","Break",IF(K40&lt;&gt;0,"Work Finished",IF(B40="OFF","Work Finished",IF(I40="","Working","Work Finished")))))</f>
        <v>Work Finished</v>
      </c>
      <c r="M40" s="33">
        <v>2</v>
      </c>
      <c r="O40" s="33">
        <f t="shared" si="0"/>
        <v>10</v>
      </c>
      <c r="P40" s="33">
        <f t="shared" si="1"/>
        <v>10</v>
      </c>
      <c r="Q40" s="33" t="s">
        <v>53</v>
      </c>
    </row>
    <row r="41" spans="1:17">
      <c r="A41" s="20" t="s">
        <v>200</v>
      </c>
      <c r="B41" s="22" t="s">
        <v>38</v>
      </c>
      <c r="C41" s="20" t="s">
        <v>220</v>
      </c>
      <c r="D41" s="20" t="s">
        <v>40</v>
      </c>
      <c r="E41" s="20" t="s">
        <v>88</v>
      </c>
      <c r="F41" s="20" t="s">
        <v>57</v>
      </c>
      <c r="G41" s="20" t="s">
        <v>52</v>
      </c>
      <c r="H41" s="21">
        <v>44069.451192129629</v>
      </c>
      <c r="I41" s="23">
        <f>_xlfn.IFNA(VLOOKUP(A41,A42:$H$3523,8,0),"")</f>
        <v>44069.468391203707</v>
      </c>
      <c r="J41" s="40">
        <f>IF(B41="OFF",0,IF(AND(D41&lt;&gt;"",E41&lt;&gt;""),E41-D41+1,""))</f>
        <v>16</v>
      </c>
      <c r="K41" s="24">
        <f>IF(H41="","",IFERROR((I41-H41)*24,0))</f>
        <v>0.41277777787763625</v>
      </c>
      <c r="L41" s="25" t="str">
        <f>IF(K41="","",IF(B41="Break","Break",IF(K41&lt;&gt;0,"Work Finished",IF(B41="OFF","Work Finished",IF(I41="","Working","Work Finished")))))</f>
        <v>Work Finished</v>
      </c>
      <c r="O41" s="33">
        <f t="shared" si="0"/>
        <v>16</v>
      </c>
      <c r="P41" s="33">
        <f t="shared" si="1"/>
        <v>10</v>
      </c>
      <c r="Q41" s="33" t="s">
        <v>53</v>
      </c>
    </row>
    <row r="42" spans="1:17">
      <c r="A42" s="20" t="s">
        <v>37</v>
      </c>
      <c r="B42" s="22" t="s">
        <v>38</v>
      </c>
      <c r="C42" s="20" t="s">
        <v>221</v>
      </c>
      <c r="D42" s="20" t="s">
        <v>40</v>
      </c>
      <c r="E42" s="20" t="s">
        <v>104</v>
      </c>
      <c r="F42" s="20" t="s">
        <v>51</v>
      </c>
      <c r="G42" s="20" t="s">
        <v>52</v>
      </c>
      <c r="H42" s="21">
        <v>44069.451689814814</v>
      </c>
      <c r="I42" s="23">
        <f>_xlfn.IFNA(VLOOKUP(A42,A43:$H$3523,8,0),"")</f>
        <v>44069.47550925926</v>
      </c>
      <c r="J42" s="40">
        <f>IF(B42="OFF",0,IF(AND(D42&lt;&gt;"",E42&lt;&gt;""),E42-D42+1,""))</f>
        <v>13</v>
      </c>
      <c r="K42" s="24">
        <f>IF(H42="","",IFERROR((I42-H42)*24,0))</f>
        <v>0.5716666667140089</v>
      </c>
      <c r="L42" s="25" t="str">
        <f>IF(K42="","",IF(B42="Break","Break",IF(K42&lt;&gt;0,"Work Finished",IF(B42="OFF","Work Finished",IF(I42="","Working","Work Finished")))))</f>
        <v>Work Finished</v>
      </c>
      <c r="M42" s="33">
        <v>1</v>
      </c>
      <c r="O42" s="33">
        <f t="shared" si="0"/>
        <v>12</v>
      </c>
      <c r="P42" s="33">
        <f t="shared" si="1"/>
        <v>10</v>
      </c>
      <c r="Q42" s="33" t="s">
        <v>53</v>
      </c>
    </row>
    <row r="43" spans="1:17">
      <c r="A43" s="20" t="s">
        <v>48</v>
      </c>
      <c r="B43" s="22" t="s">
        <v>38</v>
      </c>
      <c r="C43" s="20" t="s">
        <v>222</v>
      </c>
      <c r="D43" s="20" t="s">
        <v>40</v>
      </c>
      <c r="E43" s="20" t="s">
        <v>126</v>
      </c>
      <c r="F43" s="20" t="s">
        <v>57</v>
      </c>
      <c r="G43" s="20" t="s">
        <v>52</v>
      </c>
      <c r="H43" s="21">
        <v>44069.452002314814</v>
      </c>
      <c r="I43" s="23">
        <f>_xlfn.IFNA(VLOOKUP(A43,A44:$H$3523,8,0),"")</f>
        <v>44069.490381944444</v>
      </c>
      <c r="J43" s="40">
        <f>IF(B43="OFF",0,IF(AND(D43&lt;&gt;"",E43&lt;&gt;""),E43-D43+1,""))</f>
        <v>29</v>
      </c>
      <c r="K43" s="24">
        <f>IF(H43="","",IFERROR((I43-H43)*24,0))</f>
        <v>0.92111111112171784</v>
      </c>
      <c r="L43" s="25" t="str">
        <f>IF(K43="","",IF(B43="Break","Break",IF(K43&lt;&gt;0,"Work Finished",IF(B43="OFF","Work Finished",IF(I43="","Working","Work Finished")))))</f>
        <v>Work Finished</v>
      </c>
      <c r="M43" s="33">
        <v>5</v>
      </c>
      <c r="O43" s="33">
        <f t="shared" si="0"/>
        <v>24</v>
      </c>
      <c r="P43" s="33">
        <f t="shared" si="1"/>
        <v>10</v>
      </c>
      <c r="Q43" s="33" t="s">
        <v>53</v>
      </c>
    </row>
    <row r="44" spans="1:17">
      <c r="A44" s="20" t="s">
        <v>58</v>
      </c>
      <c r="B44" s="22" t="s">
        <v>38</v>
      </c>
      <c r="C44" s="20" t="s">
        <v>223</v>
      </c>
      <c r="D44" s="20" t="s">
        <v>40</v>
      </c>
      <c r="E44" s="20" t="s">
        <v>86</v>
      </c>
      <c r="F44" s="20" t="s">
        <v>57</v>
      </c>
      <c r="G44" s="20" t="s">
        <v>52</v>
      </c>
      <c r="H44" s="21">
        <v>44069.456018518518</v>
      </c>
      <c r="I44" s="23">
        <f>_xlfn.IFNA(VLOOKUP(A44,A45:$H$3523,8,0),"")</f>
        <v>44069.472812499997</v>
      </c>
      <c r="J44" s="40">
        <f>IF(B44="OFF",0,IF(AND(D44&lt;&gt;"",E44&lt;&gt;""),E44-D44+1,""))</f>
        <v>12</v>
      </c>
      <c r="K44" s="24">
        <f>IF(H44="","",IFERROR((I44-H44)*24,0))</f>
        <v>0.40305555547820404</v>
      </c>
      <c r="L44" s="25" t="str">
        <f>IF(K44="","",IF(B44="Break","Break",IF(K44&lt;&gt;0,"Work Finished",IF(B44="OFF","Work Finished",IF(I44="","Working","Work Finished")))))</f>
        <v>Work Finished</v>
      </c>
      <c r="M44" s="33">
        <v>1</v>
      </c>
      <c r="O44" s="33">
        <f t="shared" si="0"/>
        <v>11</v>
      </c>
      <c r="P44" s="33">
        <f t="shared" si="1"/>
        <v>10</v>
      </c>
      <c r="Q44" s="33" t="s">
        <v>53</v>
      </c>
    </row>
    <row r="45" spans="1:17">
      <c r="A45" s="20" t="s">
        <v>54</v>
      </c>
      <c r="B45" s="22" t="s">
        <v>38</v>
      </c>
      <c r="C45" s="20" t="s">
        <v>224</v>
      </c>
      <c r="D45" s="20" t="s">
        <v>40</v>
      </c>
      <c r="E45" s="20" t="s">
        <v>95</v>
      </c>
      <c r="F45" s="20" t="s">
        <v>57</v>
      </c>
      <c r="G45" s="20" t="s">
        <v>52</v>
      </c>
      <c r="H45" s="21">
        <v>44069.456550925926</v>
      </c>
      <c r="I45" s="23">
        <f>_xlfn.IFNA(VLOOKUP(A45,A46:$H$3523,8,0),"")</f>
        <v>44069.487858796296</v>
      </c>
      <c r="J45" s="40">
        <f>IF(B45="OFF",0,IF(AND(D45&lt;&gt;"",E45&lt;&gt;""),E45-D45+1,""))</f>
        <v>23</v>
      </c>
      <c r="K45" s="24">
        <f>IF(H45="","",IFERROR((I45-H45)*24,0))</f>
        <v>0.75138888886431232</v>
      </c>
      <c r="L45" s="25" t="str">
        <f>IF(K45="","",IF(B45="Break","Break",IF(K45&lt;&gt;0,"Work Finished",IF(B45="OFF","Work Finished",IF(I45="","Working","Work Finished")))))</f>
        <v>Work Finished</v>
      </c>
      <c r="M45" s="33">
        <v>4</v>
      </c>
      <c r="O45" s="33">
        <f t="shared" si="0"/>
        <v>19</v>
      </c>
      <c r="P45" s="33">
        <f t="shared" si="1"/>
        <v>10</v>
      </c>
      <c r="Q45" s="33" t="s">
        <v>53</v>
      </c>
    </row>
    <row r="46" spans="1:17">
      <c r="A46" s="20" t="s">
        <v>61</v>
      </c>
      <c r="B46" s="22" t="s">
        <v>38</v>
      </c>
      <c r="C46" s="20" t="s">
        <v>225</v>
      </c>
      <c r="D46" s="20" t="s">
        <v>40</v>
      </c>
      <c r="E46" s="20" t="s">
        <v>102</v>
      </c>
      <c r="F46" s="20" t="s">
        <v>108</v>
      </c>
      <c r="G46" s="20" t="s">
        <v>52</v>
      </c>
      <c r="H46" s="21">
        <v>44069.457615740743</v>
      </c>
      <c r="I46" s="23">
        <f>_xlfn.IFNA(VLOOKUP(A46,A47:$H$3523,8,0),"")</f>
        <v>44069.502245370371</v>
      </c>
      <c r="J46" s="40">
        <f>IF(B46="OFF",0,IF(AND(D46&lt;&gt;"",E46&lt;&gt;""),E46-D46+1,""))</f>
        <v>14</v>
      </c>
      <c r="K46" s="24">
        <f>IF(H46="","",IFERROR((I46-H46)*24,0))</f>
        <v>1.0711111110867932</v>
      </c>
      <c r="L46" s="25" t="str">
        <f>IF(K46="","",IF(B46="Break","Break",IF(K46&lt;&gt;0,"Work Finished",IF(B46="OFF","Work Finished",IF(I46="","Working","Work Finished")))))</f>
        <v>Work Finished</v>
      </c>
      <c r="O46" s="33">
        <f t="shared" si="0"/>
        <v>14</v>
      </c>
      <c r="P46" s="33">
        <f t="shared" si="1"/>
        <v>10</v>
      </c>
      <c r="Q46" s="33" t="s">
        <v>53</v>
      </c>
    </row>
    <row r="47" spans="1:17">
      <c r="A47" s="20" t="s">
        <v>209</v>
      </c>
      <c r="B47" s="22" t="s">
        <v>81</v>
      </c>
      <c r="H47" s="21">
        <v>44069.459236111114</v>
      </c>
      <c r="I47" s="23">
        <f>_xlfn.IFNA(VLOOKUP(A47,A48:$H$3523,8,0),"")</f>
        <v>44069.471550925926</v>
      </c>
      <c r="J47" s="40">
        <f>IF(B47="OFF",0,IF(AND(D47&lt;&gt;"",E47&lt;&gt;""),E47-D47+1,""))</f>
        <v>0</v>
      </c>
      <c r="K47" s="24">
        <f>IF(H47="","",IFERROR((I47-H47)*24,0))</f>
        <v>0.29555555549450219</v>
      </c>
      <c r="L47" s="25" t="str">
        <f>IF(K47="","",IF(B47="Break","Break",IF(K47&lt;&gt;0,"Work Finished",IF(B47="OFF","Work Finished",IF(I47="","Working","Work Finished")))))</f>
        <v>Work Finished</v>
      </c>
      <c r="O47" s="33">
        <f t="shared" si="0"/>
        <v>0</v>
      </c>
      <c r="P47" s="33">
        <f t="shared" si="1"/>
        <v>11</v>
      </c>
    </row>
    <row r="48" spans="1:17">
      <c r="A48" s="20" t="s">
        <v>207</v>
      </c>
      <c r="B48" s="22" t="s">
        <v>81</v>
      </c>
      <c r="H48" s="21">
        <v>44069.459664351853</v>
      </c>
      <c r="I48" s="23">
        <f>_xlfn.IFNA(VLOOKUP(A48,A49:$H$3523,8,0),"")</f>
        <v>44069.472928240742</v>
      </c>
      <c r="J48" s="40">
        <f>IF(B48="OFF",0,IF(AND(D48&lt;&gt;"",E48&lt;&gt;""),E48-D48+1,""))</f>
        <v>0</v>
      </c>
      <c r="K48" s="24">
        <f>IF(H48="","",IFERROR((I48-H48)*24,0))</f>
        <v>0.3183333333581686</v>
      </c>
      <c r="L48" s="25" t="str">
        <f>IF(K48="","",IF(B48="Break","Break",IF(K48&lt;&gt;0,"Work Finished",IF(B48="OFF","Work Finished",IF(I48="","Working","Work Finished")))))</f>
        <v>Work Finished</v>
      </c>
      <c r="O48" s="33">
        <f t="shared" si="0"/>
        <v>0</v>
      </c>
      <c r="P48" s="33">
        <f t="shared" si="1"/>
        <v>11</v>
      </c>
    </row>
    <row r="49" spans="1:17">
      <c r="A49" s="20" t="s">
        <v>200</v>
      </c>
      <c r="B49" s="22" t="s">
        <v>38</v>
      </c>
      <c r="C49" s="20" t="s">
        <v>227</v>
      </c>
      <c r="D49" s="20" t="s">
        <v>40</v>
      </c>
      <c r="E49" s="20" t="s">
        <v>98</v>
      </c>
      <c r="F49" s="20" t="s">
        <v>134</v>
      </c>
      <c r="G49" s="20" t="s">
        <v>43</v>
      </c>
      <c r="H49" s="21">
        <v>44069.468391203707</v>
      </c>
      <c r="I49" s="23">
        <f>_xlfn.IFNA(VLOOKUP(A49,A50:$H$3523,8,0),"")</f>
        <v>44069.48510416667</v>
      </c>
      <c r="J49" s="40">
        <f>IF(B49="OFF",0,IF(AND(D49&lt;&gt;"",E49&lt;&gt;""),E49-D49+1,""))</f>
        <v>20</v>
      </c>
      <c r="K49" s="24">
        <f>IF(H49="","",IFERROR((I49-H49)*24,0))</f>
        <v>0.40111111110309139</v>
      </c>
      <c r="L49" s="25" t="str">
        <f>IF(K49="","",IF(B49="Break","Break",IF(K49&lt;&gt;0,"Work Finished",IF(B49="OFF","Work Finished",IF(I49="","Working","Work Finished")))))</f>
        <v>Work Finished</v>
      </c>
      <c r="M49" s="33">
        <v>0</v>
      </c>
      <c r="O49" s="33">
        <f t="shared" si="0"/>
        <v>20</v>
      </c>
      <c r="P49" s="33">
        <f t="shared" si="1"/>
        <v>11</v>
      </c>
      <c r="Q49" s="33" t="s">
        <v>53</v>
      </c>
    </row>
    <row r="50" spans="1:17">
      <c r="A50" s="20" t="s">
        <v>209</v>
      </c>
      <c r="B50" s="22" t="s">
        <v>38</v>
      </c>
      <c r="C50" s="20" t="s">
        <v>227</v>
      </c>
      <c r="D50" s="20" t="s">
        <v>56</v>
      </c>
      <c r="E50" s="20" t="s">
        <v>129</v>
      </c>
      <c r="F50" s="20" t="s">
        <v>134</v>
      </c>
      <c r="G50" s="20" t="s">
        <v>43</v>
      </c>
      <c r="H50" s="21">
        <v>44069.471550925926</v>
      </c>
      <c r="I50" s="23">
        <f>_xlfn.IFNA(VLOOKUP(A50,A51:$H$3523,8,0),"")</f>
        <v>44069.495983796296</v>
      </c>
      <c r="J50" s="40">
        <f>IF(B50="OFF",0,IF(AND(D50&lt;&gt;"",E50&lt;&gt;""),E50-D50+1,""))</f>
        <v>22</v>
      </c>
      <c r="K50" s="24">
        <f>IF(H50="","",IFERROR((I50-H50)*24,0))</f>
        <v>0.58638888888526708</v>
      </c>
      <c r="L50" s="25" t="str">
        <f>IF(K50="","",IF(B50="Break","Break",IF(K50&lt;&gt;0,"Work Finished",IF(B50="OFF","Work Finished",IF(I50="","Working","Work Finished")))))</f>
        <v>Work Finished</v>
      </c>
      <c r="M50" s="33">
        <v>1</v>
      </c>
      <c r="O50" s="33">
        <f t="shared" si="0"/>
        <v>21</v>
      </c>
      <c r="P50" s="33">
        <f t="shared" si="1"/>
        <v>11</v>
      </c>
      <c r="Q50" s="33" t="s">
        <v>80</v>
      </c>
    </row>
    <row r="51" spans="1:17">
      <c r="A51" s="20" t="s">
        <v>58</v>
      </c>
      <c r="B51" s="22" t="s">
        <v>81</v>
      </c>
      <c r="H51" s="21">
        <v>44069.472812499997</v>
      </c>
      <c r="I51" s="23" t="str">
        <f>_xlfn.IFNA(VLOOKUP(A51,A52:$H$3523,8,0),"")</f>
        <v/>
      </c>
      <c r="J51" s="40">
        <f>IF(B51="OFF",0,IF(AND(D51&lt;&gt;"",E51&lt;&gt;""),E51-D51+1,""))</f>
        <v>0</v>
      </c>
      <c r="K51" s="24">
        <f>IF(H51="","",IFERROR((I51-H51)*24,0))</f>
        <v>0</v>
      </c>
      <c r="L51" s="25" t="str">
        <f>IF(K51="","",IF(B51="Break","Break",IF(K51&lt;&gt;0,"Work Finished",IF(B51="OFF","Work Finished",IF(I51="","Working","Work Finished")))))</f>
        <v>Work Finished</v>
      </c>
      <c r="M51" s="33">
        <v>2</v>
      </c>
      <c r="O51" s="33">
        <f t="shared" si="0"/>
        <v>-2</v>
      </c>
      <c r="P51" s="33">
        <f t="shared" si="1"/>
        <v>11</v>
      </c>
      <c r="Q51" s="33" t="s">
        <v>80</v>
      </c>
    </row>
    <row r="52" spans="1:17">
      <c r="A52" s="20" t="s">
        <v>207</v>
      </c>
      <c r="B52" s="22" t="s">
        <v>38</v>
      </c>
      <c r="C52" s="20" t="s">
        <v>228</v>
      </c>
      <c r="D52" s="20" t="s">
        <v>40</v>
      </c>
      <c r="E52" s="20" t="s">
        <v>98</v>
      </c>
      <c r="F52" s="20" t="s">
        <v>229</v>
      </c>
      <c r="G52" s="20" t="s">
        <v>43</v>
      </c>
      <c r="H52" s="21">
        <v>44069.472928240742</v>
      </c>
      <c r="I52" s="23">
        <f>_xlfn.IFNA(VLOOKUP(A52,A53:$H$3523,8,0),"")</f>
        <v>44069.502789351849</v>
      </c>
      <c r="J52" s="40">
        <f>IF(B52="OFF",0,IF(AND(D52&lt;&gt;"",E52&lt;&gt;""),E52-D52+1,""))</f>
        <v>20</v>
      </c>
      <c r="K52" s="24">
        <f>IF(H52="","",IFERROR((I52-H52)*24,0))</f>
        <v>0.71666666655801237</v>
      </c>
      <c r="L52" s="25" t="str">
        <f>IF(K52="","",IF(B52="Break","Break",IF(K52&lt;&gt;0,"Work Finished",IF(B52="OFF","Work Finished",IF(I52="","Working","Work Finished")))))</f>
        <v>Work Finished</v>
      </c>
      <c r="O52" s="33">
        <f t="shared" si="0"/>
        <v>20</v>
      </c>
      <c r="P52" s="33">
        <f t="shared" si="1"/>
        <v>11</v>
      </c>
    </row>
    <row r="53" spans="1:17">
      <c r="A53" s="20" t="s">
        <v>64</v>
      </c>
      <c r="B53" s="22" t="s">
        <v>38</v>
      </c>
      <c r="C53" s="20" t="s">
        <v>226</v>
      </c>
      <c r="D53" s="20" t="s">
        <v>40</v>
      </c>
      <c r="E53" s="20" t="s">
        <v>78</v>
      </c>
      <c r="F53" s="20" t="s">
        <v>102</v>
      </c>
      <c r="G53" s="20" t="s">
        <v>43</v>
      </c>
      <c r="H53" s="21">
        <v>44069.474548611113</v>
      </c>
      <c r="I53" s="23">
        <f>_xlfn.IFNA(VLOOKUP(A53,A54:$H$3523,8,0),"")</f>
        <v>44069.474664351852</v>
      </c>
      <c r="J53" s="40">
        <f>IF(B53="OFF",0,IF(AND(D53&lt;&gt;"",E53&lt;&gt;""),E53-D53+1,""))</f>
        <v>7</v>
      </c>
      <c r="K53" s="24">
        <f>IF(H53="","",IFERROR((I53-H53)*24,0))</f>
        <v>2.7777777286246419E-3</v>
      </c>
      <c r="L53" s="25" t="str">
        <f>IF(K53="","",IF(B53="Break","Break",IF(K53&lt;&gt;0,"Work Finished",IF(B53="OFF","Work Finished",IF(I53="","Working","Work Finished")))))</f>
        <v>Work Finished</v>
      </c>
      <c r="M53" s="33">
        <v>0</v>
      </c>
      <c r="O53" s="33">
        <f t="shared" si="0"/>
        <v>7</v>
      </c>
      <c r="P53" s="33">
        <f t="shared" si="1"/>
        <v>11</v>
      </c>
      <c r="Q53" s="33" t="s">
        <v>80</v>
      </c>
    </row>
    <row r="54" spans="1:17">
      <c r="A54" s="20" t="s">
        <v>64</v>
      </c>
      <c r="B54" s="22" t="s">
        <v>38</v>
      </c>
      <c r="C54" s="20" t="s">
        <v>228</v>
      </c>
      <c r="D54" s="20" t="s">
        <v>56</v>
      </c>
      <c r="E54" s="20" t="s">
        <v>127</v>
      </c>
      <c r="F54" s="20" t="s">
        <v>229</v>
      </c>
      <c r="G54" s="20" t="s">
        <v>43</v>
      </c>
      <c r="H54" s="21">
        <v>44069.474664351852</v>
      </c>
      <c r="I54" s="23">
        <f>_xlfn.IFNA(VLOOKUP(A54,A55:$H$3523,8,0),"")</f>
        <v>44069.498703703706</v>
      </c>
      <c r="J54" s="40">
        <f>IF(B54="OFF",0,IF(AND(D54&lt;&gt;"",E54&lt;&gt;""),E54-D54+1,""))</f>
        <v>21</v>
      </c>
      <c r="K54" s="24">
        <f>IF(H54="","",IFERROR((I54-H54)*24,0))</f>
        <v>0.57694444450316951</v>
      </c>
      <c r="L54" s="25" t="str">
        <f>IF(K54="","",IF(B54="Break","Break",IF(K54&lt;&gt;0,"Work Finished",IF(B54="OFF","Work Finished",IF(I54="","Working","Work Finished")))))</f>
        <v>Work Finished</v>
      </c>
      <c r="M54" s="33">
        <v>1</v>
      </c>
      <c r="O54" s="33">
        <f t="shared" si="0"/>
        <v>20</v>
      </c>
      <c r="P54" s="33">
        <f t="shared" si="1"/>
        <v>11</v>
      </c>
      <c r="Q54" s="33" t="s">
        <v>80</v>
      </c>
    </row>
    <row r="55" spans="1:17">
      <c r="A55" s="20" t="s">
        <v>37</v>
      </c>
      <c r="B55" s="22" t="s">
        <v>38</v>
      </c>
      <c r="C55" s="20" t="s">
        <v>230</v>
      </c>
      <c r="D55" s="20" t="s">
        <v>40</v>
      </c>
      <c r="E55" s="20" t="s">
        <v>92</v>
      </c>
      <c r="F55" s="20" t="s">
        <v>121</v>
      </c>
      <c r="G55" s="20" t="s">
        <v>43</v>
      </c>
      <c r="H55" s="21">
        <v>44069.47550925926</v>
      </c>
      <c r="I55" s="23">
        <f>_xlfn.IFNA(VLOOKUP(A55,A56:$H$3523,8,0),"")</f>
        <v>44069.489583333336</v>
      </c>
      <c r="J55" s="40">
        <f>IF(B55="OFF",0,IF(AND(D55&lt;&gt;"",E55&lt;&gt;""),E55-D55+1,""))</f>
        <v>11</v>
      </c>
      <c r="K55" s="24">
        <f>IF(H55="","",IFERROR((I55-H55)*24,0))</f>
        <v>0.33777777780778706</v>
      </c>
      <c r="L55" s="25" t="str">
        <f>IF(K55="","",IF(B55="Break","Break",IF(K55&lt;&gt;0,"Work Finished",IF(B55="OFF","Work Finished",IF(I55="","Working","Work Finished")))))</f>
        <v>Work Finished</v>
      </c>
      <c r="M55" s="33">
        <v>1</v>
      </c>
      <c r="O55" s="33">
        <f t="shared" ref="O55:O118" si="2">IF(AND(J55="",M55="",N55=""),"",J55-M55-N55)</f>
        <v>10</v>
      </c>
      <c r="P55" s="33">
        <f t="shared" ref="P55:P118" si="3">IF(HOUR(H55)=0,"",HOUR(H55))</f>
        <v>11</v>
      </c>
      <c r="Q55" s="33" t="s">
        <v>80</v>
      </c>
    </row>
    <row r="56" spans="1:17">
      <c r="A56" s="20" t="s">
        <v>200</v>
      </c>
      <c r="B56" s="22" t="s">
        <v>38</v>
      </c>
      <c r="C56" s="20" t="s">
        <v>231</v>
      </c>
      <c r="D56" s="20" t="s">
        <v>40</v>
      </c>
      <c r="E56" s="20" t="s">
        <v>50</v>
      </c>
      <c r="F56" s="20" t="s">
        <v>118</v>
      </c>
      <c r="G56" s="20" t="s">
        <v>52</v>
      </c>
      <c r="H56" s="21">
        <v>44069.48510416667</v>
      </c>
      <c r="I56" s="23">
        <f>_xlfn.IFNA(VLOOKUP(A56,A57:$H$3523,8,0),"")</f>
        <v>44069.512708333335</v>
      </c>
      <c r="J56" s="40">
        <f>IF(B56="OFF",0,IF(AND(D56&lt;&gt;"",E56&lt;&gt;""),E56-D56+1,""))</f>
        <v>10</v>
      </c>
      <c r="K56" s="24">
        <f>IF(H56="","",IFERROR((I56-H56)*24,0))</f>
        <v>0.66249999997671694</v>
      </c>
      <c r="L56" s="25" t="str">
        <f>IF(K56="","",IF(B56="Break","Break",IF(K56&lt;&gt;0,"Work Finished",IF(B56="OFF","Work Finished",IF(I56="","Working","Work Finished")))))</f>
        <v>Work Finished</v>
      </c>
      <c r="M56" s="33">
        <v>1</v>
      </c>
      <c r="O56" s="33">
        <f t="shared" si="2"/>
        <v>9</v>
      </c>
      <c r="P56" s="33">
        <f t="shared" si="3"/>
        <v>11</v>
      </c>
      <c r="Q56" s="33" t="s">
        <v>80</v>
      </c>
    </row>
    <row r="57" spans="1:17">
      <c r="A57" s="20" t="s">
        <v>54</v>
      </c>
      <c r="B57" s="22" t="s">
        <v>38</v>
      </c>
      <c r="C57" s="20" t="s">
        <v>232</v>
      </c>
      <c r="D57" s="20" t="s">
        <v>40</v>
      </c>
      <c r="E57" s="20" t="s">
        <v>70</v>
      </c>
      <c r="F57" s="20" t="s">
        <v>105</v>
      </c>
      <c r="G57" s="20" t="s">
        <v>52</v>
      </c>
      <c r="H57" s="21">
        <v>44069.487858796296</v>
      </c>
      <c r="I57" s="23">
        <f>_xlfn.IFNA(VLOOKUP(A57,A58:$H$3523,8,0),"")</f>
        <v>44069.497800925928</v>
      </c>
      <c r="J57" s="40">
        <f>IF(B57="OFF",0,IF(AND(D57&lt;&gt;"",E57&lt;&gt;""),E57-D57+1,""))</f>
        <v>2</v>
      </c>
      <c r="K57" s="24">
        <f>IF(H57="","",IFERROR((I57-H57)*24,0))</f>
        <v>0.23861111118458211</v>
      </c>
      <c r="L57" s="25" t="str">
        <f>IF(K57="","",IF(B57="Break","Break",IF(K57&lt;&gt;0,"Work Finished",IF(B57="OFF","Work Finished",IF(I57="","Working","Work Finished")))))</f>
        <v>Work Finished</v>
      </c>
      <c r="M57" s="33">
        <v>0</v>
      </c>
      <c r="O57" s="33">
        <f t="shared" si="2"/>
        <v>2</v>
      </c>
      <c r="P57" s="33">
        <f t="shared" si="3"/>
        <v>11</v>
      </c>
      <c r="Q57" s="33" t="s">
        <v>80</v>
      </c>
    </row>
    <row r="58" spans="1:17">
      <c r="A58" s="20" t="s">
        <v>37</v>
      </c>
      <c r="B58" s="22" t="s">
        <v>38</v>
      </c>
      <c r="C58" s="20" t="s">
        <v>233</v>
      </c>
      <c r="D58" s="20" t="s">
        <v>40</v>
      </c>
      <c r="E58" s="20" t="s">
        <v>40</v>
      </c>
      <c r="F58" s="20" t="s">
        <v>71</v>
      </c>
      <c r="G58" s="20" t="s">
        <v>43</v>
      </c>
      <c r="H58" s="21">
        <v>44069.489583333336</v>
      </c>
      <c r="I58" s="23">
        <f>_xlfn.IFNA(VLOOKUP(A58,A59:$H$3523,8,0),"")</f>
        <v>44069.496377314812</v>
      </c>
      <c r="J58" s="40">
        <f>IF(B58="OFF",0,IF(AND(D58&lt;&gt;"",E58&lt;&gt;""),E58-D58+1,""))</f>
        <v>1</v>
      </c>
      <c r="K58" s="24">
        <f>IF(H58="","",IFERROR((I58-H58)*24,0))</f>
        <v>0.16305555542930961</v>
      </c>
      <c r="L58" s="25" t="str">
        <f>IF(K58="","",IF(B58="Break","Break",IF(K58&lt;&gt;0,"Work Finished",IF(B58="OFF","Work Finished",IF(I58="","Working","Work Finished")))))</f>
        <v>Work Finished</v>
      </c>
      <c r="O58" s="33">
        <f t="shared" si="2"/>
        <v>1</v>
      </c>
      <c r="P58" s="33">
        <f t="shared" si="3"/>
        <v>11</v>
      </c>
      <c r="Q58" s="33" t="s">
        <v>53</v>
      </c>
    </row>
    <row r="59" spans="1:17">
      <c r="A59" s="20" t="s">
        <v>48</v>
      </c>
      <c r="B59" s="22" t="s">
        <v>38</v>
      </c>
      <c r="C59" s="20" t="s">
        <v>234</v>
      </c>
      <c r="D59" s="20" t="s">
        <v>40</v>
      </c>
      <c r="E59" s="20" t="s">
        <v>40</v>
      </c>
      <c r="F59" s="20" t="s">
        <v>89</v>
      </c>
      <c r="G59" s="20" t="s">
        <v>52</v>
      </c>
      <c r="H59" s="21">
        <v>44069.490381944444</v>
      </c>
      <c r="I59" s="23">
        <f>_xlfn.IFNA(VLOOKUP(A59,A60:$H$3523,8,0),"")</f>
        <v>44069.498148148145</v>
      </c>
      <c r="J59" s="40">
        <f>IF(B59="OFF",0,IF(AND(D59&lt;&gt;"",E59&lt;&gt;""),E59-D59+1,""))</f>
        <v>1</v>
      </c>
      <c r="K59" s="24">
        <f>IF(H59="","",IFERROR((I59-H59)*24,0))</f>
        <v>0.18638888880377635</v>
      </c>
      <c r="L59" s="25" t="str">
        <f>IF(K59="","",IF(B59="Break","Break",IF(K59&lt;&gt;0,"Work Finished",IF(B59="OFF","Work Finished",IF(I59="","Working","Work Finished")))))</f>
        <v>Work Finished</v>
      </c>
      <c r="O59" s="33">
        <f t="shared" si="2"/>
        <v>1</v>
      </c>
      <c r="P59" s="33">
        <f t="shared" si="3"/>
        <v>11</v>
      </c>
      <c r="Q59" s="33" t="s">
        <v>53</v>
      </c>
    </row>
    <row r="60" spans="1:17">
      <c r="A60" s="20" t="s">
        <v>209</v>
      </c>
      <c r="B60" s="22" t="s">
        <v>81</v>
      </c>
      <c r="H60" s="21">
        <v>44069.495983796296</v>
      </c>
      <c r="I60" s="23" t="str">
        <f>_xlfn.IFNA(VLOOKUP(A60,A61:$H$3523,8,0),"")</f>
        <v/>
      </c>
      <c r="J60" s="40">
        <f>IF(B60="OFF",0,IF(AND(D60&lt;&gt;"",E60&lt;&gt;""),E60-D60+1,""))</f>
        <v>0</v>
      </c>
      <c r="K60" s="24">
        <f>IF(H60="","",IFERROR((I60-H60)*24,0))</f>
        <v>0</v>
      </c>
      <c r="L60" s="25" t="str">
        <f>IF(K60="","",IF(B60="Break","Break",IF(K60&lt;&gt;0,"Work Finished",IF(B60="OFF","Work Finished",IF(I60="","Working","Work Finished")))))</f>
        <v>Work Finished</v>
      </c>
      <c r="O60" s="33">
        <f t="shared" si="2"/>
        <v>0</v>
      </c>
      <c r="P60" s="33">
        <f t="shared" si="3"/>
        <v>11</v>
      </c>
    </row>
    <row r="61" spans="1:17">
      <c r="A61" s="20" t="s">
        <v>37</v>
      </c>
      <c r="B61" s="22" t="s">
        <v>38</v>
      </c>
      <c r="C61" s="20" t="s">
        <v>249</v>
      </c>
      <c r="D61" s="20" t="s">
        <v>40</v>
      </c>
      <c r="E61" s="20" t="s">
        <v>98</v>
      </c>
      <c r="F61" s="20" t="s">
        <v>239</v>
      </c>
      <c r="G61" s="20" t="s">
        <v>43</v>
      </c>
      <c r="H61" s="21">
        <v>44069.496377314812</v>
      </c>
      <c r="I61" s="23">
        <f>_xlfn.IFNA(VLOOKUP(A61,A62:$H$3523,8,0),"")</f>
        <v>44069.539085648146</v>
      </c>
      <c r="J61" s="40">
        <f>IF(B61="OFF",0,IF(AND(D61&lt;&gt;"",E61&lt;&gt;""),E61-D61+1,""))</f>
        <v>20</v>
      </c>
      <c r="K61" s="24">
        <f>IF(H61="","",IFERROR((I61-H61)*24,0))</f>
        <v>1.0250000000232831</v>
      </c>
      <c r="L61" s="25" t="str">
        <f>IF(K61="","",IF(B61="Break","Break",IF(K61&lt;&gt;0,"Work Finished",IF(B61="OFF","Work Finished",IF(I61="","Working","Work Finished")))))</f>
        <v>Work Finished</v>
      </c>
      <c r="O61" s="33">
        <f t="shared" si="2"/>
        <v>20</v>
      </c>
      <c r="P61" s="33">
        <f t="shared" si="3"/>
        <v>11</v>
      </c>
      <c r="Q61" s="33" t="s">
        <v>80</v>
      </c>
    </row>
    <row r="62" spans="1:17">
      <c r="A62" s="20" t="s">
        <v>54</v>
      </c>
      <c r="B62" s="22" t="s">
        <v>38</v>
      </c>
      <c r="C62" s="20" t="s">
        <v>249</v>
      </c>
      <c r="D62" s="20" t="s">
        <v>56</v>
      </c>
      <c r="E62" s="20" t="s">
        <v>110</v>
      </c>
      <c r="F62" s="20" t="s">
        <v>239</v>
      </c>
      <c r="G62" s="20" t="s">
        <v>43</v>
      </c>
      <c r="H62" s="21">
        <v>44069.497800925928</v>
      </c>
      <c r="I62" s="23">
        <f>_xlfn.IFNA(VLOOKUP(A62,A63:$H$3523,8,0),"")</f>
        <v>44069.564236111109</v>
      </c>
      <c r="J62" s="40">
        <f>IF(B62="OFF",0,IF(AND(D62&lt;&gt;"",E62&lt;&gt;""),E62-D62+1,""))</f>
        <v>26</v>
      </c>
      <c r="K62" s="24">
        <f>IF(H62="","",IFERROR((I62-H62)*24,0))</f>
        <v>1.5944444443448447</v>
      </c>
      <c r="L62" s="25" t="str">
        <f>IF(K62="","",IF(B62="Break","Break",IF(K62&lt;&gt;0,"Work Finished",IF(B62="OFF","Work Finished",IF(I62="","Working","Work Finished")))))</f>
        <v>Work Finished</v>
      </c>
      <c r="M62" s="33">
        <v>2</v>
      </c>
      <c r="O62" s="33">
        <f t="shared" si="2"/>
        <v>24</v>
      </c>
      <c r="P62" s="33">
        <f t="shared" si="3"/>
        <v>11</v>
      </c>
      <c r="Q62" s="33" t="s">
        <v>80</v>
      </c>
    </row>
    <row r="63" spans="1:17">
      <c r="A63" s="20" t="s">
        <v>48</v>
      </c>
      <c r="B63" s="22" t="s">
        <v>38</v>
      </c>
      <c r="C63" s="20" t="s">
        <v>250</v>
      </c>
      <c r="D63" s="20" t="s">
        <v>40</v>
      </c>
      <c r="E63" s="20" t="s">
        <v>98</v>
      </c>
      <c r="F63" s="20" t="s">
        <v>155</v>
      </c>
      <c r="G63" s="20" t="s">
        <v>43</v>
      </c>
      <c r="H63" s="21">
        <v>44069.498148148145</v>
      </c>
      <c r="I63" s="23">
        <f>_xlfn.IFNA(VLOOKUP(A63,A64:$H$3523,8,0),"")</f>
        <v>44069.53979166667</v>
      </c>
      <c r="J63" s="40">
        <f>IF(B63="OFF",0,IF(AND(D63&lt;&gt;"",E63&lt;&gt;""),E63-D63+1,""))</f>
        <v>20</v>
      </c>
      <c r="K63" s="24">
        <f>IF(H63="","",IFERROR((I63-H63)*24,0))</f>
        <v>0.99944444460561499</v>
      </c>
      <c r="L63" s="25" t="str">
        <f>IF(K63="","",IF(B63="Break","Break",IF(K63&lt;&gt;0,"Work Finished",IF(B63="OFF","Work Finished",IF(I63="","Working","Work Finished")))))</f>
        <v>Work Finished</v>
      </c>
      <c r="M63" s="33">
        <v>1</v>
      </c>
      <c r="O63" s="33">
        <f t="shared" si="2"/>
        <v>19</v>
      </c>
      <c r="P63" s="33">
        <f t="shared" si="3"/>
        <v>11</v>
      </c>
      <c r="Q63" s="33" t="s">
        <v>80</v>
      </c>
    </row>
    <row r="64" spans="1:17">
      <c r="A64" s="20" t="s">
        <v>64</v>
      </c>
      <c r="B64" s="22" t="s">
        <v>38</v>
      </c>
      <c r="C64" s="20" t="s">
        <v>250</v>
      </c>
      <c r="D64" s="20" t="s">
        <v>56</v>
      </c>
      <c r="E64" s="20" t="s">
        <v>115</v>
      </c>
      <c r="F64" s="20" t="s">
        <v>155</v>
      </c>
      <c r="G64" s="20" t="s">
        <v>43</v>
      </c>
      <c r="H64" s="21">
        <v>44069.498703703706</v>
      </c>
      <c r="I64" s="23">
        <f>_xlfn.IFNA(VLOOKUP(A64,A65:$H$3523,8,0),"")</f>
        <v>44069.538437499999</v>
      </c>
      <c r="J64" s="40">
        <f>IF(B64="OFF",0,IF(AND(D64&lt;&gt;"",E64&lt;&gt;""),E64-D64+1,""))</f>
        <v>16</v>
      </c>
      <c r="K64" s="24">
        <f>IF(H64="","",IFERROR((I64-H64)*24,0))</f>
        <v>0.9536111110355705</v>
      </c>
      <c r="L64" s="25" t="str">
        <f>IF(K64="","",IF(B64="Break","Break",IF(K64&lt;&gt;0,"Work Finished",IF(B64="OFF","Work Finished",IF(I64="","Working","Work Finished")))))</f>
        <v>Work Finished</v>
      </c>
      <c r="O64" s="33">
        <f t="shared" si="2"/>
        <v>16</v>
      </c>
      <c r="P64" s="33">
        <f t="shared" si="3"/>
        <v>11</v>
      </c>
      <c r="Q64" s="33" t="s">
        <v>80</v>
      </c>
    </row>
    <row r="65" spans="1:17">
      <c r="A65" s="20" t="s">
        <v>61</v>
      </c>
      <c r="B65" s="22" t="s">
        <v>38</v>
      </c>
      <c r="C65" s="20" t="s">
        <v>251</v>
      </c>
      <c r="D65" s="20" t="s">
        <v>40</v>
      </c>
      <c r="E65" s="20" t="s">
        <v>78</v>
      </c>
      <c r="F65" s="20" t="s">
        <v>103</v>
      </c>
      <c r="G65" s="20" t="s">
        <v>52</v>
      </c>
      <c r="H65" s="21">
        <v>44069.502245370371</v>
      </c>
      <c r="I65" s="23">
        <f>_xlfn.IFNA(VLOOKUP(A65,A66:$H$3523,8,0),"")</f>
        <v>44069.514293981483</v>
      </c>
      <c r="J65" s="40">
        <f>IF(B65="OFF",0,IF(AND(D65&lt;&gt;"",E65&lt;&gt;""),E65-D65+1,""))</f>
        <v>7</v>
      </c>
      <c r="K65" s="24">
        <f>IF(H65="","",IFERROR((I65-H65)*24,0))</f>
        <v>0.28916666668374091</v>
      </c>
      <c r="L65" s="25" t="str">
        <f>IF(K65="","",IF(B65="Break","Break",IF(K65&lt;&gt;0,"Work Finished",IF(B65="OFF","Work Finished",IF(I65="","Working","Work Finished")))))</f>
        <v>Work Finished</v>
      </c>
      <c r="O65" s="33">
        <f t="shared" si="2"/>
        <v>7</v>
      </c>
      <c r="P65" s="33">
        <f t="shared" si="3"/>
        <v>12</v>
      </c>
      <c r="Q65" s="33" t="s">
        <v>80</v>
      </c>
    </row>
    <row r="66" spans="1:17">
      <c r="A66" s="20" t="s">
        <v>207</v>
      </c>
      <c r="B66" s="22" t="s">
        <v>81</v>
      </c>
      <c r="H66" s="21">
        <v>44069.502789351849</v>
      </c>
      <c r="I66" s="23" t="str">
        <f>_xlfn.IFNA(VLOOKUP(A66,A67:$H$3523,8,0),"")</f>
        <v/>
      </c>
      <c r="J66" s="40">
        <f>IF(B66="OFF",0,IF(AND(D66&lt;&gt;"",E66&lt;&gt;""),E66-D66+1,""))</f>
        <v>0</v>
      </c>
      <c r="K66" s="24">
        <f>IF(H66="","",IFERROR((I66-H66)*24,0))</f>
        <v>0</v>
      </c>
      <c r="L66" s="25" t="str">
        <f>IF(K66="","",IF(B66="Break","Break",IF(K66&lt;&gt;0,"Work Finished",IF(B66="OFF","Work Finished",IF(I66="","Working","Work Finished")))))</f>
        <v>Work Finished</v>
      </c>
      <c r="O66" s="33">
        <f t="shared" si="2"/>
        <v>0</v>
      </c>
      <c r="P66" s="33">
        <f t="shared" si="3"/>
        <v>12</v>
      </c>
    </row>
    <row r="67" spans="1:17">
      <c r="A67" s="20" t="s">
        <v>200</v>
      </c>
      <c r="B67" s="20" t="s">
        <v>81</v>
      </c>
      <c r="H67" s="21">
        <v>44069.512708333335</v>
      </c>
      <c r="I67" s="23" t="str">
        <f>_xlfn.IFNA(VLOOKUP(B67,A68:$H$3523,8,0),"")</f>
        <v/>
      </c>
      <c r="J67" s="40">
        <f>IF(B67="OFF",0,IF(AND(D67&lt;&gt;"",E67&lt;&gt;""),E67-D67+1,""))</f>
        <v>0</v>
      </c>
      <c r="K67" s="24">
        <f>IF(H67="","",IFERROR((I67-H67)*24,0))</f>
        <v>0</v>
      </c>
      <c r="L67" s="25" t="str">
        <f>IF(K67="","",IF(B67="Break","Break",IF(K67&lt;&gt;0,"Work Finished",IF(B67="OFF","Work Finished",IF(I67="","Working","Work Finished")))))</f>
        <v>Work Finished</v>
      </c>
      <c r="O67" s="33">
        <f t="shared" si="2"/>
        <v>0</v>
      </c>
      <c r="P67" s="33">
        <f t="shared" si="3"/>
        <v>12</v>
      </c>
    </row>
    <row r="68" spans="1:17">
      <c r="A68" s="20" t="s">
        <v>61</v>
      </c>
      <c r="B68" s="22" t="s">
        <v>81</v>
      </c>
      <c r="H68" s="21">
        <v>44069.514293981483</v>
      </c>
      <c r="I68" s="23">
        <f>_xlfn.IFNA(VLOOKUP(A68,A69:$H$3523,8,0),"")</f>
        <v>44069.656319444446</v>
      </c>
      <c r="J68" s="40">
        <f>IF(B68="OFF",0,IF(AND(D68&lt;&gt;"",E68&lt;&gt;""),E68-D68+1,""))</f>
        <v>0</v>
      </c>
      <c r="K68" s="24">
        <f>IF(H68="","",IFERROR((I68-H68)*24,0))</f>
        <v>3.4086111111100763</v>
      </c>
      <c r="L68" s="25" t="str">
        <f>IF(K68="","",IF(B68="Break","Break",IF(K68&lt;&gt;0,"Work Finished",IF(B68="OFF","Work Finished",IF(I68="","Working","Work Finished")))))</f>
        <v>Work Finished</v>
      </c>
      <c r="O68" s="33">
        <f t="shared" si="2"/>
        <v>0</v>
      </c>
      <c r="P68" s="33">
        <f t="shared" si="3"/>
        <v>12</v>
      </c>
    </row>
    <row r="69" spans="1:17">
      <c r="A69" s="20" t="s">
        <v>252</v>
      </c>
      <c r="B69" s="22" t="s">
        <v>38</v>
      </c>
      <c r="C69" s="20" t="s">
        <v>253</v>
      </c>
      <c r="D69" s="20" t="s">
        <v>40</v>
      </c>
      <c r="E69" s="20" t="s">
        <v>98</v>
      </c>
      <c r="F69" s="20" t="s">
        <v>139</v>
      </c>
      <c r="G69" s="20" t="s">
        <v>43</v>
      </c>
      <c r="H69" s="21">
        <v>44069.525995370372</v>
      </c>
      <c r="I69" s="23">
        <f>_xlfn.IFNA(VLOOKUP(A69,A70:$H$3523,8,0),"")</f>
        <v>44069.548587962963</v>
      </c>
      <c r="J69" s="40">
        <f>IF(B69="OFF",0,IF(AND(D69&lt;&gt;"",E69&lt;&gt;""),E69-D69+1,""))</f>
        <v>20</v>
      </c>
      <c r="K69" s="24">
        <f>IF(H69="","",IFERROR((I69-H69)*24,0))</f>
        <v>0.54222222219686955</v>
      </c>
      <c r="L69" s="25" t="str">
        <f>IF(K69="","",IF(B69="Break","Break",IF(K69&lt;&gt;0,"Work Finished",IF(B69="OFF","Work Finished",IF(I69="","Working","Work Finished")))))</f>
        <v>Work Finished</v>
      </c>
      <c r="M69" s="33">
        <v>2</v>
      </c>
      <c r="O69" s="33">
        <f t="shared" si="2"/>
        <v>18</v>
      </c>
      <c r="P69" s="33">
        <f t="shared" si="3"/>
        <v>12</v>
      </c>
      <c r="Q69" s="33" t="s">
        <v>80</v>
      </c>
    </row>
    <row r="70" spans="1:17">
      <c r="A70" s="20" t="s">
        <v>254</v>
      </c>
      <c r="B70" s="22" t="s">
        <v>38</v>
      </c>
      <c r="C70" s="20" t="s">
        <v>253</v>
      </c>
      <c r="D70" s="20" t="s">
        <v>40</v>
      </c>
      <c r="E70" s="20" t="s">
        <v>56</v>
      </c>
      <c r="F70" s="20" t="s">
        <v>139</v>
      </c>
      <c r="G70" s="20" t="s">
        <v>43</v>
      </c>
      <c r="H70" s="21">
        <v>44069.527407407404</v>
      </c>
      <c r="I70" s="23">
        <f>_xlfn.IFNA(VLOOKUP(A70,A71:$H$3523,8,0),"")</f>
        <v>44069.55976851852</v>
      </c>
      <c r="J70" s="40">
        <f>IF(B70="OFF",0,IF(AND(D70&lt;&gt;"",E70&lt;&gt;""),E70-D70+1,""))</f>
        <v>21</v>
      </c>
      <c r="K70" s="24">
        <f>IF(H70="","",IFERROR((I70-H70)*24,0))</f>
        <v>0.7766666667885147</v>
      </c>
      <c r="L70" s="25" t="str">
        <f>IF(K70="","",IF(B70="Break","Break",IF(K70&lt;&gt;0,"Work Finished",IF(B70="OFF","Work Finished",IF(I70="","Working","Work Finished")))))</f>
        <v>Work Finished</v>
      </c>
      <c r="M70" s="33">
        <v>1</v>
      </c>
      <c r="O70" s="33">
        <f t="shared" si="2"/>
        <v>20</v>
      </c>
      <c r="P70" s="33">
        <f t="shared" si="3"/>
        <v>12</v>
      </c>
      <c r="Q70" s="33" t="s">
        <v>80</v>
      </c>
    </row>
    <row r="71" spans="1:17">
      <c r="A71" s="20" t="s">
        <v>255</v>
      </c>
      <c r="B71" s="22" t="s">
        <v>38</v>
      </c>
      <c r="C71" s="20" t="s">
        <v>256</v>
      </c>
      <c r="D71" s="20" t="s">
        <v>40</v>
      </c>
      <c r="E71" s="20" t="s">
        <v>98</v>
      </c>
      <c r="F71" s="20" t="s">
        <v>144</v>
      </c>
      <c r="G71" s="20" t="s">
        <v>43</v>
      </c>
      <c r="H71" s="21">
        <v>44069.52820601852</v>
      </c>
      <c r="I71" s="23">
        <f>_xlfn.IFNA(VLOOKUP(A71,A72:$H$3523,8,0),"")</f>
        <v>44069.543726851851</v>
      </c>
      <c r="J71" s="40">
        <f>IF(B71="OFF",0,IF(AND(D71&lt;&gt;"",E71&lt;&gt;""),E71-D71+1,""))</f>
        <v>20</v>
      </c>
      <c r="K71" s="24">
        <f>IF(H71="","",IFERROR((I71-H71)*24,0))</f>
        <v>0.37249999993946403</v>
      </c>
      <c r="L71" s="25" t="str">
        <f>IF(K71="","",IF(B71="Break","Break",IF(K71&lt;&gt;0,"Work Finished",IF(B71="OFF","Work Finished",IF(I71="","Working","Work Finished")))))</f>
        <v>Work Finished</v>
      </c>
      <c r="M71" s="33">
        <v>2</v>
      </c>
      <c r="O71" s="33">
        <f t="shared" si="2"/>
        <v>18</v>
      </c>
      <c r="P71" s="33">
        <f t="shared" si="3"/>
        <v>12</v>
      </c>
      <c r="Q71" s="33" t="s">
        <v>80</v>
      </c>
    </row>
    <row r="72" spans="1:17">
      <c r="A72" s="20" t="s">
        <v>257</v>
      </c>
      <c r="B72" s="22" t="s">
        <v>38</v>
      </c>
      <c r="C72" s="20" t="s">
        <v>256</v>
      </c>
      <c r="D72" s="20" t="s">
        <v>40</v>
      </c>
      <c r="E72" s="20" t="s">
        <v>60</v>
      </c>
      <c r="F72" s="20" t="s">
        <v>144</v>
      </c>
      <c r="G72" s="20" t="s">
        <v>43</v>
      </c>
      <c r="H72" s="21">
        <v>44069.528668981482</v>
      </c>
      <c r="I72" s="23">
        <f>_xlfn.IFNA(VLOOKUP(A72,A73:$H$3523,8,0),"")</f>
        <v>44069.540578703702</v>
      </c>
      <c r="J72" s="40">
        <f>IF(B72="OFF",0,IF(AND(D72&lt;&gt;"",E72&lt;&gt;""),E72-D72+1,""))</f>
        <v>17</v>
      </c>
      <c r="K72" s="24">
        <f>IF(H72="","",IFERROR((I72-H72)*24,0))</f>
        <v>0.28583333326969296</v>
      </c>
      <c r="L72" s="25" t="str">
        <f>IF(K72="","",IF(B72="Break","Break",IF(K72&lt;&gt;0,"Work Finished",IF(B72="OFF","Work Finished",IF(I72="","Working","Work Finished")))))</f>
        <v>Work Finished</v>
      </c>
      <c r="O72" s="33">
        <f t="shared" si="2"/>
        <v>17</v>
      </c>
      <c r="P72" s="33">
        <f t="shared" si="3"/>
        <v>12</v>
      </c>
      <c r="Q72" s="33" t="s">
        <v>80</v>
      </c>
    </row>
    <row r="73" spans="1:17">
      <c r="A73" s="20" t="s">
        <v>258</v>
      </c>
      <c r="B73" s="22" t="s">
        <v>38</v>
      </c>
      <c r="C73" s="20" t="s">
        <v>259</v>
      </c>
      <c r="D73" s="20" t="s">
        <v>40</v>
      </c>
      <c r="E73" s="20" t="s">
        <v>98</v>
      </c>
      <c r="F73" s="20" t="s">
        <v>141</v>
      </c>
      <c r="G73" s="20" t="s">
        <v>43</v>
      </c>
      <c r="H73" s="21">
        <v>44069.529293981483</v>
      </c>
      <c r="I73" s="23">
        <f>_xlfn.IFNA(VLOOKUP(A73,A74:$H$3523,8,0),"")</f>
        <v>44069.546261574076</v>
      </c>
      <c r="J73" s="40">
        <f>IF(B73="OFF",0,IF(AND(D73&lt;&gt;"",E73&lt;&gt;""),E73-D73+1,""))</f>
        <v>20</v>
      </c>
      <c r="K73" s="24">
        <f>IF(H73="","",IFERROR((I73-H73)*24,0))</f>
        <v>0.40722222224576399</v>
      </c>
      <c r="L73" s="25" t="str">
        <f>IF(K73="","",IF(B73="Break","Break",IF(K73&lt;&gt;0,"Work Finished",IF(B73="OFF","Work Finished",IF(I73="","Working","Work Finished")))))</f>
        <v>Work Finished</v>
      </c>
      <c r="M73" s="33">
        <v>0</v>
      </c>
      <c r="O73" s="33">
        <f t="shared" si="2"/>
        <v>20</v>
      </c>
      <c r="P73" s="33">
        <f t="shared" si="3"/>
        <v>12</v>
      </c>
      <c r="Q73" s="33" t="s">
        <v>80</v>
      </c>
    </row>
    <row r="74" spans="1:17">
      <c r="A74" s="20" t="s">
        <v>260</v>
      </c>
      <c r="B74" s="22" t="s">
        <v>38</v>
      </c>
      <c r="C74" s="20" t="s">
        <v>259</v>
      </c>
      <c r="D74" s="20" t="s">
        <v>40</v>
      </c>
      <c r="E74" s="20" t="s">
        <v>60</v>
      </c>
      <c r="F74" s="20" t="s">
        <v>141</v>
      </c>
      <c r="G74" s="20" t="s">
        <v>43</v>
      </c>
      <c r="H74" s="21">
        <v>44069.529930555553</v>
      </c>
      <c r="I74" s="23">
        <f>_xlfn.IFNA(VLOOKUP(A74,A75:$H$3523,8,0),"")</f>
        <v>44069.543182870373</v>
      </c>
      <c r="J74" s="40">
        <f>IF(B74="OFF",0,IF(AND(D74&lt;&gt;"",E74&lt;&gt;""),E74-D74+1,""))</f>
        <v>17</v>
      </c>
      <c r="K74" s="24">
        <f>IF(H74="","",IFERROR((I74-H74)*24,0))</f>
        <v>0.31805555569007993</v>
      </c>
      <c r="L74" s="25" t="str">
        <f>IF(K74="","",IF(B74="Break","Break",IF(K74&lt;&gt;0,"Work Finished",IF(B74="OFF","Work Finished",IF(I74="","Working","Work Finished")))))</f>
        <v>Work Finished</v>
      </c>
      <c r="M74" s="33">
        <v>2</v>
      </c>
      <c r="O74" s="33">
        <f t="shared" si="2"/>
        <v>15</v>
      </c>
      <c r="P74" s="33">
        <f t="shared" si="3"/>
        <v>12</v>
      </c>
      <c r="Q74" s="33" t="s">
        <v>80</v>
      </c>
    </row>
    <row r="75" spans="1:17">
      <c r="A75" s="20" t="s">
        <v>262</v>
      </c>
      <c r="B75" s="22" t="s">
        <v>38</v>
      </c>
      <c r="C75" s="20" t="s">
        <v>261</v>
      </c>
      <c r="D75" s="20" t="s">
        <v>40</v>
      </c>
      <c r="E75" s="20" t="s">
        <v>91</v>
      </c>
      <c r="F75" s="20" t="s">
        <v>121</v>
      </c>
      <c r="G75" s="20" t="s">
        <v>52</v>
      </c>
      <c r="H75" s="21">
        <v>44069.5315162037</v>
      </c>
      <c r="I75" s="23">
        <f>_xlfn.IFNA(VLOOKUP(A75,A76:$H$3523,8,0),"")</f>
        <v>44069.55878472222</v>
      </c>
      <c r="J75" s="40">
        <f>IF(B75="OFF",0,IF(AND(D75&lt;&gt;"",E75&lt;&gt;""),E75-D75+1,""))</f>
        <v>9</v>
      </c>
      <c r="K75" s="24">
        <f>IF(H75="","",IFERROR((I75-H75)*24,0))</f>
        <v>0.65444444445893168</v>
      </c>
      <c r="L75" s="25" t="str">
        <f>IF(K75="","",IF(B75="Break","Break",IF(K75&lt;&gt;0,"Work Finished",IF(B75="OFF","Work Finished",IF(I75="","Working","Work Finished")))))</f>
        <v>Work Finished</v>
      </c>
      <c r="M75" s="33">
        <v>1</v>
      </c>
      <c r="O75" s="33">
        <f t="shared" si="2"/>
        <v>8</v>
      </c>
      <c r="P75" s="33">
        <f t="shared" si="3"/>
        <v>12</v>
      </c>
      <c r="Q75" s="33" t="s">
        <v>80</v>
      </c>
    </row>
    <row r="76" spans="1:17">
      <c r="A76" s="20" t="s">
        <v>263</v>
      </c>
      <c r="B76" s="22" t="s">
        <v>38</v>
      </c>
      <c r="C76" s="20" t="s">
        <v>264</v>
      </c>
      <c r="D76" s="20" t="s">
        <v>40</v>
      </c>
      <c r="E76" s="20" t="s">
        <v>86</v>
      </c>
      <c r="F76" s="20" t="s">
        <v>121</v>
      </c>
      <c r="G76" s="20" t="s">
        <v>52</v>
      </c>
      <c r="H76" s="21">
        <v>44069.532060185185</v>
      </c>
      <c r="I76" s="23">
        <f>_xlfn.IFNA(VLOOKUP(A76,A77:$H$3523,8,0),"")</f>
        <v>44069.540162037039</v>
      </c>
      <c r="J76" s="40">
        <f>IF(B76="OFF",0,IF(AND(D76&lt;&gt;"",E76&lt;&gt;""),E76-D76+1,""))</f>
        <v>12</v>
      </c>
      <c r="K76" s="24">
        <f>IF(H76="","",IFERROR((I76-H76)*24,0))</f>
        <v>0.19444444449618459</v>
      </c>
      <c r="L76" s="25" t="str">
        <f>IF(K76="","",IF(B76="Break","Break",IF(K76&lt;&gt;0,"Work Finished",IF(B76="OFF","Work Finished",IF(I76="","Working","Work Finished")))))</f>
        <v>Work Finished</v>
      </c>
      <c r="M76" s="33">
        <v>1</v>
      </c>
      <c r="O76" s="33">
        <f t="shared" si="2"/>
        <v>11</v>
      </c>
      <c r="P76" s="33">
        <f t="shared" si="3"/>
        <v>12</v>
      </c>
      <c r="Q76" s="33" t="s">
        <v>80</v>
      </c>
    </row>
    <row r="77" spans="1:17">
      <c r="A77" s="20" t="s">
        <v>265</v>
      </c>
      <c r="B77" s="22" t="s">
        <v>38</v>
      </c>
      <c r="C77" s="20" t="s">
        <v>266</v>
      </c>
      <c r="D77" s="20" t="s">
        <v>40</v>
      </c>
      <c r="E77" s="20" t="s">
        <v>70</v>
      </c>
      <c r="F77" s="20" t="s">
        <v>91</v>
      </c>
      <c r="G77" s="20" t="s">
        <v>52</v>
      </c>
      <c r="H77" s="21">
        <v>44069.532673611109</v>
      </c>
      <c r="I77" s="23">
        <f>_xlfn.IFNA(VLOOKUP(A77,A78:$H$3523,8,0),"")</f>
        <v>44069.558055555557</v>
      </c>
      <c r="J77" s="40">
        <f>IF(B77="OFF",0,IF(AND(D77&lt;&gt;"",E77&lt;&gt;""),E77-D77+1,""))</f>
        <v>2</v>
      </c>
      <c r="K77" s="24">
        <f>IF(H77="","",IFERROR((I77-H77)*24,0))</f>
        <v>0.60916666674893349</v>
      </c>
      <c r="L77" s="25" t="str">
        <f>IF(K77="","",IF(B77="Break","Break",IF(K77&lt;&gt;0,"Work Finished",IF(B77="OFF","Work Finished",IF(I77="","Working","Work Finished")))))</f>
        <v>Work Finished</v>
      </c>
      <c r="O77" s="33">
        <f t="shared" si="2"/>
        <v>2</v>
      </c>
      <c r="P77" s="33">
        <f t="shared" si="3"/>
        <v>12</v>
      </c>
      <c r="Q77" s="33" t="s">
        <v>80</v>
      </c>
    </row>
    <row r="78" spans="1:17">
      <c r="A78" s="20" t="s">
        <v>267</v>
      </c>
      <c r="B78" s="22" t="s">
        <v>38</v>
      </c>
      <c r="C78" s="20" t="s">
        <v>268</v>
      </c>
      <c r="D78" s="20" t="s">
        <v>40</v>
      </c>
      <c r="E78" s="20" t="s">
        <v>71</v>
      </c>
      <c r="F78" s="20" t="s">
        <v>95</v>
      </c>
      <c r="G78" s="20" t="s">
        <v>43</v>
      </c>
      <c r="H78" s="21">
        <v>44069.53324074074</v>
      </c>
      <c r="I78" s="23">
        <f>_xlfn.IFNA(VLOOKUP(A78,A79:$H$3523,8,0),"")</f>
        <v>44069.555081018516</v>
      </c>
      <c r="J78" s="40">
        <f>IF(B78="OFF",0,IF(AND(D78&lt;&gt;"",E78&lt;&gt;""),E78-D78+1,""))</f>
        <v>5</v>
      </c>
      <c r="K78" s="24">
        <f>IF(H78="","",IFERROR((I78-H78)*24,0))</f>
        <v>0.52416666661156341</v>
      </c>
      <c r="L78" s="25" t="str">
        <f>IF(K78="","",IF(B78="Break","Break",IF(K78&lt;&gt;0,"Work Finished",IF(B78="OFF","Work Finished",IF(I78="","Working","Work Finished")))))</f>
        <v>Work Finished</v>
      </c>
      <c r="M78" s="33">
        <v>2</v>
      </c>
      <c r="O78" s="33">
        <f t="shared" si="2"/>
        <v>3</v>
      </c>
      <c r="P78" s="33">
        <f t="shared" si="3"/>
        <v>12</v>
      </c>
      <c r="Q78" s="33" t="s">
        <v>53</v>
      </c>
    </row>
    <row r="79" spans="1:17">
      <c r="A79" s="20" t="s">
        <v>269</v>
      </c>
      <c r="B79" s="22" t="s">
        <v>38</v>
      </c>
      <c r="C79" s="20" t="s">
        <v>270</v>
      </c>
      <c r="D79" s="20" t="s">
        <v>40</v>
      </c>
      <c r="E79" s="20" t="s">
        <v>71</v>
      </c>
      <c r="F79" s="20" t="s">
        <v>41</v>
      </c>
      <c r="G79" s="20" t="s">
        <v>43</v>
      </c>
      <c r="H79" s="21">
        <v>44069.533807870372</v>
      </c>
      <c r="I79" s="23">
        <f>_xlfn.IFNA(VLOOKUP(A79,A80:$H$3523,8,0),"")</f>
        <v>44069.554745370369</v>
      </c>
      <c r="J79" s="40">
        <f>IF(B79="OFF",0,IF(AND(D79&lt;&gt;"",E79&lt;&gt;""),E79-D79+1,""))</f>
        <v>5</v>
      </c>
      <c r="K79" s="24">
        <f>IF(H79="","",IFERROR((I79-H79)*24,0))</f>
        <v>0.50249999994412065</v>
      </c>
      <c r="L79" s="25" t="str">
        <f>IF(K79="","",IF(B79="Break","Break",IF(K79&lt;&gt;0,"Work Finished",IF(B79="OFF","Work Finished",IF(I79="","Working","Work Finished")))))</f>
        <v>Work Finished</v>
      </c>
      <c r="O79" s="33">
        <f t="shared" si="2"/>
        <v>5</v>
      </c>
      <c r="P79" s="33">
        <f t="shared" si="3"/>
        <v>12</v>
      </c>
      <c r="Q79" s="33" t="s">
        <v>53</v>
      </c>
    </row>
    <row r="80" spans="1:17">
      <c r="A80" s="20" t="s">
        <v>64</v>
      </c>
      <c r="B80" s="22" t="s">
        <v>81</v>
      </c>
      <c r="H80" s="21">
        <v>44069.538437499999</v>
      </c>
      <c r="I80" s="23">
        <f>_xlfn.IFNA(VLOOKUP(A80,A81:$H$3523,8,0),"")</f>
        <v>44069.594849537039</v>
      </c>
      <c r="J80" s="40">
        <f>IF(B80="OFF",0,IF(AND(D80&lt;&gt;"",E80&lt;&gt;""),E80-D80+1,""))</f>
        <v>0</v>
      </c>
      <c r="K80" s="24">
        <f>IF(H80="","",IFERROR((I80-H80)*24,0))</f>
        <v>1.3538888889597729</v>
      </c>
      <c r="L80" s="25" t="str">
        <f>IF(K80="","",IF(B80="Break","Break",IF(K80&lt;&gt;0,"Work Finished",IF(B80="OFF","Work Finished",IF(I80="","Working","Work Finished")))))</f>
        <v>Work Finished</v>
      </c>
      <c r="O80" s="33">
        <f t="shared" si="2"/>
        <v>0</v>
      </c>
      <c r="P80" s="33">
        <f t="shared" si="3"/>
        <v>12</v>
      </c>
    </row>
    <row r="81" spans="1:16">
      <c r="A81" s="20" t="s">
        <v>37</v>
      </c>
      <c r="B81" s="22" t="s">
        <v>81</v>
      </c>
      <c r="H81" s="21">
        <v>44069.539085648146</v>
      </c>
      <c r="I81" s="23">
        <f>_xlfn.IFNA(VLOOKUP(A81,A82:$H$3523,8,0),"")</f>
        <v>44069.640902777777</v>
      </c>
      <c r="J81" s="40">
        <f>IF(B81="OFF",0,IF(AND(D81&lt;&gt;"",E81&lt;&gt;""),E81-D81+1,""))</f>
        <v>0</v>
      </c>
      <c r="K81" s="24">
        <f>IF(H81="","",IFERROR((I81-H81)*24,0))</f>
        <v>2.4436111111426726</v>
      </c>
      <c r="L81" s="25" t="str">
        <f>IF(K81="","",IF(B81="Break","Break",IF(K81&lt;&gt;0,"Work Finished",IF(B81="OFF","Work Finished",IF(I81="","Working","Work Finished")))))</f>
        <v>Work Finished</v>
      </c>
      <c r="O81" s="33">
        <f t="shared" si="2"/>
        <v>0</v>
      </c>
      <c r="P81" s="33">
        <f t="shared" si="3"/>
        <v>12</v>
      </c>
    </row>
    <row r="82" spans="1:16">
      <c r="A82" s="20" t="s">
        <v>271</v>
      </c>
      <c r="B82" s="22" t="s">
        <v>81</v>
      </c>
      <c r="H82" s="21">
        <v>44069.539675925924</v>
      </c>
      <c r="I82" s="23">
        <f>_xlfn.IFNA(VLOOKUP(A82,A83:$H$3523,8,0),"")</f>
        <v>44069.589421296296</v>
      </c>
      <c r="J82" s="40">
        <f>IF(B82="OFF",0,IF(AND(D82&lt;&gt;"",E82&lt;&gt;""),E82-D82+1,""))</f>
        <v>0</v>
      </c>
      <c r="K82" s="24">
        <f>IF(H82="","",IFERROR((I82-H82)*24,0))</f>
        <v>1.1938888889271766</v>
      </c>
      <c r="L82" s="25" t="str">
        <f>IF(K82="","",IF(B82="Break","Break",IF(K82&lt;&gt;0,"Work Finished",IF(B82="OFF","Work Finished",IF(I82="","Working","Work Finished")))))</f>
        <v>Work Finished</v>
      </c>
      <c r="O82" s="33">
        <f t="shared" si="2"/>
        <v>0</v>
      </c>
      <c r="P82" s="33">
        <f t="shared" si="3"/>
        <v>12</v>
      </c>
    </row>
    <row r="83" spans="1:16">
      <c r="A83" s="20" t="s">
        <v>48</v>
      </c>
      <c r="B83" s="22" t="s">
        <v>81</v>
      </c>
      <c r="H83" s="21">
        <v>44069.53979166667</v>
      </c>
      <c r="I83" s="23">
        <f>_xlfn.IFNA(VLOOKUP(A83,A84:$H$3523,8,0),"")</f>
        <v>44069.592824074076</v>
      </c>
      <c r="J83" s="40">
        <f>IF(B83="OFF",0,IF(AND(D83&lt;&gt;"",E83&lt;&gt;""),E83-D83+1,""))</f>
        <v>0</v>
      </c>
      <c r="K83" s="24">
        <f>IF(H83="","",IFERROR((I83-H83)*24,0))</f>
        <v>1.2727777777472511</v>
      </c>
      <c r="L83" s="25" t="str">
        <f>IF(K83="","",IF(B83="Break","Break",IF(K83&lt;&gt;0,"Work Finished",IF(B83="OFF","Work Finished",IF(I83="","Working","Work Finished")))))</f>
        <v>Work Finished</v>
      </c>
      <c r="O83" s="33">
        <f t="shared" si="2"/>
        <v>0</v>
      </c>
      <c r="P83" s="33">
        <f t="shared" si="3"/>
        <v>12</v>
      </c>
    </row>
    <row r="84" spans="1:16">
      <c r="A84" s="20" t="s">
        <v>263</v>
      </c>
      <c r="B84" s="22" t="s">
        <v>81</v>
      </c>
      <c r="H84" s="21">
        <v>44069.540162037039</v>
      </c>
      <c r="I84" s="23">
        <f>_xlfn.IFNA(VLOOKUP(A84,A85:$H$3523,8,0),"")</f>
        <v>44069.54760416667</v>
      </c>
      <c r="J84" s="40">
        <f>IF(B84="OFF",0,IF(AND(D84&lt;&gt;"",E84&lt;&gt;""),E84-D84+1,""))</f>
        <v>0</v>
      </c>
      <c r="K84" s="24">
        <f>IF(H84="","",IFERROR((I84-H84)*24,0))</f>
        <v>0.17861111112870276</v>
      </c>
      <c r="L84" s="25" t="str">
        <f>IF(K84="","",IF(B84="Break","Break",IF(K84&lt;&gt;0,"Work Finished",IF(B84="OFF","Work Finished",IF(I84="","Working","Work Finished")))))</f>
        <v>Work Finished</v>
      </c>
      <c r="O84" s="33">
        <f t="shared" si="2"/>
        <v>0</v>
      </c>
      <c r="P84" s="33">
        <f t="shared" si="3"/>
        <v>12</v>
      </c>
    </row>
    <row r="85" spans="1:16">
      <c r="A85" s="20" t="s">
        <v>272</v>
      </c>
      <c r="B85" s="22" t="s">
        <v>81</v>
      </c>
      <c r="H85" s="21">
        <v>44069.540416666663</v>
      </c>
      <c r="I85" s="23">
        <f>_xlfn.IFNA(VLOOKUP(A85,A86:$H$3524,8,0),"")</f>
        <v>44069.594282407408</v>
      </c>
      <c r="J85" s="40">
        <f>IF(B85="OFF",0,IF(AND(D85&lt;&gt;"",E85&lt;&gt;""),E85-D85+1,""))</f>
        <v>0</v>
      </c>
      <c r="K85" s="24">
        <f>IF(H85="","",IFERROR((I85-H85)*24,0))</f>
        <v>1.2927777778822929</v>
      </c>
      <c r="L85" s="25" t="str">
        <f>IF(K85="","",IF(B85="Break","Break",IF(K85&lt;&gt;0,"Work Finished",IF(B85="OFF","Work Finished",IF(I85="","Working","Work Finished")))))</f>
        <v>Work Finished</v>
      </c>
      <c r="O85" s="33">
        <f t="shared" si="2"/>
        <v>0</v>
      </c>
      <c r="P85" s="33">
        <f t="shared" si="3"/>
        <v>12</v>
      </c>
    </row>
    <row r="86" spans="1:16">
      <c r="A86" s="20" t="s">
        <v>257</v>
      </c>
      <c r="B86" s="22" t="s">
        <v>81</v>
      </c>
      <c r="H86" s="21">
        <v>44069.540578703702</v>
      </c>
      <c r="I86" s="23">
        <f>_xlfn.IFNA(VLOOKUP(A86,A87:$H$3524,8,0),"")</f>
        <v>44069.591331018521</v>
      </c>
      <c r="J86" s="40">
        <f>IF(B86="OFF",0,IF(AND(D86&lt;&gt;"",E86&lt;&gt;""),E86-D86+1,""))</f>
        <v>0</v>
      </c>
      <c r="K86" s="24">
        <f>IF(H86="","",IFERROR((I86-H86)*24,0))</f>
        <v>1.2180555556551553</v>
      </c>
      <c r="L86" s="25" t="str">
        <f>IF(K86="","",IF(B86="Break","Break",IF(K86&lt;&gt;0,"Work Finished",IF(B86="OFF","Work Finished",IF(I86="","Working","Work Finished")))))</f>
        <v>Work Finished</v>
      </c>
      <c r="O86" s="33">
        <f t="shared" si="2"/>
        <v>0</v>
      </c>
      <c r="P86" s="33">
        <f t="shared" si="3"/>
        <v>12</v>
      </c>
    </row>
    <row r="87" spans="1:16">
      <c r="A87" s="20" t="s">
        <v>260</v>
      </c>
      <c r="B87" s="22" t="s">
        <v>81</v>
      </c>
      <c r="H87" s="21">
        <v>44069.543182870373</v>
      </c>
      <c r="I87" s="23">
        <f>_xlfn.IFNA(VLOOKUP(A87,A88:$H$3524,8,0),"")</f>
        <v>44069.592465277776</v>
      </c>
      <c r="J87" s="40">
        <f>IF(B87="OFF",0,IF(AND(D87&lt;&gt;"",E87&lt;&gt;""),E87-D87+1,""))</f>
        <v>0</v>
      </c>
      <c r="K87" s="24">
        <f>IF(H87="","",IFERROR((I87-H87)*24,0))</f>
        <v>1.1827777776634321</v>
      </c>
      <c r="L87" s="25" t="str">
        <f>IF(K87="","",IF(B87="Break","Break",IF(K87&lt;&gt;0,"Work Finished",IF(B87="OFF","Work Finished",IF(I87="","Working","Work Finished")))))</f>
        <v>Work Finished</v>
      </c>
      <c r="O87" s="33">
        <f t="shared" si="2"/>
        <v>0</v>
      </c>
      <c r="P87" s="33">
        <f t="shared" si="3"/>
        <v>13</v>
      </c>
    </row>
    <row r="88" spans="1:16">
      <c r="A88" s="20" t="s">
        <v>255</v>
      </c>
      <c r="B88" s="22" t="s">
        <v>81</v>
      </c>
      <c r="H88" s="21">
        <v>44069.543726851851</v>
      </c>
      <c r="I88" s="23">
        <f>_xlfn.IFNA(VLOOKUP(A88,A89:$H$3524,8,0),"")</f>
        <v>44069.701435185183</v>
      </c>
      <c r="J88" s="40">
        <f>IF(B88="OFF",0,IF(AND(D88&lt;&gt;"",E88&lt;&gt;""),E88-D88+1,""))</f>
        <v>0</v>
      </c>
      <c r="K88" s="24">
        <f>IF(H88="","",IFERROR((I88-H88)*24,0))</f>
        <v>3.7849999999743886</v>
      </c>
      <c r="L88" s="25" t="str">
        <f>IF(K88="","",IF(B88="Break","Break",IF(K88&lt;&gt;0,"Work Finished",IF(B88="OFF","Work Finished",IF(I88="","Working","Work Finished")))))</f>
        <v>Work Finished</v>
      </c>
      <c r="O88" s="33">
        <f t="shared" si="2"/>
        <v>0</v>
      </c>
      <c r="P88" s="33">
        <f t="shared" si="3"/>
        <v>13</v>
      </c>
    </row>
    <row r="89" spans="1:16">
      <c r="A89" s="20" t="s">
        <v>258</v>
      </c>
      <c r="B89" s="22" t="s">
        <v>81</v>
      </c>
      <c r="H89" s="21">
        <v>44069.546261574076</v>
      </c>
      <c r="I89" s="23">
        <f>_xlfn.IFNA(VLOOKUP(A89,A90:$H$3524,8,0),"")</f>
        <v>44069.701840277776</v>
      </c>
      <c r="J89" s="40">
        <f>IF(B89="OFF",0,IF(AND(D89&lt;&gt;"",E89&lt;&gt;""),E89-D89+1,""))</f>
        <v>0</v>
      </c>
      <c r="K89" s="24">
        <f>IF(H89="","",IFERROR((I89-H89)*24,0))</f>
        <v>3.7338888887898065</v>
      </c>
      <c r="L89" s="25" t="str">
        <f>IF(K89="","",IF(B89="Break","Break",IF(K89&lt;&gt;0,"Work Finished",IF(B89="OFF","Work Finished",IF(I89="","Working","Work Finished")))))</f>
        <v>Work Finished</v>
      </c>
      <c r="O89" s="33">
        <f t="shared" si="2"/>
        <v>0</v>
      </c>
      <c r="P89" s="33">
        <f t="shared" si="3"/>
        <v>13</v>
      </c>
    </row>
    <row r="90" spans="1:16">
      <c r="A90" s="20" t="s">
        <v>263</v>
      </c>
      <c r="B90" s="22" t="s">
        <v>81</v>
      </c>
      <c r="H90" s="21">
        <v>44069.54760416667</v>
      </c>
      <c r="I90" s="23">
        <f>_xlfn.IFNA(VLOOKUP(A90,A91:$H$3524,8,0),"")</f>
        <v>44069.590277777781</v>
      </c>
      <c r="J90" s="40">
        <f>IF(B90="OFF",0,IF(AND(D90&lt;&gt;"",E90&lt;&gt;""),E90-D90+1,""))</f>
        <v>0</v>
      </c>
      <c r="K90" s="24">
        <f>IF(H90="","",IFERROR((I90-H90)*24,0))</f>
        <v>1.0241666666697711</v>
      </c>
      <c r="L90" s="25" t="str">
        <f>IF(K90="","",IF(B90="Break","Break",IF(K90&lt;&gt;0,"Work Finished",IF(B90="OFF","Work Finished",IF(I90="","Working","Work Finished")))))</f>
        <v>Work Finished</v>
      </c>
      <c r="O90" s="33">
        <f t="shared" si="2"/>
        <v>0</v>
      </c>
      <c r="P90" s="33">
        <f t="shared" si="3"/>
        <v>13</v>
      </c>
    </row>
    <row r="91" spans="1:16">
      <c r="A91" s="20" t="s">
        <v>252</v>
      </c>
      <c r="B91" s="22" t="s">
        <v>81</v>
      </c>
      <c r="H91" s="21">
        <v>44069.548587962963</v>
      </c>
      <c r="I91" s="23" t="str">
        <f>_xlfn.IFNA(VLOOKUP(A91,A92:$H$3524,8,0),"")</f>
        <v/>
      </c>
      <c r="J91" s="40">
        <f>IF(B91="OFF",0,IF(AND(D91&lt;&gt;"",E91&lt;&gt;""),E91-D91+1,""))</f>
        <v>0</v>
      </c>
      <c r="K91" s="24">
        <f>IF(H91="","",IFERROR((I91-H91)*24,0))</f>
        <v>0</v>
      </c>
      <c r="L91" s="25" t="str">
        <f>IF(K91="","",IF(B91="Break","Break",IF(K91&lt;&gt;0,"Work Finished",IF(B91="OFF","Work Finished",IF(I91="","Working","Work Finished")))))</f>
        <v>Work Finished</v>
      </c>
      <c r="O91" s="33">
        <f t="shared" si="2"/>
        <v>0</v>
      </c>
      <c r="P91" s="33">
        <f t="shared" si="3"/>
        <v>13</v>
      </c>
    </row>
    <row r="92" spans="1:16">
      <c r="A92" s="20" t="s">
        <v>269</v>
      </c>
      <c r="B92" s="22" t="s">
        <v>81</v>
      </c>
      <c r="H92" s="21">
        <v>44069.554745370369</v>
      </c>
      <c r="I92" s="23">
        <f>_xlfn.IFNA(VLOOKUP(A92,A93:$H$3524,8,0),"")</f>
        <v>44069.589004629626</v>
      </c>
      <c r="J92" s="40">
        <f>IF(B92="OFF",0,IF(AND(D92&lt;&gt;"",E92&lt;&gt;""),E92-D92+1,""))</f>
        <v>0</v>
      </c>
      <c r="K92" s="24">
        <f>IF(H92="","",IFERROR((I92-H92)*24,0))</f>
        <v>0.82222222216660157</v>
      </c>
      <c r="L92" s="25" t="str">
        <f>IF(K92="","",IF(B92="Break","Break",IF(K92&lt;&gt;0,"Work Finished",IF(B92="OFF","Work Finished",IF(I92="","Working","Work Finished")))))</f>
        <v>Work Finished</v>
      </c>
      <c r="O92" s="33">
        <f t="shared" si="2"/>
        <v>0</v>
      </c>
      <c r="P92" s="33">
        <f t="shared" si="3"/>
        <v>13</v>
      </c>
    </row>
    <row r="93" spans="1:16">
      <c r="A93" s="20" t="s">
        <v>267</v>
      </c>
      <c r="B93" s="22" t="s">
        <v>81</v>
      </c>
      <c r="H93" s="21">
        <v>44069.555081018516</v>
      </c>
      <c r="I93" s="23">
        <f>_xlfn.IFNA(VLOOKUP(A93,A94:$H$3524,8,0),"")</f>
        <v>44069.587326388886</v>
      </c>
      <c r="J93" s="40">
        <f>IF(B93="OFF",0,IF(AND(D93&lt;&gt;"",E93&lt;&gt;""),E93-D93+1,""))</f>
        <v>0</v>
      </c>
      <c r="K93" s="24">
        <f>IF(H93="","",IFERROR((I93-H93)*24,0))</f>
        <v>0.77388888888526708</v>
      </c>
      <c r="L93" s="25" t="str">
        <f>IF(K93="","",IF(B93="Break","Break",IF(K93&lt;&gt;0,"Work Finished",IF(B93="OFF","Work Finished",IF(I93="","Working","Work Finished")))))</f>
        <v>Work Finished</v>
      </c>
      <c r="O93" s="33">
        <f t="shared" si="2"/>
        <v>0</v>
      </c>
      <c r="P93" s="33">
        <f t="shared" si="3"/>
        <v>13</v>
      </c>
    </row>
    <row r="94" spans="1:16">
      <c r="A94" s="20" t="s">
        <v>265</v>
      </c>
      <c r="B94" s="22" t="s">
        <v>81</v>
      </c>
      <c r="H94" s="21">
        <v>44069.558055555557</v>
      </c>
      <c r="I94" s="23" t="str">
        <f>_xlfn.IFNA(VLOOKUP(A94,A95:$H$3523,8,0),"")</f>
        <v/>
      </c>
      <c r="J94" s="40">
        <f>IF(B94="OFF",0,IF(AND(D94&lt;&gt;"",E94&lt;&gt;""),E94-D94+1,""))</f>
        <v>0</v>
      </c>
      <c r="K94" s="24">
        <f>IF(H94="","",IFERROR((I94-H94)*24,0))</f>
        <v>0</v>
      </c>
      <c r="L94" s="25" t="str">
        <f>IF(K94="","",IF(B94="Break","Break",IF(K94&lt;&gt;0,"Work Finished",IF(B94="OFF","Work Finished",IF(I94="","Working","Work Finished")))))</f>
        <v>Work Finished</v>
      </c>
      <c r="O94" s="33">
        <f t="shared" si="2"/>
        <v>0</v>
      </c>
      <c r="P94" s="33">
        <f t="shared" si="3"/>
        <v>13</v>
      </c>
    </row>
    <row r="95" spans="1:16">
      <c r="A95" s="20" t="s">
        <v>262</v>
      </c>
      <c r="B95" s="22" t="s">
        <v>81</v>
      </c>
      <c r="H95" s="21">
        <v>44069.55878472222</v>
      </c>
      <c r="I95" s="23" t="str">
        <f>_xlfn.IFNA(VLOOKUP(A95,A96:$H$3523,8,0),"")</f>
        <v/>
      </c>
      <c r="J95" s="40">
        <f>IF(B95="OFF",0,IF(AND(D95&lt;&gt;"",E95&lt;&gt;""),E95-D95+1,""))</f>
        <v>0</v>
      </c>
      <c r="K95" s="24">
        <f>IF(H95="","",IFERROR((I95-H95)*24,0))</f>
        <v>0</v>
      </c>
      <c r="L95" s="25" t="str">
        <f>IF(K95="","",IF(B95="Break","Break",IF(K95&lt;&gt;0,"Work Finished",IF(B95="OFF","Work Finished",IF(I95="","Working","Work Finished")))))</f>
        <v>Work Finished</v>
      </c>
      <c r="O95" s="33">
        <f t="shared" si="2"/>
        <v>0</v>
      </c>
      <c r="P95" s="33">
        <f t="shared" si="3"/>
        <v>13</v>
      </c>
    </row>
    <row r="96" spans="1:16">
      <c r="A96" s="20" t="s">
        <v>254</v>
      </c>
      <c r="B96" s="22" t="s">
        <v>81</v>
      </c>
      <c r="H96" s="21">
        <v>44069.55976851852</v>
      </c>
      <c r="I96" s="23">
        <f>_xlfn.IFNA(VLOOKUP(A96,A97:$H$3524,8,0),"")</f>
        <v>44069.700914351852</v>
      </c>
      <c r="J96" s="40">
        <f>IF(B96="OFF",0,IF(AND(D96&lt;&gt;"",E96&lt;&gt;""),E96-D96+1,""))</f>
        <v>0</v>
      </c>
      <c r="K96" s="24">
        <f>IF(H96="","",IFERROR((I96-H96)*24,0))</f>
        <v>3.3874999999534339</v>
      </c>
      <c r="L96" s="25" t="str">
        <f>IF(K96="","",IF(B96="Break","Break",IF(K96&lt;&gt;0,"Work Finished",IF(B96="OFF","Work Finished",IF(I96="","Working","Work Finished")))))</f>
        <v>Work Finished</v>
      </c>
      <c r="O96" s="33">
        <f t="shared" si="2"/>
        <v>0</v>
      </c>
      <c r="P96" s="33">
        <f t="shared" si="3"/>
        <v>13</v>
      </c>
    </row>
    <row r="97" spans="1:24">
      <c r="A97" s="20" t="s">
        <v>54</v>
      </c>
      <c r="B97" s="22" t="s">
        <v>81</v>
      </c>
      <c r="H97" s="21">
        <v>44069.564236111109</v>
      </c>
      <c r="I97" s="23" t="str">
        <f>_xlfn.IFNA(VLOOKUP(A97,A98:$H$3523,8,0),"")</f>
        <v/>
      </c>
      <c r="J97" s="40">
        <f>IF(B97="OFF",0,IF(AND(D97&lt;&gt;"",E97&lt;&gt;""),E97-D97+1,""))</f>
        <v>0</v>
      </c>
      <c r="K97" s="24">
        <f>IF(H97="","",IFERROR((I97-H97)*24,0))</f>
        <v>0</v>
      </c>
      <c r="L97" s="25" t="str">
        <f>IF(K97="","",IF(B97="Break","Break",IF(K97&lt;&gt;0,"Work Finished",IF(B97="OFF","Work Finished",IF(I97="","Working","Work Finished")))))</f>
        <v>Work Finished</v>
      </c>
      <c r="O97" s="33">
        <f t="shared" si="2"/>
        <v>0</v>
      </c>
      <c r="P97" s="33">
        <f t="shared" si="3"/>
        <v>13</v>
      </c>
    </row>
    <row r="98" spans="1:24" s="70" customFormat="1">
      <c r="A98" s="62" t="s">
        <v>66</v>
      </c>
      <c r="B98" s="63" t="s">
        <v>38</v>
      </c>
      <c r="C98" s="62" t="s">
        <v>273</v>
      </c>
      <c r="D98" s="62" t="s">
        <v>40</v>
      </c>
      <c r="E98" s="62" t="s">
        <v>40</v>
      </c>
      <c r="F98" s="62" t="s">
        <v>40</v>
      </c>
      <c r="G98" s="62" t="s">
        <v>52</v>
      </c>
      <c r="H98" s="64">
        <v>44069.572268518517</v>
      </c>
      <c r="I98" s="65">
        <f>_xlfn.IFNA(VLOOKUP(A98,A99:$H$3524,8,0),"")</f>
        <v>44069.574074074073</v>
      </c>
      <c r="J98" s="66">
        <f>IF(B98="OFF",0,IF(AND(D98&lt;&gt;"",E98&lt;&gt;""),E98-D98+1,""))</f>
        <v>1</v>
      </c>
      <c r="K98" s="67">
        <f>IF(H98="","",IFERROR((I98-H98)*24,0))</f>
        <v>4.3333333334885538E-2</v>
      </c>
      <c r="L98" s="68" t="str">
        <f>IF(K98="","",IF(B98="Break","Break",IF(K98&lt;&gt;0,"Work Finished",IF(B98="OFF","Work Finished",IF(I98="","Working","Work Finished")))))</f>
        <v>Work Finished</v>
      </c>
      <c r="M98" s="58"/>
      <c r="N98" s="58"/>
      <c r="O98" s="58">
        <f t="shared" si="2"/>
        <v>1</v>
      </c>
      <c r="P98" s="58">
        <f t="shared" si="3"/>
        <v>13</v>
      </c>
      <c r="Q98" s="58" t="s">
        <v>80</v>
      </c>
      <c r="R98" s="69"/>
      <c r="S98" s="69"/>
      <c r="T98" s="69"/>
      <c r="U98" s="69"/>
      <c r="V98" s="69"/>
      <c r="W98" s="69"/>
      <c r="X98" s="69"/>
    </row>
    <row r="99" spans="1:24" s="70" customFormat="1">
      <c r="A99" s="62" t="s">
        <v>274</v>
      </c>
      <c r="B99" s="63" t="s">
        <v>38</v>
      </c>
      <c r="C99" s="62" t="s">
        <v>275</v>
      </c>
      <c r="D99" s="62" t="s">
        <v>40</v>
      </c>
      <c r="E99" s="62" t="s">
        <v>71</v>
      </c>
      <c r="F99" s="62" t="s">
        <v>71</v>
      </c>
      <c r="G99" s="62" t="s">
        <v>43</v>
      </c>
      <c r="H99" s="64">
        <v>44069.57303240741</v>
      </c>
      <c r="I99" s="65">
        <f>_xlfn.IFNA(VLOOKUP(A99,A100:$H$3524,8,0),"")</f>
        <v>44069.579837962963</v>
      </c>
      <c r="J99" s="66">
        <f>IF(B99="OFF",0,IF(AND(D99&lt;&gt;"",E99&lt;&gt;""),E99-D99+1,""))</f>
        <v>5</v>
      </c>
      <c r="K99" s="67">
        <f>IF(H99="","",IFERROR((I99-H99)*24,0))</f>
        <v>0.16333333327202126</v>
      </c>
      <c r="L99" s="68" t="str">
        <f>IF(K99="","",IF(B99="Break","Break",IF(K99&lt;&gt;0,"Work Finished",IF(B99="OFF","Work Finished",IF(I99="","Working","Work Finished")))))</f>
        <v>Work Finished</v>
      </c>
      <c r="M99" s="58">
        <v>3</v>
      </c>
      <c r="N99" s="58"/>
      <c r="O99" s="58">
        <f t="shared" si="2"/>
        <v>2</v>
      </c>
      <c r="P99" s="58">
        <f t="shared" si="3"/>
        <v>13</v>
      </c>
      <c r="Q99" s="58" t="s">
        <v>80</v>
      </c>
      <c r="R99" s="69"/>
      <c r="S99" s="69"/>
      <c r="T99" s="69"/>
      <c r="U99" s="69"/>
      <c r="V99" s="69"/>
      <c r="W99" s="69"/>
      <c r="X99" s="69"/>
    </row>
    <row r="100" spans="1:24">
      <c r="A100" s="71" t="s">
        <v>66</v>
      </c>
      <c r="B100" s="22" t="s">
        <v>81</v>
      </c>
      <c r="H100" s="21">
        <v>44069.574074074073</v>
      </c>
      <c r="I100" s="23" t="str">
        <f>_xlfn.IFNA(VLOOKUP(A100,A101:$H$3524,8,0),"")</f>
        <v/>
      </c>
      <c r="J100" s="40">
        <f>IF(B100="OFF",0,IF(AND(D100&lt;&gt;"",E100&lt;&gt;""),E100-D100+1,""))</f>
        <v>0</v>
      </c>
      <c r="K100" s="24">
        <f>IF(H100="","",IFERROR((I100-H100)*24,0))</f>
        <v>0</v>
      </c>
      <c r="L100" s="25" t="str">
        <f>IF(K100="","",IF(B100="Break","Break",IF(K100&lt;&gt;0,"Work Finished",IF(B100="OFF","Work Finished",IF(I100="","Working","Work Finished")))))</f>
        <v>Work Finished</v>
      </c>
      <c r="O100" s="33">
        <f t="shared" si="2"/>
        <v>0</v>
      </c>
      <c r="P100" s="33">
        <f t="shared" si="3"/>
        <v>13</v>
      </c>
    </row>
    <row r="101" spans="1:24">
      <c r="A101" s="20" t="s">
        <v>274</v>
      </c>
      <c r="B101" s="22" t="s">
        <v>81</v>
      </c>
      <c r="H101" s="21">
        <v>44069.579837962963</v>
      </c>
      <c r="I101" s="23" t="str">
        <f>_xlfn.IFNA(VLOOKUP(A101,A102:$H$3524,8,0),"")</f>
        <v/>
      </c>
      <c r="J101" s="40">
        <f>IF(B101="OFF",0,IF(AND(D101&lt;&gt;"",E101&lt;&gt;""),E101-D101+1,""))</f>
        <v>0</v>
      </c>
      <c r="K101" s="24">
        <f>IF(H101="","",IFERROR((I101-H101)*24,0))</f>
        <v>0</v>
      </c>
      <c r="L101" s="25" t="str">
        <f>IF(K101="","",IF(B101="Break","Break",IF(K101&lt;&gt;0,"Work Finished",IF(B101="OFF","Work Finished",IF(I101="","Working","Work Finished")))))</f>
        <v>Work Finished</v>
      </c>
      <c r="O101" s="33">
        <f t="shared" si="2"/>
        <v>0</v>
      </c>
      <c r="P101" s="33">
        <f t="shared" si="3"/>
        <v>13</v>
      </c>
    </row>
    <row r="102" spans="1:24">
      <c r="A102" s="20" t="s">
        <v>267</v>
      </c>
      <c r="B102" s="22" t="s">
        <v>38</v>
      </c>
      <c r="C102" s="20" t="s">
        <v>276</v>
      </c>
      <c r="D102" s="20" t="s">
        <v>40</v>
      </c>
      <c r="E102" s="20" t="s">
        <v>98</v>
      </c>
      <c r="F102" s="20" t="s">
        <v>144</v>
      </c>
      <c r="G102" s="20" t="s">
        <v>43</v>
      </c>
      <c r="H102" s="21">
        <v>44069.587326388886</v>
      </c>
      <c r="I102" s="23">
        <f>_xlfn.IFNA(VLOOKUP(A102,A103:$H$3524,8,0),"")</f>
        <v>44069.613495370373</v>
      </c>
      <c r="J102" s="40">
        <f>IF(B102="OFF",0,IF(AND(D102&lt;&gt;"",E102&lt;&gt;""),E102-D102+1,""))</f>
        <v>20</v>
      </c>
      <c r="K102" s="24">
        <f>IF(H102="","",IFERROR((I102-H102)*24,0))</f>
        <v>0.62805555568775162</v>
      </c>
      <c r="L102" s="25" t="str">
        <f>IF(K102="","",IF(B102="Break","Break",IF(K102&lt;&gt;0,"Work Finished",IF(B102="OFF","Work Finished",IF(I102="","Working","Work Finished")))))</f>
        <v>Work Finished</v>
      </c>
      <c r="O102" s="33">
        <f t="shared" si="2"/>
        <v>20</v>
      </c>
      <c r="P102" s="33">
        <f t="shared" si="3"/>
        <v>14</v>
      </c>
      <c r="Q102" s="33" t="s">
        <v>80</v>
      </c>
    </row>
    <row r="103" spans="1:24">
      <c r="A103" s="20" t="s">
        <v>269</v>
      </c>
      <c r="B103" s="22" t="s">
        <v>38</v>
      </c>
      <c r="C103" s="20" t="s">
        <v>277</v>
      </c>
      <c r="D103" s="20" t="s">
        <v>40</v>
      </c>
      <c r="E103" s="20" t="s">
        <v>50</v>
      </c>
      <c r="F103" s="20" t="s">
        <v>278</v>
      </c>
      <c r="G103" s="20" t="s">
        <v>43</v>
      </c>
      <c r="H103" s="21">
        <v>44069.589004629626</v>
      </c>
      <c r="I103" s="23">
        <f>_xlfn.IFNA(VLOOKUP(A103,A104:$H$3524,8,0),"")</f>
        <v>44069.613020833334</v>
      </c>
      <c r="J103" s="40">
        <f>IF(B103="OFF",0,IF(AND(D103&lt;&gt;"",E103&lt;&gt;""),E103-D103+1,""))</f>
        <v>10</v>
      </c>
      <c r="K103" s="24">
        <f>IF(H103="","",IFERROR((I103-H103)*24,0))</f>
        <v>0.57638888899236917</v>
      </c>
      <c r="L103" s="25" t="str">
        <f>IF(K103="","",IF(B103="Break","Break",IF(K103&lt;&gt;0,"Work Finished",IF(B103="OFF","Work Finished",IF(I103="","Working","Work Finished")))))</f>
        <v>Work Finished</v>
      </c>
      <c r="M103" s="33">
        <v>4</v>
      </c>
      <c r="O103" s="33">
        <f t="shared" si="2"/>
        <v>6</v>
      </c>
      <c r="P103" s="33">
        <f t="shared" si="3"/>
        <v>14</v>
      </c>
    </row>
    <row r="104" spans="1:24">
      <c r="A104" s="20" t="s">
        <v>271</v>
      </c>
      <c r="B104" s="22" t="s">
        <v>38</v>
      </c>
      <c r="C104" s="20" t="s">
        <v>277</v>
      </c>
      <c r="D104" s="20" t="s">
        <v>40</v>
      </c>
      <c r="E104" s="20" t="s">
        <v>50</v>
      </c>
      <c r="F104" s="20" t="s">
        <v>278</v>
      </c>
      <c r="G104" s="20" t="s">
        <v>43</v>
      </c>
      <c r="H104" s="21">
        <v>44069.589421296296</v>
      </c>
      <c r="I104" s="23">
        <f>_xlfn.IFNA(VLOOKUP(A104,A105:$H$3524,8,0),"")</f>
        <v>44069.604050925926</v>
      </c>
      <c r="J104" s="40">
        <f>IF(B104="OFF",0,IF(AND(D104&lt;&gt;"",E104&lt;&gt;""),E104-D104+1,""))</f>
        <v>10</v>
      </c>
      <c r="K104" s="24">
        <f>IF(H104="","",IFERROR((I104-H104)*24,0))</f>
        <v>0.35111111111473292</v>
      </c>
      <c r="L104" s="25" t="str">
        <f>IF(K104="","",IF(B104="Break","Break",IF(K104&lt;&gt;0,"Work Finished",IF(B104="OFF","Work Finished",IF(I104="","Working","Work Finished")))))</f>
        <v>Work Finished</v>
      </c>
      <c r="M104" s="33">
        <v>1</v>
      </c>
      <c r="O104" s="33">
        <f t="shared" si="2"/>
        <v>9</v>
      </c>
      <c r="P104" s="33">
        <f t="shared" si="3"/>
        <v>14</v>
      </c>
      <c r="Q104" s="33" t="s">
        <v>80</v>
      </c>
    </row>
    <row r="105" spans="1:24">
      <c r="A105" s="20" t="s">
        <v>279</v>
      </c>
      <c r="B105" s="22" t="s">
        <v>38</v>
      </c>
      <c r="C105" s="20" t="s">
        <v>277</v>
      </c>
      <c r="D105" s="20" t="s">
        <v>40</v>
      </c>
      <c r="E105" s="20" t="s">
        <v>50</v>
      </c>
      <c r="F105" s="20" t="s">
        <v>278</v>
      </c>
      <c r="G105" s="20" t="s">
        <v>43</v>
      </c>
      <c r="H105" s="21">
        <v>44069.589849537035</v>
      </c>
      <c r="I105" s="23">
        <f>_xlfn.IFNA(VLOOKUP(A105,A106:$H$3524,8,0),"")</f>
        <v>44069.610671296294</v>
      </c>
      <c r="J105" s="40">
        <f>IF(B105="OFF",0,IF(AND(D105&lt;&gt;"",E105&lt;&gt;""),E105-D105+1,""))</f>
        <v>10</v>
      </c>
      <c r="K105" s="24">
        <f>IF(H105="","",IFERROR((I105-H105)*24,0))</f>
        <v>0.499722222215496</v>
      </c>
      <c r="L105" s="25" t="str">
        <f>IF(K105="","",IF(B105="Break","Break",IF(K105&lt;&gt;0,"Work Finished",IF(B105="OFF","Work Finished",IF(I105="","Working","Work Finished")))))</f>
        <v>Work Finished</v>
      </c>
      <c r="O105" s="33">
        <f t="shared" si="2"/>
        <v>10</v>
      </c>
      <c r="P105" s="33">
        <f t="shared" si="3"/>
        <v>14</v>
      </c>
      <c r="Q105" s="33" t="s">
        <v>80</v>
      </c>
    </row>
    <row r="106" spans="1:24">
      <c r="A106" s="20" t="s">
        <v>263</v>
      </c>
      <c r="B106" s="22" t="s">
        <v>38</v>
      </c>
      <c r="C106" s="20" t="s">
        <v>280</v>
      </c>
      <c r="D106" s="20" t="s">
        <v>40</v>
      </c>
      <c r="E106" s="20" t="s">
        <v>63</v>
      </c>
      <c r="F106" s="20" t="s">
        <v>154</v>
      </c>
      <c r="G106" s="20" t="s">
        <v>43</v>
      </c>
      <c r="H106" s="21">
        <v>44069.590277777781</v>
      </c>
      <c r="I106" s="23">
        <f>_xlfn.IFNA(VLOOKUP(A106,A107:$H$3524,8,0),"")</f>
        <v>44069.607025462959</v>
      </c>
      <c r="J106" s="40">
        <f>IF(B106="OFF",0,IF(AND(D106&lt;&gt;"",E106&lt;&gt;""),E106-D106+1,""))</f>
        <v>18</v>
      </c>
      <c r="K106" s="24">
        <f>IF(H106="","",IFERROR((I106-H106)*24,0))</f>
        <v>0.4019444442819804</v>
      </c>
      <c r="L106" s="25" t="str">
        <f>IF(K106="","",IF(B106="Break","Break",IF(K106&lt;&gt;0,"Work Finished",IF(B106="OFF","Work Finished",IF(I106="","Working","Work Finished")))))</f>
        <v>Work Finished</v>
      </c>
      <c r="O106" s="33">
        <f t="shared" si="2"/>
        <v>18</v>
      </c>
      <c r="P106" s="33">
        <f t="shared" si="3"/>
        <v>14</v>
      </c>
      <c r="Q106" s="33" t="s">
        <v>80</v>
      </c>
    </row>
    <row r="107" spans="1:24">
      <c r="A107" s="20" t="s">
        <v>281</v>
      </c>
      <c r="B107" s="22" t="s">
        <v>38</v>
      </c>
      <c r="C107" s="20" t="s">
        <v>280</v>
      </c>
      <c r="D107" s="20" t="s">
        <v>40</v>
      </c>
      <c r="E107" s="20" t="s">
        <v>63</v>
      </c>
      <c r="F107" s="20" t="s">
        <v>154</v>
      </c>
      <c r="G107" s="20" t="s">
        <v>43</v>
      </c>
      <c r="H107" s="21">
        <v>44069.590624999997</v>
      </c>
      <c r="I107" s="23">
        <f>_xlfn.IFNA(VLOOKUP(A107,A108:$H$3524,8,0),"")</f>
        <v>44069.613912037035</v>
      </c>
      <c r="J107" s="40">
        <f>IF(B107="OFF",0,IF(AND(D107&lt;&gt;"",E107&lt;&gt;""),E107-D107+1,""))</f>
        <v>18</v>
      </c>
      <c r="K107" s="24">
        <f>IF(H107="","",IFERROR((I107-H107)*24,0))</f>
        <v>0.55888888891786337</v>
      </c>
      <c r="L107" s="25" t="str">
        <f>IF(K107="","",IF(B107="Break","Break",IF(K107&lt;&gt;0,"Work Finished",IF(B107="OFF","Work Finished",IF(I107="","Working","Work Finished")))))</f>
        <v>Work Finished</v>
      </c>
      <c r="M107" s="33">
        <v>1</v>
      </c>
      <c r="O107" s="33">
        <f t="shared" si="2"/>
        <v>17</v>
      </c>
      <c r="P107" s="33">
        <f t="shared" si="3"/>
        <v>14</v>
      </c>
      <c r="Q107" s="33" t="s">
        <v>80</v>
      </c>
    </row>
    <row r="108" spans="1:24">
      <c r="A108" s="20" t="s">
        <v>282</v>
      </c>
      <c r="B108" s="22" t="s">
        <v>38</v>
      </c>
      <c r="C108" s="20" t="s">
        <v>277</v>
      </c>
      <c r="D108" s="20" t="s">
        <v>40</v>
      </c>
      <c r="E108" s="20" t="s">
        <v>87</v>
      </c>
      <c r="F108" s="20" t="s">
        <v>278</v>
      </c>
      <c r="G108" s="20" t="s">
        <v>43</v>
      </c>
      <c r="H108" s="21">
        <v>44069.590960648151</v>
      </c>
      <c r="I108" s="23">
        <f>_xlfn.IFNA(VLOOKUP(A108,A109:$H$3524,8,0),"")</f>
        <v>44069.600277777776</v>
      </c>
      <c r="J108" s="40">
        <f>IF(B108="OFF",0,IF(AND(D108&lt;&gt;"",E108&lt;&gt;""),E108-D108+1,""))</f>
        <v>8</v>
      </c>
      <c r="K108" s="24">
        <f>IF(H108="","",IFERROR((I108-H108)*24,0))</f>
        <v>0.22361111099598929</v>
      </c>
      <c r="L108" s="25" t="str">
        <f>IF(K108="","",IF(B108="Break","Break",IF(K108&lt;&gt;0,"Work Finished",IF(B108="OFF","Work Finished",IF(I108="","Working","Work Finished")))))</f>
        <v>Work Finished</v>
      </c>
      <c r="M108" s="33">
        <v>2</v>
      </c>
      <c r="O108" s="33">
        <f t="shared" si="2"/>
        <v>6</v>
      </c>
      <c r="P108" s="33">
        <f t="shared" si="3"/>
        <v>14</v>
      </c>
      <c r="Q108" s="33" t="s">
        <v>80</v>
      </c>
    </row>
    <row r="109" spans="1:24">
      <c r="A109" s="20" t="s">
        <v>257</v>
      </c>
      <c r="B109" s="22" t="s">
        <v>38</v>
      </c>
      <c r="C109" s="20" t="s">
        <v>283</v>
      </c>
      <c r="D109" s="20" t="s">
        <v>40</v>
      </c>
      <c r="E109" s="20" t="s">
        <v>63</v>
      </c>
      <c r="F109" s="20" t="s">
        <v>153</v>
      </c>
      <c r="G109" s="20" t="s">
        <v>43</v>
      </c>
      <c r="H109" s="21">
        <v>44069.591331018521</v>
      </c>
      <c r="I109" s="23">
        <f>_xlfn.IFNA(VLOOKUP(A109,A110:$H$3524,8,0),"")</f>
        <v>44069.602071759262</v>
      </c>
      <c r="J109" s="40">
        <f>IF(B109="OFF",0,IF(AND(D109&lt;&gt;"",E109&lt;&gt;""),E109-D109+1,""))</f>
        <v>18</v>
      </c>
      <c r="K109" s="24">
        <f>IF(H109="","",IFERROR((I109-H109)*24,0))</f>
        <v>0.25777777779148892</v>
      </c>
      <c r="L109" s="25" t="str">
        <f>IF(K109="","",IF(B109="Break","Break",IF(K109&lt;&gt;0,"Work Finished",IF(B109="OFF","Work Finished",IF(I109="","Working","Work Finished")))))</f>
        <v>Work Finished</v>
      </c>
      <c r="M109" s="33">
        <v>3</v>
      </c>
      <c r="O109" s="33">
        <f t="shared" si="2"/>
        <v>15</v>
      </c>
      <c r="P109" s="33">
        <f t="shared" si="3"/>
        <v>14</v>
      </c>
      <c r="Q109" s="33" t="s">
        <v>80</v>
      </c>
    </row>
    <row r="110" spans="1:24">
      <c r="A110" s="20" t="s">
        <v>284</v>
      </c>
      <c r="B110" s="22" t="s">
        <v>38</v>
      </c>
      <c r="C110" s="20" t="s">
        <v>283</v>
      </c>
      <c r="D110" s="20" t="s">
        <v>40</v>
      </c>
      <c r="E110" s="20" t="s">
        <v>94</v>
      </c>
      <c r="F110" s="20" t="s">
        <v>153</v>
      </c>
      <c r="G110" s="20" t="s">
        <v>43</v>
      </c>
      <c r="H110" s="21">
        <v>44069.591666666667</v>
      </c>
      <c r="I110" s="23">
        <f>_xlfn.IFNA(VLOOKUP(A110,A111:$H$3524,8,0),"")</f>
        <v>44069.623668981483</v>
      </c>
      <c r="J110" s="40">
        <f>IF(B110="OFF",0,IF(AND(D110&lt;&gt;"",E110&lt;&gt;""),E110-D110+1,""))</f>
        <v>19</v>
      </c>
      <c r="K110" s="24">
        <f>IF(H110="","",IFERROR((I110-H110)*24,0))</f>
        <v>0.76805555558530614</v>
      </c>
      <c r="L110" s="25" t="str">
        <f>IF(K110="","",IF(B110="Break","Break",IF(K110&lt;&gt;0,"Work Finished",IF(B110="OFF","Work Finished",IF(I110="","Working","Work Finished")))))</f>
        <v>Work Finished</v>
      </c>
      <c r="M110" s="33">
        <v>1</v>
      </c>
      <c r="O110" s="33">
        <f t="shared" si="2"/>
        <v>18</v>
      </c>
      <c r="P110" s="33">
        <f t="shared" si="3"/>
        <v>14</v>
      </c>
      <c r="Q110" s="33" t="s">
        <v>80</v>
      </c>
    </row>
    <row r="111" spans="1:24">
      <c r="A111" s="20" t="s">
        <v>285</v>
      </c>
      <c r="B111" s="22" t="s">
        <v>38</v>
      </c>
      <c r="C111" s="20" t="s">
        <v>295</v>
      </c>
      <c r="D111" s="20" t="s">
        <v>40</v>
      </c>
      <c r="E111" s="20" t="s">
        <v>63</v>
      </c>
      <c r="F111" s="20" t="s">
        <v>158</v>
      </c>
      <c r="G111" s="20" t="s">
        <v>43</v>
      </c>
      <c r="H111" s="21">
        <v>44069.592083333337</v>
      </c>
      <c r="I111" s="23">
        <f>_xlfn.IFNA(VLOOKUP(A111,A112:$H$3524,8,0),"")</f>
        <v>44069.610474537039</v>
      </c>
      <c r="J111" s="40">
        <f>IF(B111="OFF",0,IF(AND(D111&lt;&gt;"",E111&lt;&gt;""),E111-D111+1,""))</f>
        <v>18</v>
      </c>
      <c r="K111" s="24">
        <f>IF(H111="","",IFERROR((I111-H111)*24,0))</f>
        <v>0.44138888886664063</v>
      </c>
      <c r="L111" s="25" t="str">
        <f>IF(K111="","",IF(B111="Break","Break",IF(K111&lt;&gt;0,"Work Finished",IF(B111="OFF","Work Finished",IF(I111="","Working","Work Finished")))))</f>
        <v>Work Finished</v>
      </c>
      <c r="O111" s="33">
        <f t="shared" si="2"/>
        <v>18</v>
      </c>
      <c r="P111" s="33">
        <f t="shared" si="3"/>
        <v>14</v>
      </c>
      <c r="Q111" s="33" t="s">
        <v>80</v>
      </c>
    </row>
    <row r="112" spans="1:24">
      <c r="A112" s="20" t="s">
        <v>260</v>
      </c>
      <c r="B112" s="22" t="s">
        <v>38</v>
      </c>
      <c r="C112" s="20" t="s">
        <v>286</v>
      </c>
      <c r="D112" s="20" t="s">
        <v>40</v>
      </c>
      <c r="E112" s="20" t="s">
        <v>92</v>
      </c>
      <c r="F112" s="20" t="s">
        <v>51</v>
      </c>
      <c r="G112" s="20" t="s">
        <v>52</v>
      </c>
      <c r="H112" s="21">
        <v>44069.592465277776</v>
      </c>
      <c r="I112" s="23">
        <f>_xlfn.IFNA(VLOOKUP(A112,A113:$H$3524,8,0),"")</f>
        <v>44069.608240740738</v>
      </c>
      <c r="J112" s="40">
        <f>IF(B112="OFF",0,IF(AND(D112&lt;&gt;"",E112&lt;&gt;""),E112-D112+1,""))</f>
        <v>11</v>
      </c>
      <c r="K112" s="24">
        <f>IF(H112="","",IFERROR((I112-H112)*24,0))</f>
        <v>0.37861111108213663</v>
      </c>
      <c r="L112" s="25" t="str">
        <f>IF(K112="","",IF(B112="Break","Break",IF(K112&lt;&gt;0,"Work Finished",IF(B112="OFF","Work Finished",IF(I112="","Working","Work Finished")))))</f>
        <v>Work Finished</v>
      </c>
      <c r="M112" s="33">
        <v>2</v>
      </c>
      <c r="O112" s="33">
        <f t="shared" si="2"/>
        <v>9</v>
      </c>
      <c r="P112" s="33">
        <f t="shared" si="3"/>
        <v>14</v>
      </c>
      <c r="Q112" s="33" t="s">
        <v>80</v>
      </c>
    </row>
    <row r="113" spans="1:17">
      <c r="A113" s="20" t="s">
        <v>48</v>
      </c>
      <c r="B113" s="22" t="s">
        <v>38</v>
      </c>
      <c r="C113" s="20" t="s">
        <v>287</v>
      </c>
      <c r="D113" s="20" t="s">
        <v>40</v>
      </c>
      <c r="E113" s="20" t="s">
        <v>91</v>
      </c>
      <c r="F113" s="20" t="s">
        <v>57</v>
      </c>
      <c r="G113" s="20" t="s">
        <v>52</v>
      </c>
      <c r="H113" s="21">
        <v>44069.592824074076</v>
      </c>
      <c r="I113" s="23">
        <f>_xlfn.IFNA(VLOOKUP(A113,A114:$H$3524,8,0),"")</f>
        <v>44069.604212962964</v>
      </c>
      <c r="J113" s="40">
        <f>IF(B113="OFF",0,IF(AND(D113&lt;&gt;"",E113&lt;&gt;""),E113-D113+1,""))</f>
        <v>9</v>
      </c>
      <c r="K113" s="24">
        <f>IF(H113="","",IFERROR((I113-H113)*24,0))</f>
        <v>0.27333333331625909</v>
      </c>
      <c r="L113" s="25" t="str">
        <f>IF(K113="","",IF(B113="Break","Break",IF(K113&lt;&gt;0,"Work Finished",IF(B113="OFF","Work Finished",IF(I113="","Working","Work Finished")))))</f>
        <v>Work Finished</v>
      </c>
      <c r="M113" s="33">
        <v>2</v>
      </c>
      <c r="O113" s="33">
        <f t="shared" si="2"/>
        <v>7</v>
      </c>
      <c r="P113" s="33">
        <f t="shared" si="3"/>
        <v>14</v>
      </c>
      <c r="Q113" s="33" t="s">
        <v>80</v>
      </c>
    </row>
    <row r="114" spans="1:17">
      <c r="A114" s="20" t="s">
        <v>68</v>
      </c>
      <c r="B114" s="22" t="s">
        <v>38</v>
      </c>
      <c r="C114" s="20" t="s">
        <v>288</v>
      </c>
      <c r="D114" s="20" t="s">
        <v>40</v>
      </c>
      <c r="E114" s="20" t="s">
        <v>102</v>
      </c>
      <c r="F114" s="20" t="s">
        <v>51</v>
      </c>
      <c r="G114" s="20" t="s">
        <v>52</v>
      </c>
      <c r="H114" s="21">
        <v>44069.593171296299</v>
      </c>
      <c r="I114" s="23">
        <f>_xlfn.IFNA(VLOOKUP(A114,A115:$H$3524,8,0),"")</f>
        <v>44069.604699074072</v>
      </c>
      <c r="J114" s="40">
        <f>IF(B114="OFF",0,IF(AND(D114&lt;&gt;"",E114&lt;&gt;""),E114-D114+1,""))</f>
        <v>14</v>
      </c>
      <c r="K114" s="24">
        <f>IF(H114="","",IFERROR((I114-H114)*24,0))</f>
        <v>0.27666666655568406</v>
      </c>
      <c r="L114" s="25" t="str">
        <f>IF(K114="","",IF(B114="Break","Break",IF(K114&lt;&gt;0,"Work Finished",IF(B114="OFF","Work Finished",IF(I114="","Working","Work Finished")))))</f>
        <v>Work Finished</v>
      </c>
      <c r="O114" s="33">
        <f t="shared" si="2"/>
        <v>14</v>
      </c>
      <c r="P114" s="33">
        <f t="shared" si="3"/>
        <v>14</v>
      </c>
      <c r="Q114" s="33" t="s">
        <v>80</v>
      </c>
    </row>
    <row r="115" spans="1:17">
      <c r="A115" s="20" t="s">
        <v>289</v>
      </c>
      <c r="B115" s="22" t="s">
        <v>38</v>
      </c>
      <c r="C115" s="20" t="s">
        <v>290</v>
      </c>
      <c r="D115" s="20" t="s">
        <v>40</v>
      </c>
      <c r="E115" s="20" t="s">
        <v>40</v>
      </c>
      <c r="F115" s="20" t="s">
        <v>104</v>
      </c>
      <c r="G115" s="20" t="s">
        <v>52</v>
      </c>
      <c r="H115" s="21">
        <v>44069.593900462962</v>
      </c>
      <c r="I115" s="23">
        <f>_xlfn.IFNA(VLOOKUP(A115,A116:$H$3524,8,0),"")</f>
        <v>44069.596944444442</v>
      </c>
      <c r="J115" s="40">
        <f>IF(B115="OFF",0,IF(AND(D115&lt;&gt;"",E115&lt;&gt;""),E115-D115+1,""))</f>
        <v>1</v>
      </c>
      <c r="K115" s="24">
        <f>IF(H115="","",IFERROR((I115-H115)*24,0))</f>
        <v>7.3055555520113558E-2</v>
      </c>
      <c r="L115" s="25" t="str">
        <f>IF(K115="","",IF(B115="Break","Break",IF(K115&lt;&gt;0,"Work Finished",IF(B115="OFF","Work Finished",IF(I115="","Working","Work Finished")))))</f>
        <v>Work Finished</v>
      </c>
      <c r="M115" s="33">
        <v>2</v>
      </c>
      <c r="O115" s="33">
        <f t="shared" si="2"/>
        <v>-1</v>
      </c>
      <c r="P115" s="33">
        <f t="shared" si="3"/>
        <v>14</v>
      </c>
      <c r="Q115" s="33" t="s">
        <v>80</v>
      </c>
    </row>
    <row r="116" spans="1:17">
      <c r="A116" s="20" t="s">
        <v>272</v>
      </c>
      <c r="B116" s="22" t="s">
        <v>38</v>
      </c>
      <c r="C116" s="20" t="s">
        <v>291</v>
      </c>
      <c r="D116" s="20" t="s">
        <v>40</v>
      </c>
      <c r="E116" s="20" t="s">
        <v>98</v>
      </c>
      <c r="F116" s="20" t="s">
        <v>57</v>
      </c>
      <c r="G116" s="20" t="s">
        <v>43</v>
      </c>
      <c r="H116" s="21">
        <v>44069.594282407408</v>
      </c>
      <c r="I116" s="23">
        <f>_xlfn.IFNA(VLOOKUP(A116,A117:$H$3524,8,0),"")</f>
        <v>44069.606122685182</v>
      </c>
      <c r="J116" s="40">
        <f>IF(B116="OFF",0,IF(AND(D116&lt;&gt;"",E116&lt;&gt;""),E116-D116+1,""))</f>
        <v>20</v>
      </c>
      <c r="K116" s="24">
        <f>IF(H116="","",IFERROR((I116-H116)*24,0))</f>
        <v>0.28416666656266898</v>
      </c>
      <c r="L116" s="25" t="str">
        <f>IF(K116="","",IF(B116="Break","Break",IF(K116&lt;&gt;0,"Work Finished",IF(B116="OFF","Work Finished",IF(I116="","Working","Work Finished")))))</f>
        <v>Work Finished</v>
      </c>
      <c r="O116" s="33">
        <f t="shared" si="2"/>
        <v>20</v>
      </c>
      <c r="P116" s="33">
        <f t="shared" si="3"/>
        <v>14</v>
      </c>
      <c r="Q116" s="33" t="s">
        <v>80</v>
      </c>
    </row>
    <row r="117" spans="1:17">
      <c r="A117" s="20" t="s">
        <v>64</v>
      </c>
      <c r="B117" s="22" t="s">
        <v>38</v>
      </c>
      <c r="C117" s="20" t="s">
        <v>292</v>
      </c>
      <c r="D117" s="20" t="s">
        <v>40</v>
      </c>
      <c r="E117" s="20" t="s">
        <v>91</v>
      </c>
      <c r="F117" s="20" t="s">
        <v>93</v>
      </c>
      <c r="G117" s="20" t="s">
        <v>52</v>
      </c>
      <c r="H117" s="21">
        <v>44069.594849537039</v>
      </c>
      <c r="I117" s="23">
        <f>_xlfn.IFNA(VLOOKUP(A117,A118:$H$3524,8,0),"")</f>
        <v>44069.603275462963</v>
      </c>
      <c r="J117" s="40">
        <f>IF(B117="OFF",0,IF(AND(D117&lt;&gt;"",E117&lt;&gt;""),E117-D117+1,""))</f>
        <v>9</v>
      </c>
      <c r="K117" s="24">
        <f>IF(H117="","",IFERROR((I117-H117)*24,0))</f>
        <v>0.20222222217125818</v>
      </c>
      <c r="L117" s="25" t="str">
        <f>IF(K117="","",IF(B117="Break","Break",IF(K117&lt;&gt;0,"Work Finished",IF(B117="OFF","Work Finished",IF(I117="","Working","Work Finished")))))</f>
        <v>Work Finished</v>
      </c>
      <c r="O117" s="33">
        <f t="shared" si="2"/>
        <v>9</v>
      </c>
      <c r="P117" s="33">
        <f t="shared" si="3"/>
        <v>14</v>
      </c>
      <c r="Q117" s="33" t="s">
        <v>53</v>
      </c>
    </row>
    <row r="118" spans="1:17">
      <c r="A118" s="20" t="s">
        <v>293</v>
      </c>
      <c r="B118" s="22" t="s">
        <v>38</v>
      </c>
      <c r="C118" s="20" t="s">
        <v>294</v>
      </c>
      <c r="D118" s="20" t="s">
        <v>40</v>
      </c>
      <c r="E118" s="20" t="s">
        <v>60</v>
      </c>
      <c r="F118" s="20" t="s">
        <v>57</v>
      </c>
      <c r="G118" s="20" t="s">
        <v>52</v>
      </c>
      <c r="H118" s="21">
        <v>44069.595219907409</v>
      </c>
      <c r="I118" s="23">
        <f>_xlfn.IFNA(VLOOKUP(A118,A119:$H$3524,8,0),"")</f>
        <v>44069.607546296298</v>
      </c>
      <c r="J118" s="40">
        <f>IF(B118="OFF",0,IF(AND(D118&lt;&gt;"",E118&lt;&gt;""),E118-D118+1,""))</f>
        <v>17</v>
      </c>
      <c r="K118" s="24">
        <f>IF(H118="","",IFERROR((I118-H118)*24,0))</f>
        <v>0.29583333333721384</v>
      </c>
      <c r="L118" s="25" t="str">
        <f>IF(K118="","",IF(B118="Break","Break",IF(K118&lt;&gt;0,"Work Finished",IF(B118="OFF","Work Finished",IF(I118="","Working","Work Finished")))))</f>
        <v>Work Finished</v>
      </c>
      <c r="O118" s="33">
        <f t="shared" si="2"/>
        <v>17</v>
      </c>
      <c r="P118" s="33">
        <f t="shared" si="3"/>
        <v>14</v>
      </c>
      <c r="Q118" s="33" t="s">
        <v>53</v>
      </c>
    </row>
    <row r="119" spans="1:17">
      <c r="A119" s="20" t="s">
        <v>289</v>
      </c>
      <c r="B119" s="22" t="s">
        <v>81</v>
      </c>
      <c r="H119" s="21">
        <v>44069.596944444442</v>
      </c>
      <c r="I119" s="23">
        <f>_xlfn.IFNA(VLOOKUP(A119,A120:$H$3524,8,0),"")</f>
        <v>44069.64371527778</v>
      </c>
      <c r="J119" s="40">
        <f>IF(B119="OFF",0,IF(AND(D119&lt;&gt;"",E119&lt;&gt;""),E119-D119+1,""))</f>
        <v>0</v>
      </c>
      <c r="K119" s="24">
        <f>IF(H119="","",IFERROR((I119-H119)*24,0))</f>
        <v>1.122500000114087</v>
      </c>
      <c r="L119" s="25" t="str">
        <f>IF(K119="","",IF(B119="Break","Break",IF(K119&lt;&gt;0,"Work Finished",IF(B119="OFF","Work Finished",IF(I119="","Working","Work Finished")))))</f>
        <v>Work Finished</v>
      </c>
      <c r="M119" s="33">
        <v>1</v>
      </c>
      <c r="O119" s="33">
        <f t="shared" ref="O119:O182" si="4">IF(AND(J119="",M119="",N119=""),"",J119-M119-N119)</f>
        <v>-1</v>
      </c>
      <c r="P119" s="33">
        <f t="shared" ref="P119:P182" si="5">IF(HOUR(H119)=0,"",HOUR(H119))</f>
        <v>14</v>
      </c>
      <c r="Q119" s="33" t="s">
        <v>53</v>
      </c>
    </row>
    <row r="120" spans="1:17">
      <c r="A120" s="20" t="s">
        <v>282</v>
      </c>
      <c r="B120" s="22" t="s">
        <v>81</v>
      </c>
      <c r="H120" s="21">
        <v>44069.600277777776</v>
      </c>
      <c r="I120" s="23">
        <f>_xlfn.IFNA(VLOOKUP(A120,A121:$H$3524,8,0),"")</f>
        <v>44069.767604166664</v>
      </c>
      <c r="J120" s="40">
        <f>IF(B120="OFF",0,IF(AND(D120&lt;&gt;"",E120&lt;&gt;""),E120-D120+1,""))</f>
        <v>0</v>
      </c>
      <c r="K120" s="24">
        <f>IF(H120="","",IFERROR((I120-H120)*24,0))</f>
        <v>4.0158333333092742</v>
      </c>
      <c r="L120" s="25" t="str">
        <f>IF(K120="","",IF(B120="Break","Break",IF(K120&lt;&gt;0,"Work Finished",IF(B120="OFF","Work Finished",IF(I120="","Working","Work Finished")))))</f>
        <v>Work Finished</v>
      </c>
      <c r="O120" s="33">
        <f t="shared" si="4"/>
        <v>0</v>
      </c>
      <c r="P120" s="33">
        <f t="shared" si="5"/>
        <v>14</v>
      </c>
    </row>
    <row r="121" spans="1:17">
      <c r="A121" s="20" t="s">
        <v>257</v>
      </c>
      <c r="B121" s="22" t="s">
        <v>81</v>
      </c>
      <c r="H121" s="21">
        <v>44069.602071759262</v>
      </c>
      <c r="I121" s="23">
        <f>_xlfn.IFNA(VLOOKUP(A121,A122:$H$3524,8,0),"")</f>
        <v>44069.656921296293</v>
      </c>
      <c r="J121" s="40">
        <f>IF(B121="OFF",0,IF(AND(D121&lt;&gt;"",E121&lt;&gt;""),E121-D121+1,""))</f>
        <v>0</v>
      </c>
      <c r="K121" s="24">
        <f>IF(H121="","",IFERROR((I121-H121)*24,0))</f>
        <v>1.3163888887502253</v>
      </c>
      <c r="L121" s="25" t="str">
        <f>IF(K121="","",IF(B121="Break","Break",IF(K121&lt;&gt;0,"Work Finished",IF(B121="OFF","Work Finished",IF(I121="","Working","Work Finished")))))</f>
        <v>Work Finished</v>
      </c>
      <c r="O121" s="33">
        <f t="shared" si="4"/>
        <v>0</v>
      </c>
      <c r="P121" s="33">
        <f t="shared" si="5"/>
        <v>14</v>
      </c>
    </row>
    <row r="122" spans="1:17">
      <c r="A122" s="20" t="s">
        <v>64</v>
      </c>
      <c r="B122" s="22" t="s">
        <v>81</v>
      </c>
      <c r="H122" s="21">
        <v>44069.603275462963</v>
      </c>
      <c r="I122" s="23">
        <f>_xlfn.IFNA(VLOOKUP(A122,A123:$H$3524,8,0),"")</f>
        <v>44069.656076388892</v>
      </c>
      <c r="J122" s="40">
        <f>IF(B122="OFF",0,IF(AND(D122&lt;&gt;"",E122&lt;&gt;""),E122-D122+1,""))</f>
        <v>0</v>
      </c>
      <c r="K122" s="24">
        <f>IF(H122="","",IFERROR((I122-H122)*24,0))</f>
        <v>1.2672222222900018</v>
      </c>
      <c r="L122" s="25" t="str">
        <f>IF(K122="","",IF(B122="Break","Break",IF(K122&lt;&gt;0,"Work Finished",IF(B122="OFF","Work Finished",IF(I122="","Working","Work Finished")))))</f>
        <v>Work Finished</v>
      </c>
      <c r="O122" s="33">
        <f t="shared" si="4"/>
        <v>0</v>
      </c>
      <c r="P122" s="33">
        <f t="shared" si="5"/>
        <v>14</v>
      </c>
    </row>
    <row r="123" spans="1:17">
      <c r="A123" s="20" t="s">
        <v>271</v>
      </c>
      <c r="B123" s="22" t="s">
        <v>81</v>
      </c>
      <c r="H123" s="21">
        <v>44069.604050925926</v>
      </c>
      <c r="I123" s="23" t="str">
        <f>_xlfn.IFNA(VLOOKUP(A123,A124:$H$3524,8,0),"")</f>
        <v/>
      </c>
      <c r="J123" s="40">
        <f>IF(B123="OFF",0,IF(AND(D123&lt;&gt;"",E123&lt;&gt;""),E123-D123+1,""))</f>
        <v>0</v>
      </c>
      <c r="K123" s="24">
        <f>IF(H123="","",IFERROR((I123-H123)*24,0))</f>
        <v>0</v>
      </c>
      <c r="L123" s="25" t="str">
        <f>IF(K123="","",IF(B123="Break","Break",IF(K123&lt;&gt;0,"Work Finished",IF(B123="OFF","Work Finished",IF(I123="","Working","Work Finished")))))</f>
        <v>Work Finished</v>
      </c>
      <c r="O123" s="33">
        <f t="shared" si="4"/>
        <v>0</v>
      </c>
      <c r="P123" s="33">
        <f t="shared" si="5"/>
        <v>14</v>
      </c>
    </row>
    <row r="124" spans="1:17">
      <c r="A124" s="20" t="s">
        <v>48</v>
      </c>
      <c r="B124" s="22" t="s">
        <v>81</v>
      </c>
      <c r="H124" s="21">
        <v>44069.604212962964</v>
      </c>
      <c r="I124" s="23" t="str">
        <f>_xlfn.IFNA(VLOOKUP(A124,A125:$H$3524,8,0),"")</f>
        <v/>
      </c>
      <c r="J124" s="40">
        <f>IF(B124="OFF",0,IF(AND(D124&lt;&gt;"",E124&lt;&gt;""),E124-D124+1,""))</f>
        <v>0</v>
      </c>
      <c r="K124" s="24">
        <f>IF(H124="","",IFERROR((I124-H124)*24,0))</f>
        <v>0</v>
      </c>
      <c r="L124" s="25" t="str">
        <f>IF(K124="","",IF(B124="Break","Break",IF(K124&lt;&gt;0,"Work Finished",IF(B124="OFF","Work Finished",IF(I124="","Working","Work Finished")))))</f>
        <v>Work Finished</v>
      </c>
      <c r="O124" s="33">
        <f t="shared" si="4"/>
        <v>0</v>
      </c>
      <c r="P124" s="33">
        <f t="shared" si="5"/>
        <v>14</v>
      </c>
    </row>
    <row r="125" spans="1:17">
      <c r="A125" s="20" t="s">
        <v>68</v>
      </c>
      <c r="B125" s="22" t="s">
        <v>81</v>
      </c>
      <c r="H125" s="21">
        <v>44069.604699074072</v>
      </c>
      <c r="I125" s="23" t="str">
        <f>_xlfn.IFNA(VLOOKUP(A125,A126:$H$3524,8,0),"")</f>
        <v/>
      </c>
      <c r="J125" s="40">
        <f>IF(B125="OFF",0,IF(AND(D125&lt;&gt;"",E125&lt;&gt;""),E125-D125+1,""))</f>
        <v>0</v>
      </c>
      <c r="K125" s="24">
        <f>IF(H125="","",IFERROR((I125-H125)*24,0))</f>
        <v>0</v>
      </c>
      <c r="L125" s="25" t="str">
        <f>IF(K125="","",IF(B125="Break","Break",IF(K125&lt;&gt;0,"Work Finished",IF(B125="OFF","Work Finished",IF(I125="","Working","Work Finished")))))</f>
        <v>Work Finished</v>
      </c>
      <c r="O125" s="33">
        <f t="shared" si="4"/>
        <v>0</v>
      </c>
      <c r="P125" s="33">
        <f t="shared" si="5"/>
        <v>14</v>
      </c>
    </row>
    <row r="126" spans="1:17">
      <c r="A126" s="20" t="s">
        <v>272</v>
      </c>
      <c r="B126" s="22" t="s">
        <v>81</v>
      </c>
      <c r="H126" s="21">
        <v>44069.606122685182</v>
      </c>
      <c r="I126" s="23">
        <f>_xlfn.IFNA(VLOOKUP(A126,A127:$H$3524,8,0),"")</f>
        <v>44069.676423611112</v>
      </c>
      <c r="J126" s="40">
        <f>IF(B126="OFF",0,IF(AND(D126&lt;&gt;"",E126&lt;&gt;""),E126-D126+1,""))</f>
        <v>0</v>
      </c>
      <c r="K126" s="24">
        <f>IF(H126="","",IFERROR((I126-H126)*24,0))</f>
        <v>1.6872222223319113</v>
      </c>
      <c r="L126" s="25" t="str">
        <f>IF(K126="","",IF(B126="Break","Break",IF(K126&lt;&gt;0,"Work Finished",IF(B126="OFF","Work Finished",IF(I126="","Working","Work Finished")))))</f>
        <v>Work Finished</v>
      </c>
      <c r="O126" s="33">
        <f t="shared" si="4"/>
        <v>0</v>
      </c>
      <c r="P126" s="33">
        <f t="shared" si="5"/>
        <v>14</v>
      </c>
    </row>
    <row r="127" spans="1:17">
      <c r="A127" s="20" t="s">
        <v>263</v>
      </c>
      <c r="B127" s="22" t="s">
        <v>81</v>
      </c>
      <c r="H127" s="21">
        <v>44069.607025462959</v>
      </c>
      <c r="I127" s="23">
        <f>_xlfn.IFNA(VLOOKUP(A127,A128:$H$3524,8,0),"")</f>
        <v>44069.687916666669</v>
      </c>
      <c r="J127" s="40">
        <f>IF(B127="OFF",0,IF(AND(D127&lt;&gt;"",E127&lt;&gt;""),E127-D127+1,""))</f>
        <v>0</v>
      </c>
      <c r="K127" s="24">
        <f>IF(H127="","",IFERROR((I127-H127)*24,0))</f>
        <v>1.9413888890412636</v>
      </c>
      <c r="L127" s="25" t="str">
        <f>IF(K127="","",IF(B127="Break","Break",IF(K127&lt;&gt;0,"Work Finished",IF(B127="OFF","Work Finished",IF(I127="","Working","Work Finished")))))</f>
        <v>Work Finished</v>
      </c>
      <c r="O127" s="33">
        <f t="shared" si="4"/>
        <v>0</v>
      </c>
      <c r="P127" s="33">
        <f t="shared" si="5"/>
        <v>14</v>
      </c>
    </row>
    <row r="128" spans="1:17">
      <c r="A128" s="20" t="s">
        <v>293</v>
      </c>
      <c r="B128" s="22" t="s">
        <v>81</v>
      </c>
      <c r="H128" s="21">
        <v>44069.607546296298</v>
      </c>
      <c r="I128" s="23">
        <f>_xlfn.IFNA(VLOOKUP(A128,A129:$H$3524,8,0),"")</f>
        <v>44069.68990740741</v>
      </c>
      <c r="J128" s="40">
        <f>IF(B128="OFF",0,IF(AND(D128&lt;&gt;"",E128&lt;&gt;""),E128-D128+1,""))</f>
        <v>0</v>
      </c>
      <c r="K128" s="24">
        <f>IF(H128="","",IFERROR((I128-H128)*24,0))</f>
        <v>1.9766666666837409</v>
      </c>
      <c r="L128" s="25" t="str">
        <f>IF(K128="","",IF(B128="Break","Break",IF(K128&lt;&gt;0,"Work Finished",IF(B128="OFF","Work Finished",IF(I128="","Working","Work Finished")))))</f>
        <v>Work Finished</v>
      </c>
      <c r="O128" s="33">
        <f t="shared" si="4"/>
        <v>0</v>
      </c>
      <c r="P128" s="33">
        <f t="shared" si="5"/>
        <v>14</v>
      </c>
    </row>
    <row r="129" spans="1:17">
      <c r="A129" s="20" t="s">
        <v>260</v>
      </c>
      <c r="B129" s="22" t="s">
        <v>81</v>
      </c>
      <c r="H129" s="21">
        <v>44069.608240740738</v>
      </c>
      <c r="I129" s="23" t="str">
        <f>_xlfn.IFNA(VLOOKUP(A129,A130:$H$3524,8,0),"")</f>
        <v/>
      </c>
      <c r="J129" s="40">
        <f>IF(B129="OFF",0,IF(AND(D129&lt;&gt;"",E129&lt;&gt;""),E129-D129+1,""))</f>
        <v>0</v>
      </c>
      <c r="K129" s="24">
        <f>IF(H129="","",IFERROR((I129-H129)*24,0))</f>
        <v>0</v>
      </c>
      <c r="L129" s="25" t="str">
        <f>IF(K129="","",IF(B129="Break","Break",IF(K129&lt;&gt;0,"Work Finished",IF(B129="OFF","Work Finished",IF(I129="","Working","Work Finished")))))</f>
        <v>Work Finished</v>
      </c>
      <c r="O129" s="33">
        <f t="shared" si="4"/>
        <v>0</v>
      </c>
      <c r="P129" s="33">
        <f t="shared" si="5"/>
        <v>14</v>
      </c>
    </row>
    <row r="130" spans="1:17">
      <c r="A130" s="20" t="s">
        <v>285</v>
      </c>
      <c r="B130" s="22" t="s">
        <v>81</v>
      </c>
      <c r="H130" s="21">
        <v>44069.610474537039</v>
      </c>
      <c r="I130" s="23" t="str">
        <f>_xlfn.IFNA(VLOOKUP(A130,A131:$H$3524,8,0),"")</f>
        <v/>
      </c>
      <c r="J130" s="40">
        <f>IF(B130="OFF",0,IF(AND(D130&lt;&gt;"",E130&lt;&gt;""),E130-D130+1,""))</f>
        <v>0</v>
      </c>
      <c r="K130" s="24">
        <f>IF(H130="","",IFERROR((I130-H130)*24,0))</f>
        <v>0</v>
      </c>
      <c r="L130" s="25" t="str">
        <f>IF(K130="","",IF(B130="Break","Break",IF(K130&lt;&gt;0,"Work Finished",IF(B130="OFF","Work Finished",IF(I130="","Working","Work Finished")))))</f>
        <v>Work Finished</v>
      </c>
      <c r="O130" s="33">
        <f t="shared" si="4"/>
        <v>0</v>
      </c>
      <c r="P130" s="33">
        <f t="shared" si="5"/>
        <v>14</v>
      </c>
    </row>
    <row r="131" spans="1:17">
      <c r="A131" s="20" t="s">
        <v>279</v>
      </c>
      <c r="B131" s="22" t="s">
        <v>81</v>
      </c>
      <c r="H131" s="21">
        <v>44069.610671296294</v>
      </c>
      <c r="I131" s="23">
        <f>_xlfn.IFNA(VLOOKUP(A131,A132:$H$3524,8,0),"")</f>
        <v>44069.648333333331</v>
      </c>
      <c r="J131" s="40">
        <f>IF(B131="OFF",0,IF(AND(D131&lt;&gt;"",E131&lt;&gt;""),E131-D131+1,""))</f>
        <v>0</v>
      </c>
      <c r="K131" s="24">
        <f>IF(H131="","",IFERROR((I131-H131)*24,0))</f>
        <v>0.90388888888992369</v>
      </c>
      <c r="L131" s="25" t="str">
        <f>IF(K131="","",IF(B131="Break","Break",IF(K131&lt;&gt;0,"Work Finished",IF(B131="OFF","Work Finished",IF(I131="","Working","Work Finished")))))</f>
        <v>Work Finished</v>
      </c>
      <c r="O131" s="33">
        <f t="shared" si="4"/>
        <v>0</v>
      </c>
      <c r="P131" s="33">
        <f t="shared" si="5"/>
        <v>14</v>
      </c>
    </row>
    <row r="132" spans="1:17">
      <c r="A132" s="20" t="s">
        <v>269</v>
      </c>
      <c r="B132" s="22" t="s">
        <v>81</v>
      </c>
      <c r="H132" s="21">
        <v>44069.613020833334</v>
      </c>
      <c r="I132" s="23">
        <f>_xlfn.IFNA(VLOOKUP(A132,A133:$H$3524,8,0),"")</f>
        <v>44069.649652777778</v>
      </c>
      <c r="J132" s="40">
        <f>IF(B132="OFF",0,IF(AND(D132&lt;&gt;"",E132&lt;&gt;""),E132-D132+1,""))</f>
        <v>0</v>
      </c>
      <c r="K132" s="24">
        <f>IF(H132="","",IFERROR((I132-H132)*24,0))</f>
        <v>0.87916666665114462</v>
      </c>
      <c r="L132" s="25" t="str">
        <f>IF(K132="","",IF(B132="Break","Break",IF(K132&lt;&gt;0,"Work Finished",IF(B132="OFF","Work Finished",IF(I132="","Working","Work Finished")))))</f>
        <v>Work Finished</v>
      </c>
      <c r="O132" s="33">
        <f t="shared" si="4"/>
        <v>0</v>
      </c>
      <c r="P132" s="33">
        <f t="shared" si="5"/>
        <v>14</v>
      </c>
    </row>
    <row r="133" spans="1:17">
      <c r="A133" s="20" t="s">
        <v>267</v>
      </c>
      <c r="B133" s="22" t="s">
        <v>81</v>
      </c>
      <c r="H133" s="21">
        <v>44069.613495370373</v>
      </c>
      <c r="I133" s="23">
        <f>_xlfn.IFNA(VLOOKUP(A133,A134:$H$3524,8,0),"")</f>
        <v>44069.649201388886</v>
      </c>
      <c r="J133" s="40">
        <f>IF(B133="OFF",0,IF(AND(D133&lt;&gt;"",E133&lt;&gt;""),E133-D133+1,""))</f>
        <v>0</v>
      </c>
      <c r="K133" s="24">
        <f>IF(H133="","",IFERROR((I133-H133)*24,0))</f>
        <v>0.85694444429827854</v>
      </c>
      <c r="L133" s="25" t="str">
        <f>IF(K133="","",IF(B133="Break","Break",IF(K133&lt;&gt;0,"Work Finished",IF(B133="OFF","Work Finished",IF(I133="","Working","Work Finished")))))</f>
        <v>Work Finished</v>
      </c>
      <c r="O133" s="33">
        <f t="shared" si="4"/>
        <v>0</v>
      </c>
      <c r="P133" s="33">
        <f t="shared" si="5"/>
        <v>14</v>
      </c>
    </row>
    <row r="134" spans="1:17">
      <c r="A134" s="20" t="s">
        <v>281</v>
      </c>
      <c r="B134" s="22" t="s">
        <v>81</v>
      </c>
      <c r="H134" s="21">
        <v>44069.613912037035</v>
      </c>
      <c r="I134" s="23" t="str">
        <f>_xlfn.IFNA(VLOOKUP(A134,A135:$H$3524,8,0),"")</f>
        <v/>
      </c>
      <c r="J134" s="40">
        <f>IF(B134="OFF",0,IF(AND(D134&lt;&gt;"",E134&lt;&gt;""),E134-D134+1,""))</f>
        <v>0</v>
      </c>
      <c r="K134" s="24">
        <f>IF(H134="","",IFERROR((I134-H134)*24,0))</f>
        <v>0</v>
      </c>
      <c r="L134" s="25" t="str">
        <f>IF(K134="","",IF(B134="Break","Break",IF(K134&lt;&gt;0,"Work Finished",IF(B134="OFF","Work Finished",IF(I134="","Working","Work Finished")))))</f>
        <v>Work Finished</v>
      </c>
      <c r="O134" s="33">
        <f t="shared" si="4"/>
        <v>0</v>
      </c>
      <c r="P134" s="33">
        <f t="shared" si="5"/>
        <v>14</v>
      </c>
    </row>
    <row r="135" spans="1:17">
      <c r="A135" s="20" t="s">
        <v>296</v>
      </c>
      <c r="B135" s="22" t="s">
        <v>38</v>
      </c>
      <c r="C135" s="20" t="s">
        <v>276</v>
      </c>
      <c r="D135" s="20" t="s">
        <v>56</v>
      </c>
      <c r="E135" s="20" t="s">
        <v>121</v>
      </c>
      <c r="F135" s="20" t="s">
        <v>144</v>
      </c>
      <c r="G135" s="20" t="s">
        <v>43</v>
      </c>
      <c r="H135" s="21">
        <v>44069.615127314813</v>
      </c>
      <c r="I135" s="23">
        <f>_xlfn.IFNA(VLOOKUP(A135,A136:$H$3524,8,0),"")</f>
        <v>44069.615289351852</v>
      </c>
      <c r="J135" s="40">
        <f>IF(B135="OFF",0,IF(AND(D135&lt;&gt;"",E135&lt;&gt;""),E135-D135+1,""))</f>
        <v>28</v>
      </c>
      <c r="K135" s="24">
        <f>IF(H135="","",IFERROR((I135-H135)*24,0))</f>
        <v>3.8888889248482883E-3</v>
      </c>
      <c r="L135" s="25" t="str">
        <f>IF(K135="","",IF(B135="Break","Break",IF(K135&lt;&gt;0,"Work Finished",IF(B135="OFF","Work Finished",IF(I135="","Working","Work Finished")))))</f>
        <v>Work Finished</v>
      </c>
      <c r="O135" s="33">
        <f t="shared" si="4"/>
        <v>28</v>
      </c>
      <c r="P135" s="33">
        <f t="shared" si="5"/>
        <v>14</v>
      </c>
      <c r="Q135" s="33" t="s">
        <v>80</v>
      </c>
    </row>
    <row r="136" spans="1:17">
      <c r="A136" s="20" t="s">
        <v>296</v>
      </c>
      <c r="B136" s="22" t="s">
        <v>81</v>
      </c>
      <c r="H136" s="21">
        <v>44069.615289351852</v>
      </c>
      <c r="I136" s="23">
        <f>_xlfn.IFNA(VLOOKUP(A136,A137:$H$3524,8,0),"")</f>
        <v>44069.648715277777</v>
      </c>
      <c r="J136" s="40">
        <f>IF(B136="OFF",0,IF(AND(D136&lt;&gt;"",E136&lt;&gt;""),E136-D136+1,""))</f>
        <v>0</v>
      </c>
      <c r="K136" s="24">
        <f>IF(H136="","",IFERROR((I136-H136)*24,0))</f>
        <v>0.80222222220618278</v>
      </c>
      <c r="L136" s="25" t="str">
        <f>IF(K136="","",IF(B136="Break","Break",IF(K136&lt;&gt;0,"Work Finished",IF(B136="OFF","Work Finished",IF(I136="","Working","Work Finished")))))</f>
        <v>Work Finished</v>
      </c>
      <c r="O136" s="33">
        <f t="shared" si="4"/>
        <v>0</v>
      </c>
      <c r="P136" s="33">
        <f t="shared" si="5"/>
        <v>14</v>
      </c>
    </row>
    <row r="137" spans="1:17">
      <c r="A137" s="20" t="s">
        <v>284</v>
      </c>
      <c r="B137" s="22" t="s">
        <v>81</v>
      </c>
      <c r="H137" s="21">
        <v>44069.623668981483</v>
      </c>
      <c r="I137" s="23">
        <f>_xlfn.IFNA(VLOOKUP(A137,A138:$H$3524,8,0),"")</f>
        <v>44069.658148148148</v>
      </c>
      <c r="J137" s="40">
        <f>IF(B137="OFF",0,IF(AND(D137&lt;&gt;"",E137&lt;&gt;""),E137-D137+1,""))</f>
        <v>0</v>
      </c>
      <c r="K137" s="24">
        <f>IF(H137="","",IFERROR((I137-H137)*24,0))</f>
        <v>0.82749999995576218</v>
      </c>
      <c r="L137" s="25" t="str">
        <f>IF(K137="","",IF(B137="Break","Break",IF(K137&lt;&gt;0,"Work Finished",IF(B137="OFF","Work Finished",IF(I137="","Working","Work Finished")))))</f>
        <v>Work Finished</v>
      </c>
      <c r="O137" s="33">
        <f t="shared" si="4"/>
        <v>0</v>
      </c>
      <c r="P137" s="33">
        <f t="shared" si="5"/>
        <v>14</v>
      </c>
    </row>
    <row r="138" spans="1:17">
      <c r="A138" s="20" t="s">
        <v>72</v>
      </c>
      <c r="B138" s="22" t="s">
        <v>38</v>
      </c>
      <c r="C138" s="20" t="s">
        <v>332</v>
      </c>
      <c r="D138" s="20" t="s">
        <v>40</v>
      </c>
      <c r="E138" s="20" t="s">
        <v>126</v>
      </c>
      <c r="F138" s="20" t="s">
        <v>333</v>
      </c>
      <c r="G138" s="20" t="s">
        <v>43</v>
      </c>
      <c r="H138" s="21">
        <v>44069.639710648145</v>
      </c>
      <c r="I138" s="23">
        <f>_xlfn.IFNA(VLOOKUP(A138,A139:$H$3524,8,0),"")</f>
        <v>44069.668194444443</v>
      </c>
      <c r="J138" s="40">
        <f t="shared" ref="J119:J150" si="6">IF(B138="OFF",0,IF(AND(D138&lt;&gt;"",E138&lt;&gt;""),E138-D138+1,""))</f>
        <v>29</v>
      </c>
      <c r="K138" s="24">
        <f t="shared" ref="K119:K150" si="7">IF(H138="","",IFERROR((I138-H138)*24,0))</f>
        <v>0.68361111113335937</v>
      </c>
      <c r="L138" s="25" t="str">
        <f t="shared" ref="L119:L150" si="8">IF(K138="","",IF(B138="Break","Break",IF(K138&lt;&gt;0,"Work Finished",IF(B138="OFF","Work Finished",IF(I138="","Working","Work Finished")))))</f>
        <v>Work Finished</v>
      </c>
      <c r="O138" s="33">
        <f t="shared" si="4"/>
        <v>29</v>
      </c>
      <c r="P138" s="33">
        <f t="shared" si="5"/>
        <v>15</v>
      </c>
      <c r="Q138" s="33" t="s">
        <v>80</v>
      </c>
    </row>
    <row r="139" spans="1:17">
      <c r="A139" s="20" t="s">
        <v>200</v>
      </c>
      <c r="B139" s="22" t="s">
        <v>38</v>
      </c>
      <c r="C139" s="20" t="s">
        <v>332</v>
      </c>
      <c r="D139" s="20" t="s">
        <v>97</v>
      </c>
      <c r="E139" s="20" t="s">
        <v>116</v>
      </c>
      <c r="F139" s="20" t="s">
        <v>333</v>
      </c>
      <c r="G139" s="20" t="s">
        <v>43</v>
      </c>
      <c r="H139" s="21">
        <v>44069.6406712963</v>
      </c>
      <c r="I139" s="23">
        <f>_xlfn.IFNA(VLOOKUP(A139,A140:$H$3524,8,0),"")</f>
        <v>44069.669421296298</v>
      </c>
      <c r="J139" s="40">
        <f t="shared" si="6"/>
        <v>29</v>
      </c>
      <c r="K139" s="24">
        <f t="shared" si="7"/>
        <v>0.68999999994412065</v>
      </c>
      <c r="L139" s="25" t="str">
        <f t="shared" si="8"/>
        <v>Work Finished</v>
      </c>
      <c r="M139" s="33">
        <v>4</v>
      </c>
      <c r="O139" s="33">
        <f t="shared" si="4"/>
        <v>25</v>
      </c>
      <c r="P139" s="33">
        <f t="shared" si="5"/>
        <v>15</v>
      </c>
      <c r="Q139" s="33" t="s">
        <v>80</v>
      </c>
    </row>
    <row r="140" spans="1:17">
      <c r="A140" s="20" t="s">
        <v>37</v>
      </c>
      <c r="B140" s="22" t="s">
        <v>38</v>
      </c>
      <c r="C140" s="20" t="s">
        <v>334</v>
      </c>
      <c r="D140" s="20" t="s">
        <v>40</v>
      </c>
      <c r="E140" s="20" t="s">
        <v>93</v>
      </c>
      <c r="F140" s="20" t="s">
        <v>144</v>
      </c>
      <c r="G140" s="20" t="s">
        <v>43</v>
      </c>
      <c r="H140" s="21">
        <v>44069.640902777777</v>
      </c>
      <c r="I140" s="23">
        <f>_xlfn.IFNA(VLOOKUP(A140,A141:$H$3524,8,0),"")</f>
        <v>44069.657754629632</v>
      </c>
      <c r="J140" s="40">
        <f t="shared" si="6"/>
        <v>28</v>
      </c>
      <c r="K140" s="24">
        <f t="shared" si="7"/>
        <v>0.40444444451713935</v>
      </c>
      <c r="L140" s="25" t="str">
        <f t="shared" si="8"/>
        <v>Work Finished</v>
      </c>
      <c r="M140" s="33">
        <v>1</v>
      </c>
      <c r="O140" s="33">
        <f t="shared" si="4"/>
        <v>27</v>
      </c>
      <c r="P140" s="33">
        <f t="shared" si="5"/>
        <v>15</v>
      </c>
      <c r="Q140" s="33" t="s">
        <v>80</v>
      </c>
    </row>
    <row r="141" spans="1:17">
      <c r="A141" s="20" t="s">
        <v>289</v>
      </c>
      <c r="B141" s="22" t="s">
        <v>38</v>
      </c>
      <c r="C141" s="20" t="s">
        <v>334</v>
      </c>
      <c r="D141" s="20" t="s">
        <v>126</v>
      </c>
      <c r="E141" s="20" t="s">
        <v>111</v>
      </c>
      <c r="F141" s="20" t="s">
        <v>144</v>
      </c>
      <c r="G141" s="20" t="s">
        <v>43</v>
      </c>
      <c r="H141" s="21">
        <v>44069.64371527778</v>
      </c>
      <c r="I141" s="23">
        <f>_xlfn.IFNA(VLOOKUP(A141,A142:$H$3524,8,0),"")</f>
        <v>44069.664386574077</v>
      </c>
      <c r="J141" s="40">
        <f t="shared" si="6"/>
        <v>27</v>
      </c>
      <c r="K141" s="24">
        <f t="shared" si="7"/>
        <v>0.49611111113335937</v>
      </c>
      <c r="L141" s="25" t="str">
        <f t="shared" si="8"/>
        <v>Work Finished</v>
      </c>
      <c r="M141" s="33">
        <v>2</v>
      </c>
      <c r="O141" s="33">
        <f t="shared" si="4"/>
        <v>25</v>
      </c>
      <c r="P141" s="33">
        <f t="shared" si="5"/>
        <v>15</v>
      </c>
      <c r="Q141" s="33" t="s">
        <v>80</v>
      </c>
    </row>
    <row r="142" spans="1:17">
      <c r="A142" s="20" t="s">
        <v>279</v>
      </c>
      <c r="B142" s="22" t="s">
        <v>38</v>
      </c>
      <c r="C142" s="20" t="s">
        <v>335</v>
      </c>
      <c r="D142" s="20" t="s">
        <v>40</v>
      </c>
      <c r="E142" s="20" t="s">
        <v>127</v>
      </c>
      <c r="F142" s="20" t="s">
        <v>336</v>
      </c>
      <c r="G142" s="20" t="s">
        <v>43</v>
      </c>
      <c r="H142" s="21">
        <v>44069.648333333331</v>
      </c>
      <c r="I142" s="23">
        <f>_xlfn.IFNA(VLOOKUP(A142,A143:$H$3524,8,0),"")</f>
        <v>44069.673472222225</v>
      </c>
      <c r="J142" s="40">
        <f t="shared" si="6"/>
        <v>41</v>
      </c>
      <c r="K142" s="24">
        <f t="shared" si="7"/>
        <v>0.60333333344897255</v>
      </c>
      <c r="L142" s="25" t="str">
        <f t="shared" si="8"/>
        <v>Work Finished</v>
      </c>
      <c r="O142" s="33">
        <f t="shared" si="4"/>
        <v>41</v>
      </c>
      <c r="P142" s="33">
        <f t="shared" si="5"/>
        <v>15</v>
      </c>
      <c r="Q142" s="33" t="s">
        <v>80</v>
      </c>
    </row>
    <row r="143" spans="1:17">
      <c r="A143" s="20" t="s">
        <v>296</v>
      </c>
      <c r="B143" s="22" t="s">
        <v>38</v>
      </c>
      <c r="C143" s="20" t="s">
        <v>337</v>
      </c>
      <c r="D143" s="20" t="s">
        <v>40</v>
      </c>
      <c r="E143" s="20" t="s">
        <v>127</v>
      </c>
      <c r="F143" s="20" t="s">
        <v>338</v>
      </c>
      <c r="G143" s="20" t="s">
        <v>43</v>
      </c>
      <c r="H143" s="21">
        <v>44069.648715277777</v>
      </c>
      <c r="I143" s="23">
        <f>_xlfn.IFNA(VLOOKUP(A143,A144:$H$3524,8,0),"")</f>
        <v>44069.684027777781</v>
      </c>
      <c r="J143" s="40">
        <f t="shared" si="6"/>
        <v>41</v>
      </c>
      <c r="K143" s="24">
        <f t="shared" si="7"/>
        <v>0.84750000009080395</v>
      </c>
      <c r="L143" s="25" t="str">
        <f t="shared" si="8"/>
        <v>Work Finished</v>
      </c>
      <c r="M143" s="33">
        <v>3</v>
      </c>
      <c r="O143" s="33">
        <f t="shared" si="4"/>
        <v>38</v>
      </c>
      <c r="P143" s="33">
        <f t="shared" si="5"/>
        <v>15</v>
      </c>
      <c r="Q143" s="33" t="s">
        <v>80</v>
      </c>
    </row>
    <row r="144" spans="1:17">
      <c r="A144" s="20" t="s">
        <v>267</v>
      </c>
      <c r="B144" s="22" t="s">
        <v>38</v>
      </c>
      <c r="C144" s="20" t="s">
        <v>339</v>
      </c>
      <c r="D144" s="20" t="s">
        <v>40</v>
      </c>
      <c r="E144" s="20" t="s">
        <v>46</v>
      </c>
      <c r="F144" s="20" t="s">
        <v>340</v>
      </c>
      <c r="G144" s="20" t="s">
        <v>43</v>
      </c>
      <c r="H144" s="21">
        <v>44069.649201388886</v>
      </c>
      <c r="I144" s="23">
        <f>_xlfn.IFNA(VLOOKUP(A144,A145:$H$3524,8,0),"")</f>
        <v>44069.673796296294</v>
      </c>
      <c r="J144" s="40">
        <f t="shared" si="6"/>
        <v>25</v>
      </c>
      <c r="K144" s="24">
        <f t="shared" si="7"/>
        <v>0.59027777781011537</v>
      </c>
      <c r="L144" s="25" t="str">
        <f t="shared" si="8"/>
        <v>Work Finished</v>
      </c>
      <c r="M144" s="33">
        <v>2</v>
      </c>
      <c r="O144" s="33">
        <f t="shared" si="4"/>
        <v>23</v>
      </c>
      <c r="P144" s="33">
        <f t="shared" si="5"/>
        <v>15</v>
      </c>
      <c r="Q144" s="33" t="s">
        <v>80</v>
      </c>
    </row>
    <row r="145" spans="1:17">
      <c r="A145" s="20" t="s">
        <v>269</v>
      </c>
      <c r="B145" s="22" t="s">
        <v>38</v>
      </c>
      <c r="C145" s="20" t="s">
        <v>339</v>
      </c>
      <c r="D145" s="20" t="s">
        <v>74</v>
      </c>
      <c r="E145" s="20" t="s">
        <v>51</v>
      </c>
      <c r="F145" s="20" t="s">
        <v>340</v>
      </c>
      <c r="G145" s="20" t="s">
        <v>43</v>
      </c>
      <c r="H145" s="21">
        <v>44069.649652777778</v>
      </c>
      <c r="I145" s="23">
        <f>_xlfn.IFNA(VLOOKUP(A145,A146:$H$3524,8,0),"")</f>
        <v>44069.678136574075</v>
      </c>
      <c r="J145" s="40">
        <f t="shared" si="6"/>
        <v>24</v>
      </c>
      <c r="K145" s="24">
        <f t="shared" si="7"/>
        <v>0.68361111113335937</v>
      </c>
      <c r="L145" s="25" t="str">
        <f t="shared" si="8"/>
        <v>Work Finished</v>
      </c>
      <c r="M145" s="33">
        <v>3</v>
      </c>
      <c r="O145" s="33">
        <f t="shared" si="4"/>
        <v>21</v>
      </c>
      <c r="P145" s="33">
        <f t="shared" si="5"/>
        <v>15</v>
      </c>
      <c r="Q145" s="33" t="s">
        <v>80</v>
      </c>
    </row>
    <row r="146" spans="1:17">
      <c r="A146" s="20" t="s">
        <v>64</v>
      </c>
      <c r="B146" s="22" t="s">
        <v>38</v>
      </c>
      <c r="C146" s="20" t="s">
        <v>341</v>
      </c>
      <c r="D146" s="20" t="s">
        <v>40</v>
      </c>
      <c r="E146" s="20" t="s">
        <v>50</v>
      </c>
      <c r="F146" s="20" t="s">
        <v>57</v>
      </c>
      <c r="G146" s="20" t="s">
        <v>52</v>
      </c>
      <c r="H146" s="21">
        <v>44069.656076388892</v>
      </c>
      <c r="I146" s="23">
        <f>_xlfn.IFNA(VLOOKUP(A146,A147:$H$3524,8,0),"")</f>
        <v>44069.667141203703</v>
      </c>
      <c r="J146" s="40">
        <f t="shared" si="6"/>
        <v>10</v>
      </c>
      <c r="K146" s="24">
        <f t="shared" si="7"/>
        <v>0.26555555546656251</v>
      </c>
      <c r="L146" s="25" t="str">
        <f t="shared" si="8"/>
        <v>Work Finished</v>
      </c>
      <c r="M146" s="33">
        <v>1</v>
      </c>
      <c r="O146" s="33">
        <f t="shared" si="4"/>
        <v>9</v>
      </c>
      <c r="P146" s="33">
        <f t="shared" si="5"/>
        <v>15</v>
      </c>
      <c r="Q146" s="33" t="s">
        <v>80</v>
      </c>
    </row>
    <row r="147" spans="1:17">
      <c r="A147" s="20" t="s">
        <v>61</v>
      </c>
      <c r="B147" s="22" t="s">
        <v>38</v>
      </c>
      <c r="C147" s="20" t="s">
        <v>342</v>
      </c>
      <c r="D147" s="20" t="s">
        <v>40</v>
      </c>
      <c r="E147" s="20" t="s">
        <v>94</v>
      </c>
      <c r="F147" s="20" t="s">
        <v>121</v>
      </c>
      <c r="G147" s="20" t="s">
        <v>52</v>
      </c>
      <c r="H147" s="21">
        <v>44069.656319444446</v>
      </c>
      <c r="I147" s="23">
        <f>_xlfn.IFNA(VLOOKUP(A147,A148:$H$3524,8,0),"")</f>
        <v>44069.704085648147</v>
      </c>
      <c r="J147" s="40">
        <f t="shared" si="6"/>
        <v>19</v>
      </c>
      <c r="K147" s="24">
        <f t="shared" si="7"/>
        <v>1.1463888888247311</v>
      </c>
      <c r="L147" s="25" t="str">
        <f t="shared" si="8"/>
        <v>Work Finished</v>
      </c>
      <c r="O147" s="33">
        <f t="shared" si="4"/>
        <v>19</v>
      </c>
      <c r="P147" s="33">
        <f t="shared" si="5"/>
        <v>15</v>
      </c>
      <c r="Q147" s="33" t="s">
        <v>80</v>
      </c>
    </row>
    <row r="148" spans="1:17">
      <c r="A148" s="20" t="s">
        <v>257</v>
      </c>
      <c r="B148" s="22" t="s">
        <v>38</v>
      </c>
      <c r="C148" s="20" t="s">
        <v>343</v>
      </c>
      <c r="D148" s="20" t="s">
        <v>40</v>
      </c>
      <c r="E148" s="20" t="s">
        <v>91</v>
      </c>
      <c r="F148" s="20" t="s">
        <v>79</v>
      </c>
      <c r="G148" s="20" t="s">
        <v>52</v>
      </c>
      <c r="H148" s="21">
        <v>44069.656921296293</v>
      </c>
      <c r="I148" s="23">
        <f>_xlfn.IFNA(VLOOKUP(A148,A149:$H$3524,8,0),"")</f>
        <v>44069.663645833331</v>
      </c>
      <c r="J148" s="40">
        <f t="shared" si="6"/>
        <v>9</v>
      </c>
      <c r="K148" s="24">
        <f t="shared" si="7"/>
        <v>0.16138888889690861</v>
      </c>
      <c r="L148" s="25" t="str">
        <f t="shared" si="8"/>
        <v>Work Finished</v>
      </c>
      <c r="O148" s="33">
        <f t="shared" si="4"/>
        <v>9</v>
      </c>
      <c r="P148" s="33">
        <f t="shared" si="5"/>
        <v>15</v>
      </c>
      <c r="Q148" s="33" t="s">
        <v>80</v>
      </c>
    </row>
    <row r="149" spans="1:17">
      <c r="A149" s="20" t="s">
        <v>37</v>
      </c>
      <c r="B149" s="22" t="s">
        <v>38</v>
      </c>
      <c r="C149" s="20" t="s">
        <v>344</v>
      </c>
      <c r="D149" s="20" t="s">
        <v>40</v>
      </c>
      <c r="E149" s="20" t="s">
        <v>88</v>
      </c>
      <c r="F149" s="20" t="s">
        <v>121</v>
      </c>
      <c r="G149" s="20" t="s">
        <v>52</v>
      </c>
      <c r="H149" s="21">
        <v>44069.657754629632</v>
      </c>
      <c r="I149" s="23">
        <f>_xlfn.IFNA(VLOOKUP(A149,A150:$H$3524,8,0),"")</f>
        <v>44069.674027777779</v>
      </c>
      <c r="J149" s="40">
        <f t="shared" si="6"/>
        <v>16</v>
      </c>
      <c r="K149" s="24">
        <f t="shared" si="7"/>
        <v>0.39055555552477017</v>
      </c>
      <c r="L149" s="25" t="str">
        <f t="shared" si="8"/>
        <v>Work Finished</v>
      </c>
      <c r="O149" s="33">
        <f t="shared" si="4"/>
        <v>16</v>
      </c>
      <c r="P149" s="33">
        <f t="shared" si="5"/>
        <v>15</v>
      </c>
      <c r="Q149" s="33" t="s">
        <v>53</v>
      </c>
    </row>
    <row r="150" spans="1:17">
      <c r="A150" s="20" t="s">
        <v>284</v>
      </c>
      <c r="B150" s="22" t="s">
        <v>38</v>
      </c>
      <c r="C150" s="20" t="s">
        <v>345</v>
      </c>
      <c r="D150" s="20" t="s">
        <v>40</v>
      </c>
      <c r="E150" s="20" t="s">
        <v>94</v>
      </c>
      <c r="F150" s="20" t="s">
        <v>57</v>
      </c>
      <c r="G150" s="20" t="s">
        <v>52</v>
      </c>
      <c r="H150" s="21">
        <v>44069.658148148148</v>
      </c>
      <c r="I150" s="23">
        <f>_xlfn.IFNA(VLOOKUP(A150,A151:$H$3524,8,0),"")</f>
        <v>44069.682106481479</v>
      </c>
      <c r="J150" s="40">
        <f t="shared" si="6"/>
        <v>19</v>
      </c>
      <c r="K150" s="24">
        <f t="shared" si="7"/>
        <v>0.57499999995343387</v>
      </c>
      <c r="L150" s="25" t="str">
        <f t="shared" si="8"/>
        <v>Work Finished</v>
      </c>
      <c r="M150" s="33">
        <v>2</v>
      </c>
      <c r="O150" s="33">
        <f t="shared" si="4"/>
        <v>17</v>
      </c>
      <c r="P150" s="33">
        <f t="shared" si="5"/>
        <v>15</v>
      </c>
      <c r="Q150" s="33" t="s">
        <v>53</v>
      </c>
    </row>
    <row r="151" spans="1:17">
      <c r="A151" s="20" t="s">
        <v>72</v>
      </c>
      <c r="B151" s="22" t="s">
        <v>38</v>
      </c>
      <c r="C151" s="20" t="s">
        <v>346</v>
      </c>
      <c r="D151" s="20" t="s">
        <v>40</v>
      </c>
      <c r="E151" s="20" t="s">
        <v>88</v>
      </c>
      <c r="F151" s="20" t="s">
        <v>57</v>
      </c>
      <c r="G151" s="20" t="s">
        <v>52</v>
      </c>
      <c r="H151" s="21">
        <v>44069.668194444443</v>
      </c>
      <c r="I151" s="23">
        <f>_xlfn.IFNA(VLOOKUP(A151,A152:$H$3524,8,0),"")</f>
        <v>44069.673935185187</v>
      </c>
      <c r="J151" s="40">
        <f t="shared" ref="J151:J162" si="9">IF(B151="OFF",0,IF(AND(D151&lt;&gt;"",E151&lt;&gt;""),E151-D151+1,""))</f>
        <v>16</v>
      </c>
      <c r="K151" s="24">
        <f t="shared" ref="K151:K162" si="10">IF(H151="","",IFERROR((I151-H151)*24,0))</f>
        <v>0.13777777785435319</v>
      </c>
      <c r="L151" s="25" t="str">
        <f t="shared" ref="L151:L162" si="11">IF(K151="","",IF(B151="Break","Break",IF(K151&lt;&gt;0,"Work Finished",IF(B151="OFF","Work Finished",IF(I151="","Working","Work Finished")))))</f>
        <v>Work Finished</v>
      </c>
      <c r="O151" s="33">
        <f t="shared" si="4"/>
        <v>16</v>
      </c>
      <c r="P151" s="33">
        <f t="shared" si="5"/>
        <v>16</v>
      </c>
      <c r="Q151" s="33" t="s">
        <v>53</v>
      </c>
    </row>
    <row r="152" spans="1:17">
      <c r="A152" s="20" t="s">
        <v>257</v>
      </c>
      <c r="B152" s="22" t="s">
        <v>81</v>
      </c>
      <c r="H152" s="21">
        <v>44069.663645833331</v>
      </c>
      <c r="I152" s="23">
        <f>_xlfn.IFNA(VLOOKUP(A152,A153:$H$3524,8,0),"")</f>
        <v>44069.69803240741</v>
      </c>
      <c r="J152" s="40">
        <f t="shared" si="9"/>
        <v>0</v>
      </c>
      <c r="K152" s="24">
        <f t="shared" si="10"/>
        <v>0.82527777791256085</v>
      </c>
      <c r="L152" s="25" t="str">
        <f t="shared" si="11"/>
        <v>Work Finished</v>
      </c>
      <c r="O152" s="33">
        <f t="shared" si="4"/>
        <v>0</v>
      </c>
      <c r="P152" s="33">
        <f t="shared" si="5"/>
        <v>15</v>
      </c>
    </row>
    <row r="153" spans="1:17">
      <c r="A153" s="20" t="s">
        <v>289</v>
      </c>
      <c r="B153" s="22" t="s">
        <v>81</v>
      </c>
      <c r="H153" s="21">
        <v>44069.664386574077</v>
      </c>
      <c r="I153" s="23" t="str">
        <f>_xlfn.IFNA(VLOOKUP(A153,A154:$H$3524,8,0),"")</f>
        <v/>
      </c>
      <c r="J153" s="40">
        <f t="shared" si="9"/>
        <v>0</v>
      </c>
      <c r="K153" s="24">
        <f t="shared" si="10"/>
        <v>0</v>
      </c>
      <c r="L153" s="25" t="str">
        <f t="shared" si="11"/>
        <v>Work Finished</v>
      </c>
      <c r="O153" s="33">
        <f t="shared" si="4"/>
        <v>0</v>
      </c>
      <c r="P153" s="33">
        <f t="shared" si="5"/>
        <v>15</v>
      </c>
    </row>
    <row r="154" spans="1:17">
      <c r="A154" s="20" t="s">
        <v>64</v>
      </c>
      <c r="B154" s="22" t="s">
        <v>81</v>
      </c>
      <c r="H154" s="21">
        <v>44069.667141203703</v>
      </c>
      <c r="I154" s="23" t="str">
        <f>_xlfn.IFNA(VLOOKUP(A154,A155:$H$3524,8,0),"")</f>
        <v/>
      </c>
      <c r="J154" s="40">
        <f t="shared" si="9"/>
        <v>0</v>
      </c>
      <c r="K154" s="24">
        <f t="shared" si="10"/>
        <v>0</v>
      </c>
      <c r="L154" s="25" t="str">
        <f t="shared" si="11"/>
        <v>Work Finished</v>
      </c>
      <c r="O154" s="33">
        <f t="shared" si="4"/>
        <v>0</v>
      </c>
      <c r="P154" s="33">
        <f t="shared" si="5"/>
        <v>16</v>
      </c>
    </row>
    <row r="155" spans="1:17">
      <c r="A155" s="20" t="s">
        <v>200</v>
      </c>
      <c r="B155" s="22" t="s">
        <v>81</v>
      </c>
      <c r="H155" s="21">
        <v>44069.669421296298</v>
      </c>
      <c r="I155" s="23" t="str">
        <f>_xlfn.IFNA(VLOOKUP(A155,A156:$H$3524,8,0),"")</f>
        <v/>
      </c>
      <c r="J155" s="40">
        <f t="shared" si="9"/>
        <v>0</v>
      </c>
      <c r="K155" s="24">
        <f t="shared" si="10"/>
        <v>0</v>
      </c>
      <c r="L155" s="25" t="str">
        <f t="shared" si="11"/>
        <v>Work Finished</v>
      </c>
      <c r="O155" s="33">
        <f t="shared" si="4"/>
        <v>0</v>
      </c>
      <c r="P155" s="33">
        <f t="shared" si="5"/>
        <v>16</v>
      </c>
    </row>
    <row r="156" spans="1:17">
      <c r="A156" s="20" t="s">
        <v>279</v>
      </c>
      <c r="B156" s="22" t="s">
        <v>81</v>
      </c>
      <c r="H156" s="21">
        <v>44069.673472222225</v>
      </c>
      <c r="I156" s="23">
        <f>_xlfn.IFNA(VLOOKUP(A156,A157:$H$3524,8,0),"")</f>
        <v>44069.686249999999</v>
      </c>
      <c r="J156" s="40">
        <f t="shared" si="9"/>
        <v>0</v>
      </c>
      <c r="K156" s="24">
        <f t="shared" si="10"/>
        <v>0.30666666658362374</v>
      </c>
      <c r="L156" s="25" t="str">
        <f t="shared" si="11"/>
        <v>Work Finished</v>
      </c>
      <c r="O156" s="33">
        <f t="shared" si="4"/>
        <v>0</v>
      </c>
      <c r="P156" s="33">
        <f t="shared" si="5"/>
        <v>16</v>
      </c>
    </row>
    <row r="157" spans="1:17">
      <c r="A157" s="20" t="s">
        <v>267</v>
      </c>
      <c r="B157" s="22" t="s">
        <v>81</v>
      </c>
      <c r="H157" s="21">
        <v>44069.673796296294</v>
      </c>
      <c r="I157" s="23" t="str">
        <f>_xlfn.IFNA(VLOOKUP(A157,A158:$H$3524,8,0),"")</f>
        <v/>
      </c>
      <c r="J157" s="40">
        <f t="shared" si="9"/>
        <v>0</v>
      </c>
      <c r="K157" s="24">
        <f t="shared" si="10"/>
        <v>0</v>
      </c>
      <c r="L157" s="25" t="str">
        <f t="shared" si="11"/>
        <v>Work Finished</v>
      </c>
      <c r="O157" s="33">
        <f t="shared" si="4"/>
        <v>0</v>
      </c>
      <c r="P157" s="33">
        <f t="shared" si="5"/>
        <v>16</v>
      </c>
    </row>
    <row r="158" spans="1:17">
      <c r="A158" s="20" t="s">
        <v>72</v>
      </c>
      <c r="B158" s="22" t="s">
        <v>81</v>
      </c>
      <c r="H158" s="21">
        <v>44069.673935185187</v>
      </c>
      <c r="I158" s="23" t="str">
        <f>_xlfn.IFNA(VLOOKUP(A158,A159:$H$3524,8,0),"")</f>
        <v/>
      </c>
      <c r="J158" s="40">
        <f t="shared" si="9"/>
        <v>0</v>
      </c>
      <c r="K158" s="24">
        <f t="shared" si="10"/>
        <v>0</v>
      </c>
      <c r="L158" s="25" t="str">
        <f t="shared" si="11"/>
        <v>Work Finished</v>
      </c>
      <c r="O158" s="33">
        <f t="shared" si="4"/>
        <v>0</v>
      </c>
      <c r="P158" s="33">
        <f t="shared" si="5"/>
        <v>16</v>
      </c>
    </row>
    <row r="159" spans="1:17">
      <c r="A159" s="20" t="s">
        <v>37</v>
      </c>
      <c r="B159" s="22" t="s">
        <v>81</v>
      </c>
      <c r="H159" s="21">
        <v>44069.674027777779</v>
      </c>
      <c r="I159" s="23" t="str">
        <f>_xlfn.IFNA(VLOOKUP(A159,A160:$H$3524,8,0),"")</f>
        <v/>
      </c>
      <c r="J159" s="40">
        <f t="shared" si="9"/>
        <v>0</v>
      </c>
      <c r="K159" s="24">
        <f t="shared" si="10"/>
        <v>0</v>
      </c>
      <c r="L159" s="25" t="str">
        <f t="shared" si="11"/>
        <v>Work Finished</v>
      </c>
      <c r="O159" s="33">
        <f t="shared" si="4"/>
        <v>0</v>
      </c>
      <c r="P159" s="33">
        <f t="shared" si="5"/>
        <v>16</v>
      </c>
    </row>
    <row r="160" spans="1:17">
      <c r="A160" s="20" t="s">
        <v>272</v>
      </c>
      <c r="B160" s="22" t="s">
        <v>81</v>
      </c>
      <c r="H160" s="21">
        <v>44069.676423611112</v>
      </c>
      <c r="I160" s="23" t="str">
        <f>_xlfn.IFNA(VLOOKUP(A160,A161:$H$3524,8,0),"")</f>
        <v/>
      </c>
      <c r="J160" s="40">
        <f t="shared" si="9"/>
        <v>0</v>
      </c>
      <c r="K160" s="24">
        <f t="shared" si="10"/>
        <v>0</v>
      </c>
      <c r="L160" s="25" t="str">
        <f t="shared" si="11"/>
        <v>Work Finished</v>
      </c>
      <c r="O160" s="33">
        <f t="shared" si="4"/>
        <v>0</v>
      </c>
      <c r="P160" s="33">
        <f t="shared" si="5"/>
        <v>16</v>
      </c>
    </row>
    <row r="161" spans="1:17">
      <c r="A161" s="20" t="s">
        <v>269</v>
      </c>
      <c r="B161" s="22" t="s">
        <v>81</v>
      </c>
      <c r="H161" s="21">
        <v>44069.678136574075</v>
      </c>
      <c r="I161" s="23" t="str">
        <f>_xlfn.IFNA(VLOOKUP(A161,A162:$H$3524,8,0),"")</f>
        <v/>
      </c>
      <c r="J161" s="40">
        <f t="shared" si="9"/>
        <v>0</v>
      </c>
      <c r="K161" s="24">
        <f t="shared" si="10"/>
        <v>0</v>
      </c>
      <c r="L161" s="25" t="str">
        <f t="shared" si="11"/>
        <v>Work Finished</v>
      </c>
      <c r="O161" s="33">
        <f t="shared" si="4"/>
        <v>0</v>
      </c>
      <c r="P161" s="33">
        <f t="shared" si="5"/>
        <v>16</v>
      </c>
    </row>
    <row r="162" spans="1:17">
      <c r="A162" s="20" t="s">
        <v>284</v>
      </c>
      <c r="B162" s="22" t="s">
        <v>81</v>
      </c>
      <c r="H162" s="21">
        <v>44069.682106481479</v>
      </c>
      <c r="I162" s="23">
        <f>_xlfn.IFNA(VLOOKUP(A162,A163:$H$3524,8,0),"")</f>
        <v>44069.683865740742</v>
      </c>
      <c r="J162" s="40">
        <f t="shared" si="9"/>
        <v>0</v>
      </c>
      <c r="K162" s="24">
        <f t="shared" si="10"/>
        <v>4.2222222313284874E-2</v>
      </c>
      <c r="L162" s="25" t="str">
        <f t="shared" si="11"/>
        <v>Work Finished</v>
      </c>
      <c r="O162" s="33">
        <f t="shared" si="4"/>
        <v>0</v>
      </c>
      <c r="P162" s="33">
        <f t="shared" si="5"/>
        <v>16</v>
      </c>
    </row>
    <row r="163" spans="1:17">
      <c r="A163" s="20" t="s">
        <v>284</v>
      </c>
      <c r="B163" s="22" t="s">
        <v>38</v>
      </c>
      <c r="C163" s="20" t="s">
        <v>347</v>
      </c>
      <c r="D163" s="20" t="s">
        <v>40</v>
      </c>
      <c r="E163" s="20" t="s">
        <v>89</v>
      </c>
      <c r="F163" s="20" t="s">
        <v>86</v>
      </c>
      <c r="G163" s="20" t="s">
        <v>43</v>
      </c>
      <c r="H163" s="21">
        <v>44069.683865740742</v>
      </c>
      <c r="I163" s="23">
        <f>_xlfn.IFNA(VLOOKUP(A163,A164:$H$3524,8,0),"")</f>
        <v>44069.688437500001</v>
      </c>
      <c r="J163" s="40">
        <f t="shared" ref="J163:J181" si="12">IF(B163="OFF",0,IF(AND(D163&lt;&gt;"",E163&lt;&gt;""),E163-D163+1,""))</f>
        <v>3</v>
      </c>
      <c r="K163" s="24">
        <f t="shared" ref="K163:K181" si="13">IF(H163="","",IFERROR((I163-H163)*24,0))</f>
        <v>0.10972222220152617</v>
      </c>
      <c r="L163" s="25" t="str">
        <f t="shared" ref="L163:L181" si="14">IF(K163="","",IF(B163="Break","Break",IF(K163&lt;&gt;0,"Work Finished",IF(B163="OFF","Work Finished",IF(I163="","Working","Work Finished")))))</f>
        <v>Work Finished</v>
      </c>
      <c r="O163" s="33">
        <f t="shared" si="4"/>
        <v>3</v>
      </c>
      <c r="P163" s="33">
        <f t="shared" si="5"/>
        <v>16</v>
      </c>
      <c r="Q163" s="33" t="s">
        <v>80</v>
      </c>
    </row>
    <row r="164" spans="1:17">
      <c r="A164" s="20" t="s">
        <v>296</v>
      </c>
      <c r="B164" s="22" t="s">
        <v>38</v>
      </c>
      <c r="C164" s="20" t="s">
        <v>348</v>
      </c>
      <c r="D164" s="20" t="s">
        <v>40</v>
      </c>
      <c r="E164" s="20" t="s">
        <v>119</v>
      </c>
      <c r="F164" s="20" t="s">
        <v>349</v>
      </c>
      <c r="G164" s="20" t="s">
        <v>43</v>
      </c>
      <c r="H164" s="21">
        <v>44069.684027777781</v>
      </c>
      <c r="I164" s="23">
        <f>_xlfn.IFNA(VLOOKUP(A164,A165:$H$3524,8,0),"")</f>
        <v>44069.71979166667</v>
      </c>
      <c r="J164" s="40">
        <f t="shared" si="12"/>
        <v>52</v>
      </c>
      <c r="K164" s="24">
        <f t="shared" si="13"/>
        <v>0.85833333333721384</v>
      </c>
      <c r="L164" s="25" t="str">
        <f t="shared" si="14"/>
        <v>Work Finished</v>
      </c>
      <c r="M164" s="33">
        <v>2</v>
      </c>
      <c r="O164" s="33">
        <f t="shared" si="4"/>
        <v>50</v>
      </c>
      <c r="P164" s="33">
        <f t="shared" si="5"/>
        <v>16</v>
      </c>
      <c r="Q164" s="33" t="s">
        <v>80</v>
      </c>
    </row>
    <row r="165" spans="1:17">
      <c r="A165" s="20" t="s">
        <v>279</v>
      </c>
      <c r="B165" s="22" t="s">
        <v>38</v>
      </c>
      <c r="C165" s="20" t="s">
        <v>350</v>
      </c>
      <c r="D165" s="20" t="s">
        <v>40</v>
      </c>
      <c r="E165" s="20" t="s">
        <v>95</v>
      </c>
      <c r="F165" s="20" t="s">
        <v>351</v>
      </c>
      <c r="G165" s="20" t="s">
        <v>43</v>
      </c>
      <c r="H165" s="21">
        <v>44069.686249999999</v>
      </c>
      <c r="I165" s="23">
        <f>_xlfn.IFNA(VLOOKUP(A165,A166:$H$3524,8,0),"")</f>
        <v>44069.695613425924</v>
      </c>
      <c r="J165" s="40">
        <f t="shared" si="12"/>
        <v>23</v>
      </c>
      <c r="K165" s="24">
        <f t="shared" si="13"/>
        <v>0.22472222219221294</v>
      </c>
      <c r="L165" s="25" t="str">
        <f t="shared" si="14"/>
        <v>Work Finished</v>
      </c>
      <c r="M165" s="33">
        <v>1</v>
      </c>
      <c r="O165" s="33">
        <f t="shared" si="4"/>
        <v>22</v>
      </c>
      <c r="P165" s="33">
        <f t="shared" si="5"/>
        <v>16</v>
      </c>
      <c r="Q165" s="33" t="s">
        <v>80</v>
      </c>
    </row>
    <row r="166" spans="1:17">
      <c r="A166" s="20" t="s">
        <v>352</v>
      </c>
      <c r="B166" s="22" t="s">
        <v>38</v>
      </c>
      <c r="C166" s="20" t="s">
        <v>350</v>
      </c>
      <c r="D166" s="20" t="s">
        <v>101</v>
      </c>
      <c r="E166" s="20" t="s">
        <v>110</v>
      </c>
      <c r="F166" s="20" t="s">
        <v>351</v>
      </c>
      <c r="G166" s="20" t="s">
        <v>43</v>
      </c>
      <c r="H166" s="21">
        <v>44069.687372685185</v>
      </c>
      <c r="I166" s="23">
        <f>_xlfn.IFNA(VLOOKUP(A166,A167:$H$3524,8,0),"")</f>
        <v>44069.708229166667</v>
      </c>
      <c r="J166" s="40">
        <f t="shared" si="12"/>
        <v>23</v>
      </c>
      <c r="K166" s="24">
        <f t="shared" si="13"/>
        <v>0.50055555556900799</v>
      </c>
      <c r="L166" s="25" t="str">
        <f t="shared" si="14"/>
        <v>Work Finished</v>
      </c>
      <c r="M166" s="33">
        <v>1</v>
      </c>
      <c r="O166" s="33">
        <f t="shared" si="4"/>
        <v>22</v>
      </c>
      <c r="P166" s="33">
        <f t="shared" si="5"/>
        <v>16</v>
      </c>
      <c r="Q166" s="33" t="s">
        <v>80</v>
      </c>
    </row>
    <row r="167" spans="1:17">
      <c r="A167" s="20" t="s">
        <v>263</v>
      </c>
      <c r="B167" s="22" t="s">
        <v>38</v>
      </c>
      <c r="C167" s="20" t="s">
        <v>353</v>
      </c>
      <c r="D167" s="20" t="s">
        <v>40</v>
      </c>
      <c r="E167" s="20" t="s">
        <v>119</v>
      </c>
      <c r="F167" s="20" t="s">
        <v>354</v>
      </c>
      <c r="G167" s="20" t="s">
        <v>43</v>
      </c>
      <c r="H167" s="21">
        <v>44069.687916666669</v>
      </c>
      <c r="I167" s="23">
        <f>_xlfn.IFNA(VLOOKUP(A167,A168:$H$3524,8,0),"")</f>
        <v>44069.726597222223</v>
      </c>
      <c r="J167" s="40">
        <f t="shared" si="12"/>
        <v>52</v>
      </c>
      <c r="K167" s="24">
        <f t="shared" si="13"/>
        <v>0.9283333332859911</v>
      </c>
      <c r="L167" s="25" t="str">
        <f t="shared" si="14"/>
        <v>Work Finished</v>
      </c>
      <c r="M167" s="33">
        <v>1</v>
      </c>
      <c r="O167" s="33">
        <f t="shared" si="4"/>
        <v>51</v>
      </c>
      <c r="P167" s="33">
        <f t="shared" si="5"/>
        <v>16</v>
      </c>
      <c r="Q167" s="33" t="s">
        <v>80</v>
      </c>
    </row>
    <row r="168" spans="1:17">
      <c r="A168" s="20" t="s">
        <v>284</v>
      </c>
      <c r="B168" s="22" t="s">
        <v>38</v>
      </c>
      <c r="C168" s="20" t="s">
        <v>355</v>
      </c>
      <c r="D168" s="20" t="s">
        <v>40</v>
      </c>
      <c r="E168" s="20" t="s">
        <v>103</v>
      </c>
      <c r="F168" s="20" t="s">
        <v>154</v>
      </c>
      <c r="G168" s="20" t="s">
        <v>43</v>
      </c>
      <c r="H168" s="21">
        <v>44069.688437500001</v>
      </c>
      <c r="I168" s="23">
        <f>_xlfn.IFNA(VLOOKUP(A168,A169:$H$3524,8,0),"")</f>
        <v>44069.722094907411</v>
      </c>
      <c r="J168" s="40">
        <f t="shared" si="12"/>
        <v>34</v>
      </c>
      <c r="K168" s="24">
        <f t="shared" si="13"/>
        <v>0.80777777783805504</v>
      </c>
      <c r="L168" s="25" t="str">
        <f t="shared" si="14"/>
        <v>Work Finished</v>
      </c>
      <c r="O168" s="33">
        <f t="shared" si="4"/>
        <v>34</v>
      </c>
      <c r="P168" s="33">
        <f t="shared" si="5"/>
        <v>16</v>
      </c>
      <c r="Q168" s="33" t="s">
        <v>80</v>
      </c>
    </row>
    <row r="169" spans="1:17">
      <c r="A169" s="20" t="s">
        <v>293</v>
      </c>
      <c r="B169" s="22" t="s">
        <v>38</v>
      </c>
      <c r="C169" s="20" t="s">
        <v>356</v>
      </c>
      <c r="D169" s="20" t="s">
        <v>40</v>
      </c>
      <c r="E169" s="20" t="s">
        <v>93</v>
      </c>
      <c r="F169" s="20" t="s">
        <v>138</v>
      </c>
      <c r="G169" s="20" t="s">
        <v>43</v>
      </c>
      <c r="H169" s="21">
        <v>44069.68990740741</v>
      </c>
      <c r="I169" s="23">
        <f>_xlfn.IFNA(VLOOKUP(A169,A170:$H$3524,8,0),"")</f>
        <v>44069.707592592589</v>
      </c>
      <c r="J169" s="40">
        <f t="shared" si="12"/>
        <v>28</v>
      </c>
      <c r="K169" s="24">
        <f t="shared" si="13"/>
        <v>0.42444444430293515</v>
      </c>
      <c r="L169" s="25" t="str">
        <f t="shared" si="14"/>
        <v>Work Finished</v>
      </c>
      <c r="M169" s="33">
        <v>1</v>
      </c>
      <c r="O169" s="33">
        <f t="shared" si="4"/>
        <v>27</v>
      </c>
      <c r="P169" s="33">
        <f t="shared" si="5"/>
        <v>16</v>
      </c>
      <c r="Q169" s="33" t="s">
        <v>80</v>
      </c>
    </row>
    <row r="170" spans="1:17">
      <c r="A170" s="20" t="s">
        <v>279</v>
      </c>
      <c r="B170" s="22" t="s">
        <v>81</v>
      </c>
      <c r="H170" s="21">
        <v>44069.695613425924</v>
      </c>
      <c r="I170" s="23" t="str">
        <f>_xlfn.IFNA(VLOOKUP(A170,A171:$H$3524,8,0),"")</f>
        <v/>
      </c>
      <c r="J170" s="40">
        <f t="shared" si="12"/>
        <v>0</v>
      </c>
      <c r="K170" s="24">
        <f t="shared" si="13"/>
        <v>0</v>
      </c>
      <c r="L170" s="25" t="str">
        <f t="shared" si="14"/>
        <v>Work Finished</v>
      </c>
      <c r="O170" s="33">
        <f t="shared" si="4"/>
        <v>0</v>
      </c>
      <c r="P170" s="33">
        <f t="shared" si="5"/>
        <v>16</v>
      </c>
    </row>
    <row r="171" spans="1:17">
      <c r="A171" s="20" t="s">
        <v>257</v>
      </c>
      <c r="B171" s="22" t="s">
        <v>38</v>
      </c>
      <c r="C171" s="20" t="s">
        <v>357</v>
      </c>
      <c r="D171" s="20" t="s">
        <v>40</v>
      </c>
      <c r="E171" s="20" t="s">
        <v>104</v>
      </c>
      <c r="F171" s="20" t="s">
        <v>51</v>
      </c>
      <c r="G171" s="20" t="s">
        <v>52</v>
      </c>
      <c r="H171" s="21">
        <v>44069.69803240741</v>
      </c>
      <c r="I171" s="23">
        <f>_xlfn.IFNA(VLOOKUP(A171,A172:$H$3524,8,0),"")</f>
        <v>44069.708611111113</v>
      </c>
      <c r="J171" s="40">
        <f t="shared" si="12"/>
        <v>13</v>
      </c>
      <c r="K171" s="24">
        <f t="shared" si="13"/>
        <v>0.25388888886664063</v>
      </c>
      <c r="L171" s="25" t="str">
        <f t="shared" si="14"/>
        <v>Work Finished</v>
      </c>
      <c r="M171" s="33">
        <v>1</v>
      </c>
      <c r="O171" s="33">
        <f t="shared" si="4"/>
        <v>12</v>
      </c>
      <c r="P171" s="33">
        <f t="shared" si="5"/>
        <v>16</v>
      </c>
      <c r="Q171" s="33" t="s">
        <v>80</v>
      </c>
    </row>
    <row r="172" spans="1:17">
      <c r="A172" s="20" t="s">
        <v>254</v>
      </c>
      <c r="B172" s="22" t="s">
        <v>38</v>
      </c>
      <c r="C172" s="20" t="s">
        <v>358</v>
      </c>
      <c r="D172" s="20" t="s">
        <v>40</v>
      </c>
      <c r="E172" s="20" t="s">
        <v>60</v>
      </c>
      <c r="F172" s="20" t="s">
        <v>51</v>
      </c>
      <c r="G172" s="20" t="s">
        <v>52</v>
      </c>
      <c r="H172" s="21">
        <v>44069.700914351852</v>
      </c>
      <c r="I172" s="23">
        <f>_xlfn.IFNA(VLOOKUP(A172,A173:$H$3524,8,0),"")</f>
        <v>44069.722870370373</v>
      </c>
      <c r="J172" s="40">
        <f t="shared" si="12"/>
        <v>17</v>
      </c>
      <c r="K172" s="24">
        <f t="shared" si="13"/>
        <v>0.52694444451481104</v>
      </c>
      <c r="L172" s="25" t="str">
        <f t="shared" si="14"/>
        <v>Work Finished</v>
      </c>
      <c r="M172" s="33">
        <v>2</v>
      </c>
      <c r="O172" s="33">
        <f t="shared" si="4"/>
        <v>15</v>
      </c>
      <c r="P172" s="33">
        <f t="shared" si="5"/>
        <v>16</v>
      </c>
      <c r="Q172" s="33" t="s">
        <v>80</v>
      </c>
    </row>
    <row r="173" spans="1:17">
      <c r="A173" s="20" t="s">
        <v>359</v>
      </c>
      <c r="B173" s="22" t="s">
        <v>38</v>
      </c>
      <c r="C173" s="20" t="s">
        <v>360</v>
      </c>
      <c r="D173" s="20" t="s">
        <v>40</v>
      </c>
      <c r="E173" s="20" t="s">
        <v>86</v>
      </c>
      <c r="F173" s="20" t="s">
        <v>51</v>
      </c>
      <c r="G173" s="20" t="s">
        <v>52</v>
      </c>
      <c r="H173" s="21">
        <v>44069.70108796296</v>
      </c>
      <c r="I173" s="23">
        <f>_xlfn.IFNA(VLOOKUP(A173,A174:$H$3524,8,0),"")</f>
        <v>44069.722511574073</v>
      </c>
      <c r="J173" s="40">
        <f t="shared" si="12"/>
        <v>12</v>
      </c>
      <c r="K173" s="24">
        <f t="shared" si="13"/>
        <v>0.51416666671866551</v>
      </c>
      <c r="L173" s="25" t="str">
        <f t="shared" si="14"/>
        <v>Work Finished</v>
      </c>
      <c r="M173" s="33">
        <v>2</v>
      </c>
      <c r="O173" s="33">
        <f t="shared" si="4"/>
        <v>10</v>
      </c>
      <c r="P173" s="33">
        <f t="shared" si="5"/>
        <v>16</v>
      </c>
      <c r="Q173" s="33" t="s">
        <v>80</v>
      </c>
    </row>
    <row r="174" spans="1:17">
      <c r="A174" s="20" t="s">
        <v>255</v>
      </c>
      <c r="B174" s="22" t="s">
        <v>38</v>
      </c>
      <c r="C174" s="20" t="s">
        <v>361</v>
      </c>
      <c r="D174" s="20" t="s">
        <v>40</v>
      </c>
      <c r="E174" s="20" t="s">
        <v>78</v>
      </c>
      <c r="F174" s="20" t="s">
        <v>79</v>
      </c>
      <c r="G174" s="20" t="s">
        <v>52</v>
      </c>
      <c r="H174" s="21">
        <v>44069.701435185183</v>
      </c>
      <c r="I174" s="23">
        <f>_xlfn.IFNA(VLOOKUP(A174,A175:$H$3524,8,0),"")</f>
        <v>44069.714363425926</v>
      </c>
      <c r="J174" s="40">
        <f t="shared" si="12"/>
        <v>7</v>
      </c>
      <c r="K174" s="24">
        <f t="shared" si="13"/>
        <v>0.31027777784038335</v>
      </c>
      <c r="L174" s="25" t="str">
        <f t="shared" si="14"/>
        <v>Work Finished</v>
      </c>
      <c r="O174" s="33">
        <f t="shared" si="4"/>
        <v>7</v>
      </c>
      <c r="P174" s="33">
        <f t="shared" si="5"/>
        <v>16</v>
      </c>
      <c r="Q174" s="33" t="s">
        <v>80</v>
      </c>
    </row>
    <row r="175" spans="1:17">
      <c r="A175" s="20" t="s">
        <v>258</v>
      </c>
      <c r="B175" s="22" t="s">
        <v>38</v>
      </c>
      <c r="C175" s="20" t="s">
        <v>362</v>
      </c>
      <c r="D175" s="20" t="s">
        <v>40</v>
      </c>
      <c r="E175" s="20" t="s">
        <v>93</v>
      </c>
      <c r="F175" s="20" t="s">
        <v>136</v>
      </c>
      <c r="G175" s="20" t="s">
        <v>43</v>
      </c>
      <c r="H175" s="21">
        <v>44069.701840277776</v>
      </c>
      <c r="I175" s="23">
        <f>_xlfn.IFNA(VLOOKUP(A175,A176:$H$3524,8,0),"")</f>
        <v>44069.727476851855</v>
      </c>
      <c r="J175" s="40">
        <f t="shared" si="12"/>
        <v>28</v>
      </c>
      <c r="K175" s="24">
        <f t="shared" si="13"/>
        <v>0.61527777789160609</v>
      </c>
      <c r="L175" s="25" t="str">
        <f t="shared" si="14"/>
        <v>Work Finished</v>
      </c>
      <c r="M175" s="33">
        <v>1</v>
      </c>
      <c r="O175" s="33">
        <f t="shared" si="4"/>
        <v>27</v>
      </c>
      <c r="P175" s="33">
        <f t="shared" si="5"/>
        <v>16</v>
      </c>
      <c r="Q175" s="33" t="s">
        <v>53</v>
      </c>
    </row>
    <row r="176" spans="1:17">
      <c r="A176" s="20" t="s">
        <v>61</v>
      </c>
      <c r="B176" s="22" t="s">
        <v>81</v>
      </c>
      <c r="H176" s="21">
        <v>44069.704085648147</v>
      </c>
      <c r="I176" s="23" t="str">
        <f>_xlfn.IFNA(VLOOKUP(A176,A177:$H$3524,8,0),"")</f>
        <v/>
      </c>
      <c r="J176" s="40">
        <f t="shared" si="12"/>
        <v>0</v>
      </c>
      <c r="K176" s="24">
        <f t="shared" si="13"/>
        <v>0</v>
      </c>
      <c r="L176" s="25" t="str">
        <f t="shared" si="14"/>
        <v>Work Finished</v>
      </c>
      <c r="O176" s="33">
        <f t="shared" si="4"/>
        <v>0</v>
      </c>
      <c r="P176" s="33">
        <f t="shared" si="5"/>
        <v>16</v>
      </c>
    </row>
    <row r="177" spans="1:17">
      <c r="A177" s="20" t="s">
        <v>293</v>
      </c>
      <c r="B177" s="22" t="s">
        <v>38</v>
      </c>
      <c r="C177" s="20" t="s">
        <v>363</v>
      </c>
      <c r="D177" s="20" t="s">
        <v>40</v>
      </c>
      <c r="E177" s="20" t="s">
        <v>63</v>
      </c>
      <c r="F177" s="20" t="s">
        <v>57</v>
      </c>
      <c r="G177" s="20" t="s">
        <v>52</v>
      </c>
      <c r="H177" s="21">
        <v>44069.707592592589</v>
      </c>
      <c r="I177" s="23">
        <f>_xlfn.IFNA(VLOOKUP(A177,A178:$H$3524,8,0),"")</f>
        <v>44069.737662037034</v>
      </c>
      <c r="J177" s="40">
        <f t="shared" si="12"/>
        <v>18</v>
      </c>
      <c r="K177" s="24">
        <f t="shared" si="13"/>
        <v>0.7216666666790843</v>
      </c>
      <c r="L177" s="25" t="str">
        <f t="shared" si="14"/>
        <v>Work Finished</v>
      </c>
      <c r="M177" s="33">
        <v>3</v>
      </c>
      <c r="O177" s="33">
        <f t="shared" si="4"/>
        <v>15</v>
      </c>
      <c r="P177" s="33">
        <f t="shared" si="5"/>
        <v>16</v>
      </c>
      <c r="Q177" s="33" t="s">
        <v>53</v>
      </c>
    </row>
    <row r="178" spans="1:17">
      <c r="A178" s="20" t="s">
        <v>352</v>
      </c>
      <c r="B178" s="22" t="s">
        <v>81</v>
      </c>
      <c r="H178" s="21">
        <v>44069.708229166667</v>
      </c>
      <c r="I178" s="23" t="str">
        <f>_xlfn.IFNA(VLOOKUP(A178,A179:$H$3524,8,0),"")</f>
        <v/>
      </c>
      <c r="J178" s="40">
        <f t="shared" si="12"/>
        <v>0</v>
      </c>
      <c r="K178" s="24">
        <f t="shared" si="13"/>
        <v>0</v>
      </c>
      <c r="L178" s="25" t="str">
        <f t="shared" si="14"/>
        <v>Work Finished</v>
      </c>
      <c r="O178" s="33">
        <f t="shared" si="4"/>
        <v>0</v>
      </c>
      <c r="P178" s="33">
        <f t="shared" si="5"/>
        <v>16</v>
      </c>
    </row>
    <row r="179" spans="1:17">
      <c r="A179" s="20" t="s">
        <v>257</v>
      </c>
      <c r="B179" s="22" t="s">
        <v>38</v>
      </c>
      <c r="C179" s="20" t="s">
        <v>364</v>
      </c>
      <c r="D179" s="20" t="s">
        <v>40</v>
      </c>
      <c r="E179" s="20" t="s">
        <v>63</v>
      </c>
      <c r="F179" s="20" t="s">
        <v>57</v>
      </c>
      <c r="G179" s="20" t="s">
        <v>52</v>
      </c>
      <c r="H179" s="21">
        <v>44069.708611111113</v>
      </c>
      <c r="I179" s="23">
        <f>_xlfn.IFNA(VLOOKUP(A179,A180:$H$3524,8,0),"")</f>
        <v>44069.724687499998</v>
      </c>
      <c r="J179" s="40">
        <f t="shared" si="12"/>
        <v>18</v>
      </c>
      <c r="K179" s="24">
        <f t="shared" si="13"/>
        <v>0.38583333324640989</v>
      </c>
      <c r="L179" s="25" t="str">
        <f t="shared" si="14"/>
        <v>Work Finished</v>
      </c>
      <c r="M179" s="33">
        <v>1</v>
      </c>
      <c r="O179" s="33">
        <f t="shared" si="4"/>
        <v>17</v>
      </c>
      <c r="P179" s="33">
        <f t="shared" si="5"/>
        <v>17</v>
      </c>
      <c r="Q179" s="33" t="s">
        <v>53</v>
      </c>
    </row>
    <row r="180" spans="1:17">
      <c r="A180" s="20" t="s">
        <v>255</v>
      </c>
      <c r="B180" s="22" t="s">
        <v>365</v>
      </c>
      <c r="C180" s="20" t="s">
        <v>366</v>
      </c>
      <c r="D180" s="20" t="s">
        <v>40</v>
      </c>
      <c r="E180" s="20" t="s">
        <v>63</v>
      </c>
      <c r="F180" s="20" t="s">
        <v>57</v>
      </c>
      <c r="G180" s="20" t="s">
        <v>52</v>
      </c>
      <c r="H180" s="21">
        <v>44069.714363425926</v>
      </c>
      <c r="I180" s="23">
        <f>_xlfn.IFNA(VLOOKUP(A180,A181:$H$3524,8,0),"")</f>
        <v>44069.731145833335</v>
      </c>
      <c r="J180" s="40">
        <f t="shared" si="12"/>
        <v>18</v>
      </c>
      <c r="K180" s="24">
        <f t="shared" si="13"/>
        <v>0.40277777781011537</v>
      </c>
      <c r="L180" s="25" t="str">
        <f t="shared" si="14"/>
        <v>Work Finished</v>
      </c>
      <c r="O180" s="33">
        <f t="shared" si="4"/>
        <v>18</v>
      </c>
      <c r="P180" s="33">
        <f t="shared" si="5"/>
        <v>17</v>
      </c>
      <c r="Q180" s="33" t="s">
        <v>53</v>
      </c>
    </row>
    <row r="181" spans="1:17">
      <c r="A181" s="20" t="s">
        <v>296</v>
      </c>
      <c r="B181" s="22" t="s">
        <v>38</v>
      </c>
      <c r="C181" s="20" t="s">
        <v>367</v>
      </c>
      <c r="D181" s="20" t="s">
        <v>40</v>
      </c>
      <c r="E181" s="20" t="s">
        <v>94</v>
      </c>
      <c r="F181" s="20" t="s">
        <v>57</v>
      </c>
      <c r="G181" s="20" t="s">
        <v>52</v>
      </c>
      <c r="H181" s="21">
        <v>44069.71979166667</v>
      </c>
      <c r="I181" s="23">
        <f>_xlfn.IFNA(VLOOKUP(A181,A182:$H$3524,8,0),"")</f>
        <v>44069.739884259259</v>
      </c>
      <c r="J181" s="40">
        <f t="shared" si="12"/>
        <v>19</v>
      </c>
      <c r="K181" s="24">
        <f t="shared" si="13"/>
        <v>0.4822222221409902</v>
      </c>
      <c r="L181" s="25" t="str">
        <f t="shared" si="14"/>
        <v>Work Finished</v>
      </c>
      <c r="M181" s="33">
        <v>2</v>
      </c>
      <c r="O181" s="33">
        <f t="shared" si="4"/>
        <v>17</v>
      </c>
      <c r="P181" s="33">
        <f t="shared" si="5"/>
        <v>17</v>
      </c>
      <c r="Q181" s="33" t="s">
        <v>53</v>
      </c>
    </row>
    <row r="182" spans="1:17">
      <c r="A182" s="20" t="s">
        <v>284</v>
      </c>
      <c r="B182" s="22" t="s">
        <v>38</v>
      </c>
      <c r="C182" s="20" t="s">
        <v>368</v>
      </c>
      <c r="D182" s="20" t="s">
        <v>40</v>
      </c>
      <c r="E182" s="20" t="s">
        <v>86</v>
      </c>
      <c r="F182" s="20" t="s">
        <v>112</v>
      </c>
      <c r="G182" s="20" t="s">
        <v>52</v>
      </c>
      <c r="H182" s="21">
        <v>44069.722094907411</v>
      </c>
      <c r="I182" s="23">
        <f>_xlfn.IFNA(VLOOKUP(A182,A183:$H$3524,8,0),"")</f>
        <v>44069.741747685184</v>
      </c>
      <c r="J182" s="40">
        <f t="shared" ref="J182:J194" si="15">IF(B182="OFF",0,IF(AND(D182&lt;&gt;"",E182&lt;&gt;""),E182-D182+1,""))</f>
        <v>12</v>
      </c>
      <c r="K182" s="24">
        <f t="shared" ref="K182:K204" si="16">IF(H182="","",IFERROR((I182-H182)*24,0))</f>
        <v>0.47166666656266898</v>
      </c>
      <c r="L182" s="25" t="str">
        <f t="shared" ref="L182:L204" si="17">IF(K182="","",IF(B182="Break","Break",IF(K182&lt;&gt;0,"Work Finished",IF(B182="OFF","Work Finished",IF(I182="","Working","Work Finished")))))</f>
        <v>Work Finished</v>
      </c>
      <c r="M182" s="33">
        <v>1</v>
      </c>
      <c r="O182" s="33">
        <f t="shared" si="4"/>
        <v>11</v>
      </c>
      <c r="P182" s="33">
        <f t="shared" si="5"/>
        <v>17</v>
      </c>
      <c r="Q182" s="33" t="s">
        <v>53</v>
      </c>
    </row>
    <row r="183" spans="1:17">
      <c r="A183" s="20" t="s">
        <v>359</v>
      </c>
      <c r="B183" s="22" t="s">
        <v>81</v>
      </c>
      <c r="H183" s="21">
        <v>44069.722511574073</v>
      </c>
      <c r="I183" s="23" t="str">
        <f>_xlfn.IFNA(VLOOKUP(A183,A184:$H$3524,8,0),"")</f>
        <v/>
      </c>
      <c r="J183" s="40">
        <f t="shared" si="15"/>
        <v>0</v>
      </c>
      <c r="K183" s="24">
        <f t="shared" si="16"/>
        <v>0</v>
      </c>
      <c r="L183" s="25" t="str">
        <f t="shared" si="17"/>
        <v>Work Finished</v>
      </c>
      <c r="O183" s="33">
        <f t="shared" ref="O183:O246" si="18">IF(AND(J183="",M183="",N183=""),"",J183-M183-N183)</f>
        <v>0</v>
      </c>
      <c r="P183" s="33">
        <f t="shared" ref="P183:P246" si="19">IF(HOUR(H183)=0,"",HOUR(H183))</f>
        <v>17</v>
      </c>
    </row>
    <row r="184" spans="1:17">
      <c r="A184" s="20" t="s">
        <v>254</v>
      </c>
      <c r="B184" s="22" t="s">
        <v>81</v>
      </c>
      <c r="H184" s="21">
        <v>44069.722870370373</v>
      </c>
      <c r="I184" s="23">
        <f>_xlfn.IFNA(VLOOKUP(A184,A185:$H$3524,8,0),"")</f>
        <v>44069.766250000001</v>
      </c>
      <c r="J184" s="40">
        <f t="shared" si="15"/>
        <v>0</v>
      </c>
      <c r="K184" s="24">
        <f t="shared" si="16"/>
        <v>1.0411111110588536</v>
      </c>
      <c r="L184" s="25" t="str">
        <f t="shared" si="17"/>
        <v>Work Finished</v>
      </c>
      <c r="O184" s="33">
        <f t="shared" si="18"/>
        <v>0</v>
      </c>
      <c r="P184" s="33">
        <f t="shared" si="19"/>
        <v>17</v>
      </c>
    </row>
    <row r="185" spans="1:17">
      <c r="A185" s="20" t="s">
        <v>257</v>
      </c>
      <c r="B185" s="22" t="s">
        <v>81</v>
      </c>
      <c r="H185" s="21">
        <v>44069.724687499998</v>
      </c>
      <c r="I185" s="23">
        <f>_xlfn.IFNA(VLOOKUP(A185,A186:$H$3524,8,0),"")</f>
        <v>44069.76489583333</v>
      </c>
      <c r="J185" s="40">
        <f t="shared" si="15"/>
        <v>0</v>
      </c>
      <c r="K185" s="24">
        <f t="shared" si="16"/>
        <v>0.96499999996740371</v>
      </c>
      <c r="L185" s="25" t="str">
        <f t="shared" si="17"/>
        <v>Work Finished</v>
      </c>
      <c r="O185" s="33">
        <f t="shared" si="18"/>
        <v>0</v>
      </c>
      <c r="P185" s="33">
        <f t="shared" si="19"/>
        <v>17</v>
      </c>
    </row>
    <row r="186" spans="1:17">
      <c r="A186" s="20" t="s">
        <v>263</v>
      </c>
      <c r="B186" s="22" t="s">
        <v>81</v>
      </c>
      <c r="H186" s="21">
        <v>44069.726597222223</v>
      </c>
      <c r="I186" s="23" t="str">
        <f>_xlfn.IFNA(VLOOKUP(A186,A187:$H$3524,8,0),"")</f>
        <v/>
      </c>
      <c r="J186" s="40">
        <f t="shared" si="15"/>
        <v>0</v>
      </c>
      <c r="K186" s="24">
        <f t="shared" si="16"/>
        <v>0</v>
      </c>
      <c r="L186" s="25" t="str">
        <f t="shared" si="17"/>
        <v>Work Finished</v>
      </c>
      <c r="O186" s="33">
        <f t="shared" si="18"/>
        <v>0</v>
      </c>
      <c r="P186" s="33">
        <f t="shared" si="19"/>
        <v>17</v>
      </c>
    </row>
    <row r="187" spans="1:17">
      <c r="A187" s="20" t="s">
        <v>258</v>
      </c>
      <c r="B187" s="22" t="s">
        <v>81</v>
      </c>
      <c r="H187" s="21">
        <v>44069.727476851855</v>
      </c>
      <c r="I187" s="23" t="str">
        <f>_xlfn.IFNA(VLOOKUP(A187,A188:$H$3524,8,0),"")</f>
        <v/>
      </c>
      <c r="J187" s="40">
        <f t="shared" si="15"/>
        <v>0</v>
      </c>
      <c r="K187" s="24">
        <f t="shared" si="16"/>
        <v>0</v>
      </c>
      <c r="L187" s="25" t="str">
        <f t="shared" si="17"/>
        <v>Work Finished</v>
      </c>
      <c r="O187" s="33">
        <f t="shared" si="18"/>
        <v>0</v>
      </c>
      <c r="P187" s="33">
        <f t="shared" si="19"/>
        <v>17</v>
      </c>
    </row>
    <row r="188" spans="1:17">
      <c r="A188" s="20" t="s">
        <v>255</v>
      </c>
      <c r="B188" s="22" t="s">
        <v>81</v>
      </c>
      <c r="H188" s="21">
        <v>44069.731145833335</v>
      </c>
      <c r="I188" s="23">
        <f>_xlfn.IFNA(VLOOKUP(A188,A189:$H$3524,8,0),"")</f>
        <v>44069.767164351855</v>
      </c>
      <c r="J188" s="40">
        <f t="shared" si="15"/>
        <v>0</v>
      </c>
      <c r="K188" s="24">
        <f t="shared" si="16"/>
        <v>0.86444444447988644</v>
      </c>
      <c r="L188" s="25" t="str">
        <f t="shared" si="17"/>
        <v>Work Finished</v>
      </c>
      <c r="O188" s="33">
        <f t="shared" si="18"/>
        <v>0</v>
      </c>
      <c r="P188" s="33">
        <f t="shared" si="19"/>
        <v>17</v>
      </c>
    </row>
    <row r="189" spans="1:17">
      <c r="A189" s="20" t="s">
        <v>293</v>
      </c>
      <c r="B189" s="22" t="s">
        <v>81</v>
      </c>
      <c r="H189" s="21">
        <v>44069.737662037034</v>
      </c>
      <c r="I189" s="23">
        <f>_xlfn.IFNA(VLOOKUP(A189,A190:$H$3524,8,0),"")</f>
        <v>44069.767916666664</v>
      </c>
      <c r="J189" s="40">
        <f t="shared" si="15"/>
        <v>0</v>
      </c>
      <c r="K189" s="24">
        <f t="shared" si="16"/>
        <v>0.72611111111473292</v>
      </c>
      <c r="L189" s="25" t="str">
        <f t="shared" si="17"/>
        <v>Work Finished</v>
      </c>
      <c r="O189" s="33">
        <f t="shared" si="18"/>
        <v>0</v>
      </c>
      <c r="P189" s="33">
        <f t="shared" si="19"/>
        <v>17</v>
      </c>
    </row>
    <row r="190" spans="1:17">
      <c r="A190" s="20" t="s">
        <v>296</v>
      </c>
      <c r="B190" s="22" t="s">
        <v>81</v>
      </c>
      <c r="H190" s="21">
        <v>44069.739884259259</v>
      </c>
      <c r="I190" s="23">
        <f>_xlfn.IFNA(VLOOKUP(A190,A191:$H$3524,8,0),"")</f>
        <v>44069.768043981479</v>
      </c>
      <c r="J190" s="40">
        <f t="shared" si="15"/>
        <v>0</v>
      </c>
      <c r="K190" s="24">
        <f t="shared" si="16"/>
        <v>0.6758333332836628</v>
      </c>
      <c r="L190" s="25" t="str">
        <f t="shared" si="17"/>
        <v>Work Finished</v>
      </c>
      <c r="O190" s="33">
        <f t="shared" si="18"/>
        <v>0</v>
      </c>
      <c r="P190" s="33">
        <f t="shared" si="19"/>
        <v>17</v>
      </c>
    </row>
    <row r="191" spans="1:17">
      <c r="A191" s="20" t="s">
        <v>284</v>
      </c>
      <c r="B191" s="22" t="s">
        <v>81</v>
      </c>
      <c r="H191" s="21">
        <v>44069.741747685184</v>
      </c>
      <c r="I191" s="23">
        <f>_xlfn.IFNA(VLOOKUP(A191,A192:$H$3524,8,0),"")</f>
        <v>44069.765810185185</v>
      </c>
      <c r="J191" s="40">
        <f t="shared" si="15"/>
        <v>0</v>
      </c>
      <c r="K191" s="24">
        <f t="shared" si="16"/>
        <v>0.57750000001396984</v>
      </c>
      <c r="L191" s="25" t="str">
        <f t="shared" si="17"/>
        <v>Work Finished</v>
      </c>
      <c r="O191" s="33">
        <f t="shared" si="18"/>
        <v>0</v>
      </c>
      <c r="P191" s="33">
        <f t="shared" si="19"/>
        <v>17</v>
      </c>
    </row>
    <row r="192" spans="1:17">
      <c r="A192" s="20" t="s">
        <v>257</v>
      </c>
      <c r="B192" s="22" t="s">
        <v>38</v>
      </c>
      <c r="C192" s="20" t="s">
        <v>409</v>
      </c>
      <c r="D192" s="20" t="s">
        <v>102</v>
      </c>
      <c r="E192" s="20" t="s">
        <v>46</v>
      </c>
      <c r="F192" s="20" t="s">
        <v>46</v>
      </c>
      <c r="G192" s="20" t="s">
        <v>43</v>
      </c>
      <c r="H192" s="21">
        <v>44069.76489583333</v>
      </c>
      <c r="I192" s="23">
        <f>_xlfn.IFNA(VLOOKUP(A192,A193:$H$3524,8,0),"")</f>
        <v>44069.777025462965</v>
      </c>
      <c r="J192" s="40">
        <f t="shared" si="15"/>
        <v>12</v>
      </c>
      <c r="K192" s="24">
        <f t="shared" si="16"/>
        <v>0.29111111123347655</v>
      </c>
      <c r="L192" s="25" t="str">
        <f t="shared" si="17"/>
        <v>Work Finished</v>
      </c>
      <c r="M192" s="33">
        <v>2</v>
      </c>
      <c r="O192" s="33">
        <f t="shared" si="18"/>
        <v>10</v>
      </c>
      <c r="P192" s="33">
        <f t="shared" si="19"/>
        <v>18</v>
      </c>
      <c r="Q192" s="33" t="s">
        <v>80</v>
      </c>
    </row>
    <row r="193" spans="1:24">
      <c r="A193" s="20" t="s">
        <v>410</v>
      </c>
      <c r="B193" s="22" t="s">
        <v>38</v>
      </c>
      <c r="C193" s="20" t="s">
        <v>411</v>
      </c>
      <c r="D193" s="20" t="s">
        <v>116</v>
      </c>
      <c r="E193" s="20" t="s">
        <v>151</v>
      </c>
      <c r="F193" s="20" t="s">
        <v>151</v>
      </c>
      <c r="G193" s="21" t="s">
        <v>43</v>
      </c>
      <c r="H193" s="23">
        <v>44069.765277777777</v>
      </c>
      <c r="I193" s="23">
        <f>_xlfn.IFNA(VLOOKUP(A193,A194:$H$3524,8,0),"")</f>
        <v>44069.807719907411</v>
      </c>
      <c r="J193" s="40">
        <f t="shared" si="15"/>
        <v>32</v>
      </c>
      <c r="K193" s="24">
        <f t="shared" si="16"/>
        <v>1.0186111112125218</v>
      </c>
      <c r="L193" s="25" t="str">
        <f t="shared" si="17"/>
        <v>Work Finished</v>
      </c>
      <c r="M193" s="43">
        <v>4</v>
      </c>
      <c r="N193" s="37"/>
      <c r="O193" s="33">
        <f t="shared" si="18"/>
        <v>28</v>
      </c>
      <c r="P193" s="33">
        <f t="shared" si="19"/>
        <v>18</v>
      </c>
      <c r="Q193" s="33" t="s">
        <v>80</v>
      </c>
    </row>
    <row r="194" spans="1:24">
      <c r="A194" s="20" t="s">
        <v>284</v>
      </c>
      <c r="B194" s="22" t="s">
        <v>38</v>
      </c>
      <c r="C194" s="20" t="s">
        <v>412</v>
      </c>
      <c r="D194" s="20" t="s">
        <v>103</v>
      </c>
      <c r="E194" s="20" t="s">
        <v>57</v>
      </c>
      <c r="F194" s="20" t="s">
        <v>57</v>
      </c>
      <c r="G194" s="21" t="s">
        <v>52</v>
      </c>
      <c r="H194" s="23">
        <v>44069.765810185185</v>
      </c>
      <c r="I194" s="23">
        <f>_xlfn.IFNA(VLOOKUP(A194,A195:$H$3524,8,0),"")</f>
        <v>44069.793055555558</v>
      </c>
      <c r="J194" s="40">
        <f t="shared" si="15"/>
        <v>17</v>
      </c>
      <c r="K194" s="24">
        <f t="shared" si="16"/>
        <v>0.65388888894813135</v>
      </c>
      <c r="L194" s="25" t="str">
        <f t="shared" si="17"/>
        <v>Work Finished</v>
      </c>
      <c r="M194" s="43">
        <v>1</v>
      </c>
      <c r="N194" s="37"/>
      <c r="O194" s="33">
        <f t="shared" si="18"/>
        <v>16</v>
      </c>
      <c r="P194" s="33">
        <f t="shared" si="19"/>
        <v>18</v>
      </c>
      <c r="Q194" s="33" t="s">
        <v>53</v>
      </c>
    </row>
    <row r="195" spans="1:24">
      <c r="A195" s="20" t="s">
        <v>254</v>
      </c>
      <c r="B195" s="22" t="s">
        <v>38</v>
      </c>
      <c r="C195" s="20" t="s">
        <v>413</v>
      </c>
      <c r="D195" s="20" t="s">
        <v>40</v>
      </c>
      <c r="E195" s="20" t="s">
        <v>40</v>
      </c>
      <c r="F195" s="20" t="s">
        <v>40</v>
      </c>
      <c r="G195" s="21" t="s">
        <v>52</v>
      </c>
      <c r="H195" s="23">
        <v>44069.766250000001</v>
      </c>
      <c r="I195" s="23">
        <f>_xlfn.IFNA(VLOOKUP(A195,A196:$H$3524,8,0),"")</f>
        <v>44069.770787037036</v>
      </c>
      <c r="J195" s="40">
        <f t="shared" ref="J195:J204" si="20">IF(B195="OFF",0,IF(AND(D195&lt;&gt;"",E195&lt;&gt;""),E195-D195+1,""))</f>
        <v>1</v>
      </c>
      <c r="K195" s="24">
        <f t="shared" si="16"/>
        <v>0.10888888884801418</v>
      </c>
      <c r="L195" s="25" t="str">
        <f t="shared" si="17"/>
        <v>Work Finished</v>
      </c>
      <c r="M195" s="43">
        <v>0</v>
      </c>
      <c r="N195" s="37"/>
      <c r="O195" s="33">
        <f t="shared" si="18"/>
        <v>1</v>
      </c>
      <c r="P195" s="33">
        <f t="shared" si="19"/>
        <v>18</v>
      </c>
      <c r="Q195" s="33" t="s">
        <v>53</v>
      </c>
    </row>
    <row r="196" spans="1:24">
      <c r="A196" s="20" t="s">
        <v>414</v>
      </c>
      <c r="B196" s="22" t="s">
        <v>38</v>
      </c>
      <c r="C196" s="20" t="s">
        <v>415</v>
      </c>
      <c r="D196" s="20" t="s">
        <v>100</v>
      </c>
      <c r="E196" s="20" t="s">
        <v>78</v>
      </c>
      <c r="F196" s="20" t="s">
        <v>78</v>
      </c>
      <c r="G196" s="21" t="s">
        <v>52</v>
      </c>
      <c r="H196" s="23">
        <v>44069.766805555555</v>
      </c>
      <c r="I196" s="23">
        <f>_xlfn.IFNA(VLOOKUP(A196,A197:$H$3524,8,0),"")</f>
        <v>44069.774826388886</v>
      </c>
      <c r="J196" s="40">
        <f t="shared" si="20"/>
        <v>2</v>
      </c>
      <c r="K196" s="24">
        <f t="shared" si="16"/>
        <v>0.19249999994644895</v>
      </c>
      <c r="L196" s="25" t="str">
        <f t="shared" si="17"/>
        <v>Work Finished</v>
      </c>
      <c r="M196" s="43">
        <v>0</v>
      </c>
      <c r="N196" s="37"/>
      <c r="O196" s="33">
        <f t="shared" si="18"/>
        <v>2</v>
      </c>
      <c r="P196" s="33">
        <f t="shared" si="19"/>
        <v>18</v>
      </c>
      <c r="Q196" s="33" t="s">
        <v>53</v>
      </c>
    </row>
    <row r="197" spans="1:24">
      <c r="A197" s="20" t="s">
        <v>255</v>
      </c>
      <c r="B197" s="22" t="s">
        <v>38</v>
      </c>
      <c r="C197" s="20" t="s">
        <v>416</v>
      </c>
      <c r="D197" s="20" t="s">
        <v>90</v>
      </c>
      <c r="E197" s="20" t="s">
        <v>78</v>
      </c>
      <c r="F197" s="20" t="s">
        <v>78</v>
      </c>
      <c r="G197" s="21" t="s">
        <v>52</v>
      </c>
      <c r="H197" s="23">
        <v>44069.767164351855</v>
      </c>
      <c r="I197" s="23">
        <f>_xlfn.IFNA(VLOOKUP(A197,A198:$H$3524,8,0),"")</f>
        <v>44069.783460648148</v>
      </c>
      <c r="J197" s="40">
        <f t="shared" si="20"/>
        <v>4</v>
      </c>
      <c r="K197" s="24">
        <f t="shared" si="16"/>
        <v>0.3911111110355705</v>
      </c>
      <c r="L197" s="25" t="str">
        <f t="shared" si="17"/>
        <v>Work Finished</v>
      </c>
      <c r="M197" s="43">
        <v>2</v>
      </c>
      <c r="N197" s="37"/>
      <c r="O197" s="33">
        <f t="shared" si="18"/>
        <v>2</v>
      </c>
      <c r="P197" s="33">
        <f t="shared" si="19"/>
        <v>18</v>
      </c>
      <c r="Q197" s="33" t="s">
        <v>53</v>
      </c>
    </row>
    <row r="198" spans="1:24">
      <c r="A198" s="20" t="s">
        <v>282</v>
      </c>
      <c r="B198" s="22" t="s">
        <v>38</v>
      </c>
      <c r="C198" s="20" t="s">
        <v>417</v>
      </c>
      <c r="D198" s="20" t="s">
        <v>41</v>
      </c>
      <c r="E198" s="20" t="s">
        <v>57</v>
      </c>
      <c r="F198" s="20" t="s">
        <v>57</v>
      </c>
      <c r="G198" s="21" t="s">
        <v>52</v>
      </c>
      <c r="H198" s="23">
        <v>44069.767604166664</v>
      </c>
      <c r="I198" s="23">
        <f>_xlfn.IFNA(VLOOKUP(A198,A199:$H$3524,8,0),"")</f>
        <v>44069.805023148147</v>
      </c>
      <c r="J198" s="40">
        <f t="shared" si="20"/>
        <v>24</v>
      </c>
      <c r="K198" s="24">
        <f t="shared" si="16"/>
        <v>0.89805555558996275</v>
      </c>
      <c r="L198" s="25" t="str">
        <f t="shared" si="17"/>
        <v>Work Finished</v>
      </c>
      <c r="M198" s="43">
        <v>5</v>
      </c>
      <c r="N198" s="37"/>
      <c r="O198" s="33">
        <f t="shared" si="18"/>
        <v>19</v>
      </c>
      <c r="P198" s="33">
        <f t="shared" si="19"/>
        <v>18</v>
      </c>
      <c r="Q198" s="33" t="s">
        <v>53</v>
      </c>
    </row>
    <row r="199" spans="1:24">
      <c r="A199" s="20" t="s">
        <v>293</v>
      </c>
      <c r="B199" s="22" t="s">
        <v>38</v>
      </c>
      <c r="C199" s="20" t="s">
        <v>418</v>
      </c>
      <c r="D199" s="20" t="s">
        <v>46</v>
      </c>
      <c r="E199" s="20" t="s">
        <v>106</v>
      </c>
      <c r="F199" s="20" t="s">
        <v>106</v>
      </c>
      <c r="G199" s="21" t="s">
        <v>52</v>
      </c>
      <c r="H199" s="23">
        <v>44069.767916666664</v>
      </c>
      <c r="I199" s="23">
        <f>_xlfn.IFNA(VLOOKUP(A199,A200:$H$3524,8,0),"")</f>
        <v>44069.786168981482</v>
      </c>
      <c r="J199" s="40">
        <f t="shared" si="20"/>
        <v>11</v>
      </c>
      <c r="K199" s="24">
        <f t="shared" si="16"/>
        <v>0.43805555562721565</v>
      </c>
      <c r="L199" s="25" t="str">
        <f t="shared" si="17"/>
        <v>Work Finished</v>
      </c>
      <c r="M199" s="43">
        <v>2</v>
      </c>
      <c r="N199" s="37"/>
      <c r="O199" s="33">
        <f t="shared" si="18"/>
        <v>9</v>
      </c>
      <c r="P199" s="33">
        <f t="shared" si="19"/>
        <v>18</v>
      </c>
      <c r="Q199" s="33" t="s">
        <v>53</v>
      </c>
    </row>
    <row r="200" spans="1:24">
      <c r="A200" s="20" t="s">
        <v>296</v>
      </c>
      <c r="B200" s="22" t="s">
        <v>38</v>
      </c>
      <c r="C200" s="20" t="s">
        <v>416</v>
      </c>
      <c r="D200" s="20" t="s">
        <v>89</v>
      </c>
      <c r="E200" s="20" t="s">
        <v>89</v>
      </c>
      <c r="F200" s="20" t="s">
        <v>78</v>
      </c>
      <c r="G200" s="21" t="s">
        <v>52</v>
      </c>
      <c r="H200" s="23">
        <v>44069.768043981479</v>
      </c>
      <c r="I200" s="23">
        <f>_xlfn.IFNA(VLOOKUP(A200,A201:$H$3524,8,0),"")</f>
        <v>44069.773842592593</v>
      </c>
      <c r="J200" s="40">
        <f t="shared" si="20"/>
        <v>1</v>
      </c>
      <c r="K200" s="24">
        <f t="shared" si="16"/>
        <v>0.13916666671866551</v>
      </c>
      <c r="L200" s="25" t="str">
        <f t="shared" si="17"/>
        <v>Work Finished</v>
      </c>
      <c r="M200" s="43">
        <v>0</v>
      </c>
      <c r="N200" s="37"/>
      <c r="O200" s="33">
        <f t="shared" si="18"/>
        <v>1</v>
      </c>
      <c r="P200" s="33">
        <f t="shared" si="19"/>
        <v>18</v>
      </c>
      <c r="Q200" s="33" t="s">
        <v>80</v>
      </c>
    </row>
    <row r="201" spans="1:24">
      <c r="A201" s="20" t="s">
        <v>419</v>
      </c>
      <c r="B201" s="22" t="s">
        <v>38</v>
      </c>
      <c r="C201" s="20" t="s">
        <v>415</v>
      </c>
      <c r="D201" s="20" t="s">
        <v>70</v>
      </c>
      <c r="E201" s="20" t="s">
        <v>71</v>
      </c>
      <c r="F201" s="20" t="s">
        <v>78</v>
      </c>
      <c r="G201" s="21" t="s">
        <v>52</v>
      </c>
      <c r="H201" s="23">
        <v>44069.768761574072</v>
      </c>
      <c r="I201" s="23">
        <f>_xlfn.IFNA(VLOOKUP(A201,A202:$H$3524,8,0),"")</f>
        <v>44069.775717592594</v>
      </c>
      <c r="J201" s="40">
        <f t="shared" si="20"/>
        <v>4</v>
      </c>
      <c r="K201" s="24">
        <f t="shared" si="16"/>
        <v>0.16694444452878088</v>
      </c>
      <c r="L201" s="25" t="str">
        <f t="shared" si="17"/>
        <v>Work Finished</v>
      </c>
      <c r="M201" s="43">
        <v>1</v>
      </c>
      <c r="N201" s="37"/>
      <c r="O201" s="33">
        <f t="shared" si="18"/>
        <v>3</v>
      </c>
      <c r="P201" s="33">
        <f t="shared" si="19"/>
        <v>18</v>
      </c>
      <c r="Q201" s="33" t="s">
        <v>80</v>
      </c>
    </row>
    <row r="202" spans="1:24">
      <c r="A202" s="20" t="s">
        <v>420</v>
      </c>
      <c r="B202" s="22" t="s">
        <v>38</v>
      </c>
      <c r="C202" s="20" t="s">
        <v>409</v>
      </c>
      <c r="D202" s="20" t="s">
        <v>87</v>
      </c>
      <c r="E202" s="20" t="s">
        <v>104</v>
      </c>
      <c r="F202" s="20" t="s">
        <v>46</v>
      </c>
      <c r="G202" s="21" t="s">
        <v>52</v>
      </c>
      <c r="H202" s="23">
        <v>44069.769108796296</v>
      </c>
      <c r="I202" s="23">
        <f>_xlfn.IFNA(VLOOKUP(A202,A203:$H$3524,8,0),"")</f>
        <v>44069.779548611114</v>
      </c>
      <c r="J202" s="40">
        <f t="shared" si="20"/>
        <v>6</v>
      </c>
      <c r="K202" s="24">
        <f t="shared" si="16"/>
        <v>0.25055555562721565</v>
      </c>
      <c r="L202" s="25" t="str">
        <f t="shared" si="17"/>
        <v>Work Finished</v>
      </c>
      <c r="M202" s="43">
        <v>3</v>
      </c>
      <c r="N202" s="37"/>
      <c r="O202" s="33">
        <f t="shared" si="18"/>
        <v>3</v>
      </c>
      <c r="P202" s="33">
        <f t="shared" si="19"/>
        <v>18</v>
      </c>
      <c r="Q202" s="33" t="s">
        <v>80</v>
      </c>
    </row>
    <row r="203" spans="1:24">
      <c r="A203" s="20" t="s">
        <v>421</v>
      </c>
      <c r="B203" s="22" t="s">
        <v>38</v>
      </c>
      <c r="C203" s="20" t="s">
        <v>411</v>
      </c>
      <c r="D203" s="20" t="s">
        <v>109</v>
      </c>
      <c r="E203" s="20" t="s">
        <v>117</v>
      </c>
      <c r="F203" s="20" t="s">
        <v>151</v>
      </c>
      <c r="G203" s="21" t="s">
        <v>43</v>
      </c>
      <c r="H203" s="23">
        <v>44069.769548611112</v>
      </c>
      <c r="I203" s="23">
        <f>_xlfn.IFNA(VLOOKUP(A203,A204:$H$3524,8,0),"")</f>
        <v>44069.79446759259</v>
      </c>
      <c r="J203" s="40">
        <f t="shared" si="20"/>
        <v>26</v>
      </c>
      <c r="K203" s="24">
        <f t="shared" si="16"/>
        <v>0.59805555548518896</v>
      </c>
      <c r="L203" s="25" t="str">
        <f t="shared" si="17"/>
        <v>Work Finished</v>
      </c>
      <c r="M203" s="43">
        <v>1</v>
      </c>
      <c r="N203" s="37"/>
      <c r="O203" s="33">
        <f t="shared" si="18"/>
        <v>25</v>
      </c>
      <c r="P203" s="33">
        <f t="shared" si="19"/>
        <v>18</v>
      </c>
      <c r="Q203" s="33" t="s">
        <v>53</v>
      </c>
    </row>
    <row r="204" spans="1:24">
      <c r="A204" s="20" t="s">
        <v>422</v>
      </c>
      <c r="B204" s="22" t="s">
        <v>38</v>
      </c>
      <c r="C204" s="20" t="s">
        <v>412</v>
      </c>
      <c r="D204" s="20" t="s">
        <v>60</v>
      </c>
      <c r="E204" s="20" t="s">
        <v>113</v>
      </c>
      <c r="F204" s="20" t="s">
        <v>57</v>
      </c>
      <c r="G204" s="21" t="s">
        <v>52</v>
      </c>
      <c r="H204" s="23">
        <v>44069.770115740743</v>
      </c>
      <c r="I204" s="23">
        <f>_xlfn.IFNA(VLOOKUP(A204,A205:$H$3524,8,0),"")</f>
        <v>44069.797013888892</v>
      </c>
      <c r="J204" s="40">
        <f t="shared" si="20"/>
        <v>17</v>
      </c>
      <c r="K204" s="24">
        <f t="shared" si="16"/>
        <v>0.64555555558763444</v>
      </c>
      <c r="L204" s="25" t="str">
        <f t="shared" si="17"/>
        <v>Work Finished</v>
      </c>
      <c r="M204" s="43">
        <v>4</v>
      </c>
      <c r="N204" s="37"/>
      <c r="O204" s="33">
        <f t="shared" si="18"/>
        <v>13</v>
      </c>
      <c r="P204" s="33">
        <f t="shared" si="19"/>
        <v>18</v>
      </c>
      <c r="Q204" s="33" t="s">
        <v>53</v>
      </c>
    </row>
    <row r="205" spans="1:24">
      <c r="A205" s="20" t="s">
        <v>423</v>
      </c>
      <c r="B205" s="22" t="s">
        <v>38</v>
      </c>
      <c r="C205" s="20" t="s">
        <v>417</v>
      </c>
      <c r="D205" s="20" t="s">
        <v>105</v>
      </c>
      <c r="E205" s="20" t="s">
        <v>74</v>
      </c>
      <c r="F205" s="20" t="s">
        <v>57</v>
      </c>
      <c r="G205" s="21" t="s">
        <v>52</v>
      </c>
      <c r="H205" s="23">
        <v>44069.770439814813</v>
      </c>
      <c r="I205" s="23">
        <f>_xlfn.IFNA(VLOOKUP(A205,A206:$H$3524,8,0),"")</f>
        <v>44069.786516203705</v>
      </c>
      <c r="J205" s="40">
        <f t="shared" ref="J205:J261" si="21">IF(B205="OFF",0,IF(AND(D205&lt;&gt;"",E205&lt;&gt;""),E205-D205+1,""))</f>
        <v>12</v>
      </c>
      <c r="K205" s="24">
        <f t="shared" ref="K205:K246" si="22">IF(H205="","",IFERROR((I205-H205)*24,0))</f>
        <v>0.38583333342103288</v>
      </c>
      <c r="L205" s="25" t="str">
        <f t="shared" ref="L205:L246" si="23">IF(K205="","",IF(B205="Break","Break",IF(K205&lt;&gt;0,"Work Finished",IF(B205="OFF","Work Finished",IF(I205="","Working","Work Finished")))))</f>
        <v>Work Finished</v>
      </c>
      <c r="M205" s="43">
        <v>1</v>
      </c>
      <c r="N205" s="37"/>
      <c r="O205" s="33">
        <f t="shared" si="18"/>
        <v>11</v>
      </c>
      <c r="P205" s="33">
        <f t="shared" si="19"/>
        <v>18</v>
      </c>
      <c r="Q205" s="33" t="s">
        <v>53</v>
      </c>
      <c r="X205" s="1"/>
    </row>
    <row r="206" spans="1:24">
      <c r="A206" s="20" t="s">
        <v>254</v>
      </c>
      <c r="B206" s="22" t="s">
        <v>38</v>
      </c>
      <c r="C206" s="20" t="s">
        <v>418</v>
      </c>
      <c r="D206" s="20" t="s">
        <v>104</v>
      </c>
      <c r="E206" s="20" t="s">
        <v>101</v>
      </c>
      <c r="F206" s="20" t="s">
        <v>106</v>
      </c>
      <c r="G206" s="21" t="s">
        <v>52</v>
      </c>
      <c r="H206" s="23">
        <v>44069.770787037036</v>
      </c>
      <c r="I206" s="23">
        <f>_xlfn.IFNA(VLOOKUP(A206,A207:$H$3524,8,0),"")</f>
        <v>44069.789479166669</v>
      </c>
      <c r="J206" s="40">
        <f t="shared" si="21"/>
        <v>12</v>
      </c>
      <c r="K206" s="24">
        <f t="shared" si="22"/>
        <v>0.44861111120553687</v>
      </c>
      <c r="L206" s="25" t="str">
        <f t="shared" si="23"/>
        <v>Work Finished</v>
      </c>
      <c r="M206" s="43">
        <v>1</v>
      </c>
      <c r="N206" s="37"/>
      <c r="O206" s="33">
        <f t="shared" si="18"/>
        <v>11</v>
      </c>
      <c r="P206" s="33">
        <f t="shared" si="19"/>
        <v>18</v>
      </c>
      <c r="Q206" s="33" t="s">
        <v>53</v>
      </c>
      <c r="X206" s="1"/>
    </row>
    <row r="207" spans="1:24">
      <c r="A207" s="20" t="s">
        <v>424</v>
      </c>
      <c r="B207" s="22" t="s">
        <v>38</v>
      </c>
      <c r="C207" s="20" t="s">
        <v>411</v>
      </c>
      <c r="D207" s="20" t="s">
        <v>40</v>
      </c>
      <c r="E207" s="20" t="s">
        <v>114</v>
      </c>
      <c r="F207" s="20" t="s">
        <v>151</v>
      </c>
      <c r="G207" s="21" t="s">
        <v>43</v>
      </c>
      <c r="H207" s="23">
        <v>44069.77138888889</v>
      </c>
      <c r="I207" s="23">
        <f>_xlfn.IFNA(VLOOKUP(A207,A208:$H$3524,8,0),"")</f>
        <v>44069.792083333334</v>
      </c>
      <c r="J207" s="40">
        <f t="shared" si="21"/>
        <v>31</v>
      </c>
      <c r="K207" s="24">
        <f t="shared" si="22"/>
        <v>0.4966666666441597</v>
      </c>
      <c r="L207" s="25" t="str">
        <f t="shared" si="23"/>
        <v>Work Finished</v>
      </c>
      <c r="M207" s="43">
        <v>4</v>
      </c>
      <c r="N207" s="37"/>
      <c r="O207" s="33">
        <f t="shared" si="18"/>
        <v>27</v>
      </c>
      <c r="P207" s="33">
        <f t="shared" si="19"/>
        <v>18</v>
      </c>
      <c r="Q207" s="33" t="s">
        <v>53</v>
      </c>
      <c r="X207" s="1"/>
    </row>
    <row r="208" spans="1:24">
      <c r="A208" s="20" t="s">
        <v>425</v>
      </c>
      <c r="B208" s="22" t="s">
        <v>38</v>
      </c>
      <c r="C208" s="20" t="s">
        <v>412</v>
      </c>
      <c r="D208" s="20" t="s">
        <v>40</v>
      </c>
      <c r="E208" s="20" t="s">
        <v>105</v>
      </c>
      <c r="F208" s="20" t="s">
        <v>57</v>
      </c>
      <c r="G208" s="21" t="s">
        <v>52</v>
      </c>
      <c r="H208" s="23">
        <v>44069.771886574075</v>
      </c>
      <c r="I208" s="23">
        <f>_xlfn.IFNA(VLOOKUP(A208,A209:$H$3524,8,0),"")</f>
        <v>44069.785000000003</v>
      </c>
      <c r="J208" s="40">
        <f t="shared" si="21"/>
        <v>15</v>
      </c>
      <c r="K208" s="24">
        <f t="shared" si="22"/>
        <v>0.31472222227603197</v>
      </c>
      <c r="L208" s="25" t="str">
        <f t="shared" si="23"/>
        <v>Work Finished</v>
      </c>
      <c r="M208" s="43">
        <v>1</v>
      </c>
      <c r="N208" s="37"/>
      <c r="O208" s="33">
        <f t="shared" si="18"/>
        <v>14</v>
      </c>
      <c r="P208" s="33">
        <f t="shared" si="19"/>
        <v>18</v>
      </c>
      <c r="Q208" s="33" t="s">
        <v>53</v>
      </c>
      <c r="X208" s="1"/>
    </row>
    <row r="209" spans="1:24">
      <c r="A209" s="20" t="s">
        <v>426</v>
      </c>
      <c r="B209" s="22" t="s">
        <v>38</v>
      </c>
      <c r="C209" s="20" t="s">
        <v>417</v>
      </c>
      <c r="D209" s="20" t="s">
        <v>40</v>
      </c>
      <c r="E209" s="20" t="s">
        <v>102</v>
      </c>
      <c r="F209" s="20" t="s">
        <v>57</v>
      </c>
      <c r="G209" s="21" t="s">
        <v>52</v>
      </c>
      <c r="H209" s="23">
        <v>44069.772118055553</v>
      </c>
      <c r="I209" s="23">
        <f>_xlfn.IFNA(VLOOKUP(A209,A210:$H$3524,8,0),"")</f>
        <v>44069.790821759256</v>
      </c>
      <c r="J209" s="40">
        <f t="shared" si="21"/>
        <v>14</v>
      </c>
      <c r="K209" s="24">
        <f t="shared" si="22"/>
        <v>0.44888888887362555</v>
      </c>
      <c r="L209" s="25" t="str">
        <f t="shared" si="23"/>
        <v>Work Finished</v>
      </c>
      <c r="M209" s="43">
        <v>1</v>
      </c>
      <c r="N209" s="37"/>
      <c r="O209" s="33">
        <f t="shared" si="18"/>
        <v>13</v>
      </c>
      <c r="P209" s="33">
        <f t="shared" si="19"/>
        <v>18</v>
      </c>
      <c r="Q209" s="33" t="s">
        <v>53</v>
      </c>
      <c r="X209" s="1"/>
    </row>
    <row r="210" spans="1:24">
      <c r="A210" s="20" t="s">
        <v>427</v>
      </c>
      <c r="B210" s="22" t="s">
        <v>38</v>
      </c>
      <c r="C210" s="20" t="s">
        <v>418</v>
      </c>
      <c r="D210" s="20" t="s">
        <v>40</v>
      </c>
      <c r="E210" s="20" t="s">
        <v>86</v>
      </c>
      <c r="F210" s="20" t="s">
        <v>106</v>
      </c>
      <c r="G210" s="21" t="s">
        <v>52</v>
      </c>
      <c r="H210" s="23">
        <v>44069.772719907407</v>
      </c>
      <c r="I210" s="23">
        <f>_xlfn.IFNA(VLOOKUP(A210,A211:$H$3524,8,0),"")</f>
        <v>44069.789814814816</v>
      </c>
      <c r="J210" s="40">
        <f t="shared" si="21"/>
        <v>12</v>
      </c>
      <c r="K210" s="24">
        <f t="shared" si="22"/>
        <v>0.41027777781710029</v>
      </c>
      <c r="L210" s="25" t="str">
        <f t="shared" si="23"/>
        <v>Work Finished</v>
      </c>
      <c r="M210" s="43">
        <v>1</v>
      </c>
      <c r="N210" s="37"/>
      <c r="O210" s="33">
        <f t="shared" si="18"/>
        <v>11</v>
      </c>
      <c r="P210" s="33">
        <f t="shared" si="19"/>
        <v>18</v>
      </c>
      <c r="Q210" s="33" t="s">
        <v>53</v>
      </c>
      <c r="X210" s="1"/>
    </row>
    <row r="211" spans="1:24">
      <c r="A211" s="20" t="s">
        <v>296</v>
      </c>
      <c r="B211" s="22" t="s">
        <v>38</v>
      </c>
      <c r="C211" s="20" t="s">
        <v>409</v>
      </c>
      <c r="D211" s="20" t="s">
        <v>40</v>
      </c>
      <c r="E211" s="20" t="s">
        <v>78</v>
      </c>
      <c r="F211" s="20" t="s">
        <v>46</v>
      </c>
      <c r="G211" s="21" t="s">
        <v>52</v>
      </c>
      <c r="H211" s="23">
        <v>44069.773842592593</v>
      </c>
      <c r="I211" s="23">
        <f>_xlfn.IFNA(VLOOKUP(A211,A212:$H$3524,8,0),"")</f>
        <v>44069.78292824074</v>
      </c>
      <c r="J211" s="40">
        <f t="shared" si="21"/>
        <v>7</v>
      </c>
      <c r="K211" s="24">
        <f t="shared" si="22"/>
        <v>0.21805555553874001</v>
      </c>
      <c r="L211" s="25" t="str">
        <f t="shared" si="23"/>
        <v>Work Finished</v>
      </c>
      <c r="M211" s="43"/>
      <c r="N211" s="37"/>
      <c r="O211" s="33">
        <f t="shared" si="18"/>
        <v>7</v>
      </c>
      <c r="P211" s="33">
        <f t="shared" si="19"/>
        <v>18</v>
      </c>
      <c r="Q211" s="33" t="s">
        <v>80</v>
      </c>
      <c r="X211" s="1"/>
    </row>
    <row r="212" spans="1:24">
      <c r="A212" s="20" t="s">
        <v>428</v>
      </c>
      <c r="B212" s="22" t="s">
        <v>38</v>
      </c>
      <c r="C212" s="20" t="s">
        <v>416</v>
      </c>
      <c r="D212" s="20" t="s">
        <v>40</v>
      </c>
      <c r="E212" s="20" t="s">
        <v>70</v>
      </c>
      <c r="F212" s="20" t="s">
        <v>78</v>
      </c>
      <c r="G212" s="21" t="s">
        <v>52</v>
      </c>
      <c r="H212" s="23">
        <v>44069.774641203701</v>
      </c>
      <c r="I212" s="23">
        <f>_xlfn.IFNA(VLOOKUP(A212,A213:$H$3524,8,0),"")</f>
        <v>44069.779305555552</v>
      </c>
      <c r="J212" s="40">
        <f t="shared" si="21"/>
        <v>2</v>
      </c>
      <c r="K212" s="24">
        <f t="shared" si="22"/>
        <v>0.11194444441935048</v>
      </c>
      <c r="L212" s="25" t="str">
        <f t="shared" si="23"/>
        <v>Work Finished</v>
      </c>
      <c r="M212" s="43"/>
      <c r="N212" s="37"/>
      <c r="O212" s="33">
        <f t="shared" si="18"/>
        <v>2</v>
      </c>
      <c r="P212" s="33">
        <f t="shared" si="19"/>
        <v>18</v>
      </c>
      <c r="Q212" s="33" t="s">
        <v>80</v>
      </c>
      <c r="X212" s="1"/>
    </row>
    <row r="213" spans="1:24">
      <c r="A213" s="20" t="s">
        <v>414</v>
      </c>
      <c r="B213" s="22" t="s">
        <v>38</v>
      </c>
      <c r="C213" s="20" t="s">
        <v>415</v>
      </c>
      <c r="D213" s="20" t="s">
        <v>40</v>
      </c>
      <c r="E213" s="20" t="s">
        <v>40</v>
      </c>
      <c r="F213" s="20" t="s">
        <v>78</v>
      </c>
      <c r="G213" s="21" t="s">
        <v>52</v>
      </c>
      <c r="H213" s="23">
        <v>44069.774826388886</v>
      </c>
      <c r="I213" s="23">
        <f>_xlfn.IFNA(VLOOKUP(A213,A214:$H$3524,8,0),"")</f>
        <v>44069.781736111108</v>
      </c>
      <c r="J213" s="40">
        <f t="shared" si="21"/>
        <v>1</v>
      </c>
      <c r="K213" s="24">
        <f t="shared" si="22"/>
        <v>0.16583333333255723</v>
      </c>
      <c r="L213" s="25" t="str">
        <f t="shared" si="23"/>
        <v>Work Finished</v>
      </c>
      <c r="M213" s="43"/>
      <c r="N213" s="37"/>
      <c r="O213" s="33">
        <f t="shared" si="18"/>
        <v>1</v>
      </c>
      <c r="P213" s="33">
        <f t="shared" si="19"/>
        <v>18</v>
      </c>
      <c r="Q213" s="33" t="s">
        <v>80</v>
      </c>
      <c r="X213" s="1"/>
    </row>
    <row r="214" spans="1:24">
      <c r="A214" s="20" t="s">
        <v>419</v>
      </c>
      <c r="B214" s="22" t="s">
        <v>38</v>
      </c>
      <c r="C214" s="20" t="s">
        <v>429</v>
      </c>
      <c r="D214" s="20" t="s">
        <v>122</v>
      </c>
      <c r="E214" s="20" t="s">
        <v>147</v>
      </c>
      <c r="F214" s="20" t="s">
        <v>147</v>
      </c>
      <c r="G214" s="21" t="s">
        <v>43</v>
      </c>
      <c r="H214" s="23">
        <v>44069.775717592594</v>
      </c>
      <c r="I214" s="23">
        <f>_xlfn.IFNA(VLOOKUP(A214,A215:$H$3524,8,0),"")</f>
        <v>44069.810069444444</v>
      </c>
      <c r="J214" s="40">
        <f t="shared" si="21"/>
        <v>43</v>
      </c>
      <c r="K214" s="24">
        <f t="shared" si="22"/>
        <v>0.82444444438442588</v>
      </c>
      <c r="L214" s="25" t="str">
        <f t="shared" si="23"/>
        <v>Work Finished</v>
      </c>
      <c r="M214" s="43">
        <v>3</v>
      </c>
      <c r="N214" s="37"/>
      <c r="O214" s="33">
        <f t="shared" si="18"/>
        <v>40</v>
      </c>
      <c r="P214" s="33">
        <f t="shared" si="19"/>
        <v>18</v>
      </c>
      <c r="Q214" s="33" t="s">
        <v>80</v>
      </c>
      <c r="X214" s="1"/>
    </row>
    <row r="215" spans="1:24">
      <c r="A215" s="20" t="s">
        <v>257</v>
      </c>
      <c r="B215" s="22" t="s">
        <v>38</v>
      </c>
      <c r="C215" s="20" t="s">
        <v>430</v>
      </c>
      <c r="D215" s="20" t="s">
        <v>140</v>
      </c>
      <c r="E215" s="20" t="s">
        <v>152</v>
      </c>
      <c r="F215" s="20" t="s">
        <v>152</v>
      </c>
      <c r="G215" s="21" t="s">
        <v>43</v>
      </c>
      <c r="H215" s="23">
        <v>44069.777025462965</v>
      </c>
      <c r="I215" s="23">
        <f>_xlfn.IFNA(VLOOKUP(A215,A216:$H$3524,8,0),"")</f>
        <v>44069.808344907404</v>
      </c>
      <c r="J215" s="40">
        <f t="shared" si="21"/>
        <v>54</v>
      </c>
      <c r="K215" s="24">
        <f t="shared" si="22"/>
        <v>0.751666666532401</v>
      </c>
      <c r="L215" s="25" t="str">
        <f t="shared" si="23"/>
        <v>Work Finished</v>
      </c>
      <c r="M215" s="43">
        <v>1</v>
      </c>
      <c r="N215" s="37"/>
      <c r="O215" s="33">
        <f t="shared" si="18"/>
        <v>53</v>
      </c>
      <c r="P215" s="33">
        <f t="shared" si="19"/>
        <v>18</v>
      </c>
      <c r="Q215" s="33" t="s">
        <v>80</v>
      </c>
      <c r="X215" s="1"/>
    </row>
    <row r="216" spans="1:24">
      <c r="A216" s="20" t="s">
        <v>432</v>
      </c>
      <c r="B216" s="22" t="s">
        <v>38</v>
      </c>
      <c r="C216" s="20" t="s">
        <v>431</v>
      </c>
      <c r="D216" s="20" t="s">
        <v>40</v>
      </c>
      <c r="E216" s="20" t="s">
        <v>89</v>
      </c>
      <c r="F216" s="20" t="s">
        <v>100</v>
      </c>
      <c r="G216" s="21" t="s">
        <v>52</v>
      </c>
      <c r="H216" s="23">
        <v>44069.778055555558</v>
      </c>
      <c r="I216" s="23">
        <f>_xlfn.IFNA(VLOOKUP(A216,A217:$H$3524,8,0),"")</f>
        <v>44069.787928240738</v>
      </c>
      <c r="J216" s="40">
        <f t="shared" si="21"/>
        <v>3</v>
      </c>
      <c r="K216" s="24">
        <f t="shared" si="22"/>
        <v>0.23694444430293515</v>
      </c>
      <c r="L216" s="25" t="str">
        <f t="shared" si="23"/>
        <v>Work Finished</v>
      </c>
      <c r="M216" s="43">
        <v>1</v>
      </c>
      <c r="N216" s="37"/>
      <c r="O216" s="33">
        <f t="shared" si="18"/>
        <v>2</v>
      </c>
      <c r="P216" s="33">
        <f t="shared" si="19"/>
        <v>18</v>
      </c>
      <c r="Q216" s="33" t="s">
        <v>80</v>
      </c>
      <c r="X216" s="1"/>
    </row>
    <row r="217" spans="1:24">
      <c r="A217" s="20" t="s">
        <v>434</v>
      </c>
      <c r="B217" s="22" t="s">
        <v>38</v>
      </c>
      <c r="C217" s="20" t="s">
        <v>433</v>
      </c>
      <c r="D217" s="20" t="s">
        <v>89</v>
      </c>
      <c r="E217" s="20" t="s">
        <v>90</v>
      </c>
      <c r="F217" s="20" t="s">
        <v>98</v>
      </c>
      <c r="G217" s="21" t="s">
        <v>52</v>
      </c>
      <c r="H217" s="23">
        <v>44069.778425925928</v>
      </c>
      <c r="I217" s="23">
        <f>_xlfn.IFNA(VLOOKUP(A217,A218:$H$3524,8,0),"")</f>
        <v>44069.79310185185</v>
      </c>
      <c r="J217" s="40">
        <f t="shared" si="21"/>
        <v>2</v>
      </c>
      <c r="K217" s="24">
        <f t="shared" si="22"/>
        <v>0.35222222213633358</v>
      </c>
      <c r="L217" s="25" t="str">
        <f t="shared" si="23"/>
        <v>Work Finished</v>
      </c>
      <c r="M217" s="43">
        <v>1</v>
      </c>
      <c r="N217" s="37"/>
      <c r="O217" s="33">
        <f t="shared" si="18"/>
        <v>1</v>
      </c>
      <c r="P217" s="33">
        <f t="shared" si="19"/>
        <v>18</v>
      </c>
      <c r="Q217" s="33" t="s">
        <v>80</v>
      </c>
      <c r="X217" s="1"/>
    </row>
    <row r="218" spans="1:24">
      <c r="A218" s="20" t="s">
        <v>437</v>
      </c>
      <c r="B218" s="22" t="s">
        <v>38</v>
      </c>
      <c r="C218" s="20" t="s">
        <v>436</v>
      </c>
      <c r="D218" s="20" t="s">
        <v>89</v>
      </c>
      <c r="E218" s="20" t="s">
        <v>100</v>
      </c>
      <c r="F218" s="20" t="s">
        <v>92</v>
      </c>
      <c r="G218" s="21" t="s">
        <v>52</v>
      </c>
      <c r="H218" s="23">
        <v>44069.779189814813</v>
      </c>
      <c r="I218" s="23">
        <f>_xlfn.IFNA(VLOOKUP(A218,A219:$H$3524,8,0),"")</f>
        <v>44069.784212962964</v>
      </c>
      <c r="J218" s="40">
        <f t="shared" si="21"/>
        <v>4</v>
      </c>
      <c r="K218" s="24">
        <f t="shared" si="22"/>
        <v>0.12055555562255904</v>
      </c>
      <c r="L218" s="25" t="str">
        <f t="shared" si="23"/>
        <v>Work Finished</v>
      </c>
      <c r="M218" s="43">
        <v>1</v>
      </c>
      <c r="N218" s="37"/>
      <c r="O218" s="33">
        <f t="shared" si="18"/>
        <v>3</v>
      </c>
      <c r="P218" s="33">
        <f t="shared" si="19"/>
        <v>18</v>
      </c>
      <c r="Q218" s="33" t="s">
        <v>80</v>
      </c>
      <c r="X218" s="1"/>
    </row>
    <row r="219" spans="1:24">
      <c r="A219" s="20" t="s">
        <v>428</v>
      </c>
      <c r="B219" s="22" t="s">
        <v>38</v>
      </c>
      <c r="C219" s="20" t="s">
        <v>438</v>
      </c>
      <c r="D219" s="20" t="s">
        <v>89</v>
      </c>
      <c r="E219" s="20" t="s">
        <v>78</v>
      </c>
      <c r="F219" s="20" t="s">
        <v>50</v>
      </c>
      <c r="G219" s="21" t="s">
        <v>52</v>
      </c>
      <c r="H219" s="23">
        <v>44069.779305555552</v>
      </c>
      <c r="I219" s="23">
        <f>_xlfn.IFNA(VLOOKUP(A219,A220:$H$3524,8,0),"")</f>
        <v>44069.787233796298</v>
      </c>
      <c r="J219" s="40">
        <f t="shared" si="21"/>
        <v>5</v>
      </c>
      <c r="K219" s="24">
        <f t="shared" si="22"/>
        <v>0.19027777790324762</v>
      </c>
      <c r="L219" s="25" t="str">
        <f t="shared" si="23"/>
        <v>Work Finished</v>
      </c>
      <c r="M219" s="43">
        <v>2</v>
      </c>
      <c r="N219" s="37"/>
      <c r="O219" s="33">
        <f t="shared" si="18"/>
        <v>3</v>
      </c>
      <c r="P219" s="33">
        <f t="shared" si="19"/>
        <v>18</v>
      </c>
      <c r="Q219" s="33" t="s">
        <v>80</v>
      </c>
      <c r="X219" s="1"/>
    </row>
    <row r="220" spans="1:24">
      <c r="A220" s="20" t="s">
        <v>420</v>
      </c>
      <c r="B220" s="22" t="s">
        <v>38</v>
      </c>
      <c r="C220" s="20" t="s">
        <v>435</v>
      </c>
      <c r="D220" s="20" t="s">
        <v>91</v>
      </c>
      <c r="E220" s="20" t="s">
        <v>63</v>
      </c>
      <c r="F220" s="20" t="s">
        <v>41</v>
      </c>
      <c r="G220" s="21" t="s">
        <v>52</v>
      </c>
      <c r="H220" s="23">
        <v>44069.779548611114</v>
      </c>
      <c r="I220" s="23">
        <f>_xlfn.IFNA(VLOOKUP(A220,A221:$H$3524,8,0),"")</f>
        <v>44069.790324074071</v>
      </c>
      <c r="J220" s="40">
        <f t="shared" si="21"/>
        <v>10</v>
      </c>
      <c r="K220" s="24">
        <f t="shared" si="22"/>
        <v>0.25861111097037792</v>
      </c>
      <c r="L220" s="25" t="str">
        <f t="shared" si="23"/>
        <v>Work Finished</v>
      </c>
      <c r="M220" s="43">
        <v>1</v>
      </c>
      <c r="N220" s="37"/>
      <c r="O220" s="33">
        <f t="shared" si="18"/>
        <v>9</v>
      </c>
      <c r="P220" s="33">
        <f t="shared" si="19"/>
        <v>18</v>
      </c>
      <c r="Q220" s="33" t="s">
        <v>80</v>
      </c>
      <c r="X220" s="1"/>
    </row>
    <row r="221" spans="1:24">
      <c r="A221" s="20" t="s">
        <v>440</v>
      </c>
      <c r="B221" s="22" t="s">
        <v>38</v>
      </c>
      <c r="C221" s="20" t="s">
        <v>439</v>
      </c>
      <c r="D221" s="20" t="s">
        <v>109</v>
      </c>
      <c r="E221" s="20" t="s">
        <v>122</v>
      </c>
      <c r="F221" s="20" t="s">
        <v>135</v>
      </c>
      <c r="G221" s="21" t="s">
        <v>43</v>
      </c>
      <c r="H221" s="23">
        <v>44069.780902777777</v>
      </c>
      <c r="I221" s="23">
        <f>_xlfn.IFNA(VLOOKUP(A221,A222:$H$3524,8,0),"")</f>
        <v>44069.80259259259</v>
      </c>
      <c r="J221" s="40">
        <f t="shared" si="21"/>
        <v>29</v>
      </c>
      <c r="K221" s="24">
        <f t="shared" si="22"/>
        <v>0.52055555552942678</v>
      </c>
      <c r="L221" s="25" t="str">
        <f t="shared" si="23"/>
        <v>Work Finished</v>
      </c>
      <c r="M221" s="43">
        <v>1</v>
      </c>
      <c r="N221" s="37"/>
      <c r="O221" s="33">
        <f t="shared" si="18"/>
        <v>28</v>
      </c>
      <c r="P221" s="33">
        <f t="shared" si="19"/>
        <v>18</v>
      </c>
      <c r="Q221" s="33" t="s">
        <v>53</v>
      </c>
      <c r="X221" s="1"/>
    </row>
    <row r="222" spans="1:24">
      <c r="A222" s="20" t="s">
        <v>442</v>
      </c>
      <c r="B222" s="22" t="s">
        <v>38</v>
      </c>
      <c r="C222" s="20" t="s">
        <v>441</v>
      </c>
      <c r="D222" s="20" t="s">
        <v>88</v>
      </c>
      <c r="E222" s="20" t="s">
        <v>113</v>
      </c>
      <c r="F222" s="20" t="s">
        <v>57</v>
      </c>
      <c r="G222" s="21" t="s">
        <v>52</v>
      </c>
      <c r="H222" s="23">
        <v>44069.781469907408</v>
      </c>
      <c r="I222" s="23">
        <f>_xlfn.IFNA(VLOOKUP(A222,A223:$H$3524,8,0),"")</f>
        <v>44069.809733796297</v>
      </c>
      <c r="J222" s="40">
        <f t="shared" si="21"/>
        <v>18</v>
      </c>
      <c r="K222" s="24">
        <f t="shared" si="22"/>
        <v>0.67833333334419876</v>
      </c>
      <c r="L222" s="25" t="str">
        <f t="shared" si="23"/>
        <v>Work Finished</v>
      </c>
      <c r="M222" s="43">
        <v>4</v>
      </c>
      <c r="N222" s="37"/>
      <c r="O222" s="33">
        <f t="shared" si="18"/>
        <v>14</v>
      </c>
      <c r="P222" s="33">
        <f t="shared" si="19"/>
        <v>18</v>
      </c>
      <c r="Q222" s="33" t="s">
        <v>53</v>
      </c>
      <c r="X222" s="1"/>
    </row>
    <row r="223" spans="1:24">
      <c r="A223" s="20" t="s">
        <v>414</v>
      </c>
      <c r="B223" s="22" t="s">
        <v>38</v>
      </c>
      <c r="C223" s="20" t="s">
        <v>443</v>
      </c>
      <c r="D223" s="20" t="s">
        <v>46</v>
      </c>
      <c r="E223" s="20" t="s">
        <v>125</v>
      </c>
      <c r="F223" s="20" t="s">
        <v>57</v>
      </c>
      <c r="G223" s="21" t="s">
        <v>52</v>
      </c>
      <c r="H223" s="23">
        <v>44069.781736111108</v>
      </c>
      <c r="I223" s="23">
        <f>_xlfn.IFNA(VLOOKUP(A223,A224:$H$3524,8,0),"")</f>
        <v>44069.797673611109</v>
      </c>
      <c r="J223" s="40">
        <f t="shared" si="21"/>
        <v>13</v>
      </c>
      <c r="K223" s="24">
        <f t="shared" si="22"/>
        <v>0.38250000000698492</v>
      </c>
      <c r="L223" s="25" t="str">
        <f t="shared" si="23"/>
        <v>Work Finished</v>
      </c>
      <c r="M223" s="43"/>
      <c r="N223" s="37"/>
      <c r="O223" s="33">
        <f t="shared" si="18"/>
        <v>13</v>
      </c>
      <c r="P223" s="33">
        <f t="shared" si="19"/>
        <v>18</v>
      </c>
      <c r="Q223" s="33" t="s">
        <v>53</v>
      </c>
      <c r="X223" s="1"/>
    </row>
    <row r="224" spans="1:24">
      <c r="A224" s="20" t="s">
        <v>296</v>
      </c>
      <c r="B224" s="22" t="s">
        <v>38</v>
      </c>
      <c r="C224" s="20" t="s">
        <v>444</v>
      </c>
      <c r="D224" s="20" t="s">
        <v>46</v>
      </c>
      <c r="E224" s="20" t="s">
        <v>115</v>
      </c>
      <c r="F224" s="20" t="s">
        <v>57</v>
      </c>
      <c r="G224" s="21" t="s">
        <v>52</v>
      </c>
      <c r="H224" s="23">
        <v>44069.78292824074</v>
      </c>
      <c r="I224" s="23">
        <f>_xlfn.IFNA(VLOOKUP(A224,A225:$H$3524,8,0),"")</f>
        <v>44069.795312499999</v>
      </c>
      <c r="J224" s="40">
        <f t="shared" si="21"/>
        <v>12</v>
      </c>
      <c r="K224" s="24">
        <f t="shared" si="22"/>
        <v>0.29722222220152617</v>
      </c>
      <c r="L224" s="25" t="str">
        <f t="shared" si="23"/>
        <v>Work Finished</v>
      </c>
      <c r="M224" s="43">
        <v>0</v>
      </c>
      <c r="N224" s="37"/>
      <c r="O224" s="33">
        <f t="shared" si="18"/>
        <v>12</v>
      </c>
      <c r="P224" s="33">
        <f t="shared" si="19"/>
        <v>18</v>
      </c>
      <c r="Q224" s="33" t="s">
        <v>53</v>
      </c>
      <c r="X224" s="1"/>
    </row>
    <row r="225" spans="1:24">
      <c r="A225" s="20" t="s">
        <v>255</v>
      </c>
      <c r="B225" s="22" t="s">
        <v>38</v>
      </c>
      <c r="C225" s="20" t="s">
        <v>445</v>
      </c>
      <c r="D225" s="20" t="s">
        <v>102</v>
      </c>
      <c r="E225" s="20" t="s">
        <v>109</v>
      </c>
      <c r="F225" s="20" t="s">
        <v>57</v>
      </c>
      <c r="G225" s="21" t="s">
        <v>52</v>
      </c>
      <c r="H225" s="23">
        <v>44069.783460648148</v>
      </c>
      <c r="I225" s="23">
        <f>_xlfn.IFNA(VLOOKUP(A225,A226:$H$3524,8,0),"")</f>
        <v>44069.801458333335</v>
      </c>
      <c r="J225" s="40">
        <f t="shared" si="21"/>
        <v>19</v>
      </c>
      <c r="K225" s="24">
        <f t="shared" si="22"/>
        <v>0.43194444448454306</v>
      </c>
      <c r="L225" s="25" t="str">
        <f t="shared" si="23"/>
        <v>Work Finished</v>
      </c>
      <c r="M225" s="43">
        <v>1</v>
      </c>
      <c r="N225" s="37"/>
      <c r="O225" s="33">
        <f t="shared" si="18"/>
        <v>18</v>
      </c>
      <c r="P225" s="33">
        <f t="shared" si="19"/>
        <v>18</v>
      </c>
      <c r="Q225" s="33" t="s">
        <v>53</v>
      </c>
      <c r="X225" s="1"/>
    </row>
    <row r="226" spans="1:24">
      <c r="A226" s="20" t="s">
        <v>437</v>
      </c>
      <c r="B226" s="22" t="s">
        <v>38</v>
      </c>
      <c r="C226" s="20" t="s">
        <v>436</v>
      </c>
      <c r="D226" s="20" t="s">
        <v>78</v>
      </c>
      <c r="E226" s="20" t="s">
        <v>92</v>
      </c>
      <c r="F226" s="20" t="s">
        <v>92</v>
      </c>
      <c r="G226" s="21" t="s">
        <v>52</v>
      </c>
      <c r="H226" s="23">
        <v>44069.784212962964</v>
      </c>
      <c r="I226" s="23">
        <f>_xlfn.IFNA(VLOOKUP(A226,A227:$H$3524,8,0),"")</f>
        <v>44069.791504629633</v>
      </c>
      <c r="J226" s="40">
        <f t="shared" si="21"/>
        <v>5</v>
      </c>
      <c r="K226" s="24">
        <f t="shared" si="22"/>
        <v>0.17500000004656613</v>
      </c>
      <c r="L226" s="25" t="str">
        <f t="shared" si="23"/>
        <v>Work Finished</v>
      </c>
      <c r="M226" s="43">
        <v>1</v>
      </c>
      <c r="N226" s="37"/>
      <c r="O226" s="33">
        <f t="shared" si="18"/>
        <v>4</v>
      </c>
      <c r="P226" s="33">
        <f t="shared" si="19"/>
        <v>18</v>
      </c>
      <c r="Q226" s="33" t="s">
        <v>80</v>
      </c>
      <c r="X226" s="1"/>
    </row>
    <row r="227" spans="1:24">
      <c r="A227" s="20" t="s">
        <v>425</v>
      </c>
      <c r="B227" s="22" t="s">
        <v>38</v>
      </c>
      <c r="C227" s="20" t="s">
        <v>438</v>
      </c>
      <c r="D227" s="20" t="s">
        <v>87</v>
      </c>
      <c r="E227" s="20" t="s">
        <v>50</v>
      </c>
      <c r="F227" s="20" t="s">
        <v>50</v>
      </c>
      <c r="G227" s="21" t="s">
        <v>52</v>
      </c>
      <c r="H227" s="23">
        <v>44069.785000000003</v>
      </c>
      <c r="I227" s="23">
        <f>_xlfn.IFNA(VLOOKUP(A227,A228:$H$3524,8,0),"")</f>
        <v>44069.79241898148</v>
      </c>
      <c r="J227" s="40">
        <f t="shared" si="21"/>
        <v>3</v>
      </c>
      <c r="K227" s="24">
        <f t="shared" si="22"/>
        <v>0.17805555544327945</v>
      </c>
      <c r="L227" s="25" t="str">
        <f t="shared" si="23"/>
        <v>Work Finished</v>
      </c>
      <c r="M227" s="43">
        <v>0</v>
      </c>
      <c r="N227" s="37"/>
      <c r="O227" s="33">
        <f t="shared" si="18"/>
        <v>3</v>
      </c>
      <c r="P227" s="33">
        <f t="shared" si="19"/>
        <v>18</v>
      </c>
      <c r="Q227" s="33" t="s">
        <v>80</v>
      </c>
      <c r="X227" s="1"/>
    </row>
    <row r="228" spans="1:24">
      <c r="A228" s="20" t="s">
        <v>293</v>
      </c>
      <c r="B228" s="22" t="s">
        <v>38</v>
      </c>
      <c r="C228" s="20" t="s">
        <v>429</v>
      </c>
      <c r="D228" s="20" t="s">
        <v>40</v>
      </c>
      <c r="E228" s="20" t="s">
        <v>98</v>
      </c>
      <c r="F228" s="20" t="s">
        <v>147</v>
      </c>
      <c r="G228" s="21" t="s">
        <v>43</v>
      </c>
      <c r="H228" s="23">
        <v>44069.786168981482</v>
      </c>
      <c r="I228" s="23">
        <f>_xlfn.IFNA(VLOOKUP(A228,A229:$H$3524,8,0),"")</f>
        <v>44069.811215277776</v>
      </c>
      <c r="J228" s="40">
        <f t="shared" si="21"/>
        <v>20</v>
      </c>
      <c r="K228" s="24">
        <f t="shared" si="22"/>
        <v>0.60111111105652526</v>
      </c>
      <c r="L228" s="25" t="str">
        <f t="shared" si="23"/>
        <v>Work Finished</v>
      </c>
      <c r="M228" s="43">
        <v>2</v>
      </c>
      <c r="N228" s="37"/>
      <c r="O228" s="33">
        <f t="shared" si="18"/>
        <v>18</v>
      </c>
      <c r="P228" s="33">
        <f t="shared" si="19"/>
        <v>18</v>
      </c>
      <c r="Q228" s="33" t="s">
        <v>80</v>
      </c>
      <c r="X228" s="1"/>
    </row>
    <row r="229" spans="1:24">
      <c r="A229" s="20" t="s">
        <v>423</v>
      </c>
      <c r="B229" s="22" t="s">
        <v>38</v>
      </c>
      <c r="C229" s="20" t="s">
        <v>430</v>
      </c>
      <c r="D229" s="20" t="s">
        <v>40</v>
      </c>
      <c r="E229" s="20" t="s">
        <v>146</v>
      </c>
      <c r="F229" s="20" t="s">
        <v>152</v>
      </c>
      <c r="G229" s="21" t="s">
        <v>43</v>
      </c>
      <c r="H229" s="23">
        <v>44069.786516203705</v>
      </c>
      <c r="I229" s="23">
        <f>_xlfn.IFNA(VLOOKUP(A229,A230:$H$3524,8,0),"")</f>
        <v>44069.8125462963</v>
      </c>
      <c r="J229" s="40">
        <f t="shared" si="21"/>
        <v>40</v>
      </c>
      <c r="K229" s="24">
        <f t="shared" si="22"/>
        <v>0.62472222227370366</v>
      </c>
      <c r="L229" s="25" t="str">
        <f t="shared" si="23"/>
        <v>Work Finished</v>
      </c>
      <c r="M229" s="43">
        <v>2</v>
      </c>
      <c r="N229" s="37"/>
      <c r="O229" s="33">
        <f t="shared" si="18"/>
        <v>38</v>
      </c>
      <c r="P229" s="33">
        <f t="shared" si="19"/>
        <v>18</v>
      </c>
      <c r="Q229" s="33" t="s">
        <v>80</v>
      </c>
      <c r="X229" s="1"/>
    </row>
    <row r="230" spans="1:24">
      <c r="A230" s="20" t="s">
        <v>428</v>
      </c>
      <c r="B230" s="22" t="s">
        <v>81</v>
      </c>
      <c r="G230" s="21"/>
      <c r="H230" s="23">
        <v>44069.787233796298</v>
      </c>
      <c r="I230" s="23">
        <f>_xlfn.IFNA(VLOOKUP(A230,A231:$H$3524,8,0),"")</f>
        <v>44069.796643518515</v>
      </c>
      <c r="J230" s="40">
        <f t="shared" si="21"/>
        <v>0</v>
      </c>
      <c r="K230" s="24">
        <f t="shared" si="22"/>
        <v>0.2258333332138136</v>
      </c>
      <c r="L230" s="25" t="str">
        <f t="shared" si="23"/>
        <v>Work Finished</v>
      </c>
      <c r="M230" s="43"/>
      <c r="N230" s="37"/>
      <c r="O230" s="33">
        <f t="shared" si="18"/>
        <v>0</v>
      </c>
      <c r="P230" s="33">
        <f t="shared" si="19"/>
        <v>18</v>
      </c>
      <c r="X230" s="1"/>
    </row>
    <row r="231" spans="1:24">
      <c r="A231" s="20" t="s">
        <v>432</v>
      </c>
      <c r="B231" s="22" t="s">
        <v>38</v>
      </c>
      <c r="C231" s="20" t="s">
        <v>431</v>
      </c>
      <c r="D231" s="20" t="s">
        <v>90</v>
      </c>
      <c r="E231" s="20" t="s">
        <v>100</v>
      </c>
      <c r="F231" s="20" t="s">
        <v>100</v>
      </c>
      <c r="G231" s="21" t="s">
        <v>52</v>
      </c>
      <c r="H231" s="23">
        <v>44069.787928240738</v>
      </c>
      <c r="I231" s="23">
        <f>_xlfn.IFNA(VLOOKUP(A231,A232:$H$3524,8,0),"")</f>
        <v>44069.794131944444</v>
      </c>
      <c r="J231" s="40">
        <f t="shared" si="21"/>
        <v>3</v>
      </c>
      <c r="K231" s="24">
        <f t="shared" si="22"/>
        <v>0.14888888894347474</v>
      </c>
      <c r="L231" s="25" t="str">
        <f t="shared" si="23"/>
        <v>Work Finished</v>
      </c>
      <c r="M231" s="43">
        <v>0</v>
      </c>
      <c r="N231" s="37"/>
      <c r="O231" s="33">
        <f t="shared" si="18"/>
        <v>3</v>
      </c>
      <c r="P231" s="33">
        <f t="shared" si="19"/>
        <v>18</v>
      </c>
      <c r="Q231" s="33" t="s">
        <v>80</v>
      </c>
      <c r="X231" s="1"/>
    </row>
    <row r="232" spans="1:24">
      <c r="A232" s="20" t="s">
        <v>254</v>
      </c>
      <c r="B232" s="22" t="s">
        <v>38</v>
      </c>
      <c r="C232" s="20" t="s">
        <v>433</v>
      </c>
      <c r="D232" s="20" t="s">
        <v>71</v>
      </c>
      <c r="E232" s="20" t="s">
        <v>98</v>
      </c>
      <c r="F232" s="20" t="s">
        <v>98</v>
      </c>
      <c r="G232" s="21" t="s">
        <v>52</v>
      </c>
      <c r="H232" s="23">
        <v>44069.789479166669</v>
      </c>
      <c r="I232" s="23">
        <f>_xlfn.IFNA(VLOOKUP(A232,A233:$H$3524,8,0),"")</f>
        <v>44069.808946759258</v>
      </c>
      <c r="J232" s="40">
        <f t="shared" si="21"/>
        <v>16</v>
      </c>
      <c r="K232" s="24">
        <f t="shared" si="22"/>
        <v>0.46722222212702036</v>
      </c>
      <c r="L232" s="25" t="str">
        <f t="shared" si="23"/>
        <v>Work Finished</v>
      </c>
      <c r="M232" s="43">
        <v>1</v>
      </c>
      <c r="N232" s="37"/>
      <c r="O232" s="33">
        <f t="shared" si="18"/>
        <v>15</v>
      </c>
      <c r="P232" s="33">
        <f t="shared" si="19"/>
        <v>18</v>
      </c>
      <c r="Q232" s="33" t="s">
        <v>80</v>
      </c>
      <c r="X232" s="1"/>
    </row>
    <row r="233" spans="1:24">
      <c r="A233" s="20" t="s">
        <v>427</v>
      </c>
      <c r="B233" s="22" t="s">
        <v>38</v>
      </c>
      <c r="C233" s="20" t="s">
        <v>435</v>
      </c>
      <c r="D233" s="20" t="s">
        <v>94</v>
      </c>
      <c r="E233" s="20" t="s">
        <v>41</v>
      </c>
      <c r="F233" s="20" t="s">
        <v>41</v>
      </c>
      <c r="G233" s="21" t="s">
        <v>52</v>
      </c>
      <c r="H233" s="23">
        <v>44069.789814814816</v>
      </c>
      <c r="I233" s="23">
        <f>_xlfn.IFNA(VLOOKUP(A233,A234:$H$3524,8,0),"")</f>
        <v>44069.802858796298</v>
      </c>
      <c r="J233" s="40">
        <f t="shared" si="21"/>
        <v>9</v>
      </c>
      <c r="K233" s="24">
        <f t="shared" si="22"/>
        <v>0.31305555556900799</v>
      </c>
      <c r="L233" s="25" t="str">
        <f t="shared" si="23"/>
        <v>Work Finished</v>
      </c>
      <c r="M233" s="43">
        <v>0</v>
      </c>
      <c r="N233" s="37"/>
      <c r="O233" s="33">
        <f t="shared" si="18"/>
        <v>9</v>
      </c>
      <c r="P233" s="33">
        <f t="shared" si="19"/>
        <v>18</v>
      </c>
      <c r="Q233" s="33" t="s">
        <v>80</v>
      </c>
      <c r="X233" s="1"/>
    </row>
    <row r="234" spans="1:24">
      <c r="A234" s="20" t="s">
        <v>420</v>
      </c>
      <c r="B234" s="22" t="s">
        <v>38</v>
      </c>
      <c r="C234" s="20" t="s">
        <v>439</v>
      </c>
      <c r="D234" s="20" t="s">
        <v>123</v>
      </c>
      <c r="E234" s="20" t="s">
        <v>135</v>
      </c>
      <c r="F234" s="20" t="s">
        <v>135</v>
      </c>
      <c r="G234" s="21" t="s">
        <v>43</v>
      </c>
      <c r="H234" s="23">
        <v>44069.790324074071</v>
      </c>
      <c r="I234" s="23">
        <f>_xlfn.IFNA(VLOOKUP(A234,A235:$H$3524,8,0),"")</f>
        <v>44069.821342592593</v>
      </c>
      <c r="J234" s="40">
        <f t="shared" si="21"/>
        <v>33</v>
      </c>
      <c r="K234" s="24">
        <f t="shared" si="22"/>
        <v>0.74444444454275072</v>
      </c>
      <c r="L234" s="25" t="str">
        <f t="shared" si="23"/>
        <v>Work Finished</v>
      </c>
      <c r="M234" s="43">
        <v>6</v>
      </c>
      <c r="N234" s="37"/>
      <c r="O234" s="33">
        <f t="shared" si="18"/>
        <v>27</v>
      </c>
      <c r="P234" s="33">
        <f t="shared" si="19"/>
        <v>18</v>
      </c>
      <c r="Q234" s="33" t="s">
        <v>53</v>
      </c>
      <c r="X234" s="1"/>
    </row>
    <row r="235" spans="1:24">
      <c r="A235" s="20" t="s">
        <v>426</v>
      </c>
      <c r="B235" s="22" t="s">
        <v>38</v>
      </c>
      <c r="C235" s="20" t="s">
        <v>441</v>
      </c>
      <c r="D235" s="20" t="s">
        <v>103</v>
      </c>
      <c r="E235" s="20" t="s">
        <v>57</v>
      </c>
      <c r="F235" s="20" t="s">
        <v>57</v>
      </c>
      <c r="G235" s="21" t="s">
        <v>52</v>
      </c>
      <c r="H235" s="23">
        <v>44069.790821759256</v>
      </c>
      <c r="I235" s="23">
        <f>_xlfn.IFNA(VLOOKUP(A235,A236:$H$3524,8,0),"")</f>
        <v>44069.828182870369</v>
      </c>
      <c r="J235" s="40">
        <f t="shared" si="21"/>
        <v>17</v>
      </c>
      <c r="K235" s="24">
        <f t="shared" si="22"/>
        <v>0.89666666672565043</v>
      </c>
      <c r="L235" s="25" t="str">
        <f t="shared" si="23"/>
        <v>Work Finished</v>
      </c>
      <c r="M235" s="43">
        <v>1</v>
      </c>
      <c r="N235" s="37"/>
      <c r="O235" s="33">
        <f t="shared" si="18"/>
        <v>16</v>
      </c>
      <c r="P235" s="33">
        <f t="shared" si="19"/>
        <v>18</v>
      </c>
      <c r="Q235" s="33" t="s">
        <v>53</v>
      </c>
      <c r="X235" s="1"/>
    </row>
    <row r="236" spans="1:24">
      <c r="A236" s="20" t="s">
        <v>437</v>
      </c>
      <c r="B236" s="22" t="s">
        <v>38</v>
      </c>
      <c r="C236" s="20" t="s">
        <v>443</v>
      </c>
      <c r="D236" s="20" t="s">
        <v>124</v>
      </c>
      <c r="E236" s="20" t="s">
        <v>57</v>
      </c>
      <c r="F236" s="20" t="s">
        <v>57</v>
      </c>
      <c r="G236" s="21" t="s">
        <v>52</v>
      </c>
      <c r="H236" s="23">
        <v>44069.791504629633</v>
      </c>
      <c r="I236" s="23">
        <f>_xlfn.IFNA(VLOOKUP(A236,A237:$H$3524,8,0),"")</f>
        <v>44069.810914351852</v>
      </c>
      <c r="J236" s="40">
        <f t="shared" si="21"/>
        <v>13</v>
      </c>
      <c r="K236" s="24">
        <f t="shared" si="22"/>
        <v>0.46583333326270804</v>
      </c>
      <c r="L236" s="25" t="str">
        <f t="shared" si="23"/>
        <v>Work Finished</v>
      </c>
      <c r="M236" s="43"/>
      <c r="N236" s="37"/>
      <c r="O236" s="33">
        <f t="shared" si="18"/>
        <v>13</v>
      </c>
      <c r="P236" s="33">
        <f t="shared" si="19"/>
        <v>18</v>
      </c>
      <c r="Q236" s="33" t="s">
        <v>53</v>
      </c>
      <c r="X236" s="1"/>
    </row>
    <row r="237" spans="1:24">
      <c r="A237" s="20" t="s">
        <v>424</v>
      </c>
      <c r="B237" s="22" t="s">
        <v>38</v>
      </c>
      <c r="C237" s="20" t="s">
        <v>444</v>
      </c>
      <c r="D237" s="20" t="s">
        <v>125</v>
      </c>
      <c r="E237" s="20" t="s">
        <v>57</v>
      </c>
      <c r="F237" s="20" t="s">
        <v>57</v>
      </c>
      <c r="G237" s="21" t="s">
        <v>52</v>
      </c>
      <c r="H237" s="23">
        <v>44069.792083333334</v>
      </c>
      <c r="I237" s="23">
        <f>_xlfn.IFNA(VLOOKUP(A237,A238:$H$3524,8,0),"")</f>
        <v>44069.810601851852</v>
      </c>
      <c r="J237" s="40">
        <f t="shared" si="21"/>
        <v>14</v>
      </c>
      <c r="K237" s="24">
        <f t="shared" si="22"/>
        <v>0.44444444443797693</v>
      </c>
      <c r="L237" s="25" t="str">
        <f t="shared" si="23"/>
        <v>Work Finished</v>
      </c>
      <c r="M237" s="43">
        <v>3</v>
      </c>
      <c r="N237" s="37"/>
      <c r="O237" s="33">
        <f t="shared" si="18"/>
        <v>11</v>
      </c>
      <c r="P237" s="33">
        <f t="shared" si="19"/>
        <v>19</v>
      </c>
      <c r="Q237" s="33" t="s">
        <v>53</v>
      </c>
      <c r="X237" s="1"/>
    </row>
    <row r="238" spans="1:24">
      <c r="A238" s="20" t="s">
        <v>425</v>
      </c>
      <c r="B238" s="22" t="s">
        <v>38</v>
      </c>
      <c r="C238" s="20" t="s">
        <v>445</v>
      </c>
      <c r="D238" s="20" t="s">
        <v>113</v>
      </c>
      <c r="E238" s="20" t="s">
        <v>57</v>
      </c>
      <c r="F238" s="20" t="s">
        <v>57</v>
      </c>
      <c r="G238" s="21" t="s">
        <v>52</v>
      </c>
      <c r="H238" s="23">
        <v>44069.79241898148</v>
      </c>
      <c r="I238" s="23">
        <f>_xlfn.IFNA(VLOOKUP(A238,A239:$H$3524,8,0),"")</f>
        <v>44069.816145833334</v>
      </c>
      <c r="J238" s="40">
        <f t="shared" si="21"/>
        <v>18</v>
      </c>
      <c r="K238" s="24">
        <f t="shared" si="22"/>
        <v>0.56944444449618459</v>
      </c>
      <c r="L238" s="25" t="str">
        <f t="shared" si="23"/>
        <v>Work Finished</v>
      </c>
      <c r="M238" s="43">
        <v>2</v>
      </c>
      <c r="N238" s="37"/>
      <c r="O238" s="33">
        <f t="shared" si="18"/>
        <v>16</v>
      </c>
      <c r="P238" s="33">
        <f t="shared" si="19"/>
        <v>19</v>
      </c>
      <c r="Q238" s="33" t="s">
        <v>53</v>
      </c>
      <c r="X238" s="1"/>
    </row>
    <row r="239" spans="1:24">
      <c r="A239" s="20" t="s">
        <v>284</v>
      </c>
      <c r="B239" s="22" t="s">
        <v>81</v>
      </c>
      <c r="G239" s="21"/>
      <c r="H239" s="23">
        <v>44069.793055555558</v>
      </c>
      <c r="I239" s="23">
        <f>_xlfn.IFNA(VLOOKUP(A239,A240:$H$3524,8,0),"")</f>
        <v>44069.798206018517</v>
      </c>
      <c r="J239" s="40">
        <f t="shared" si="21"/>
        <v>0</v>
      </c>
      <c r="K239" s="24">
        <f t="shared" si="22"/>
        <v>0.12361111101927236</v>
      </c>
      <c r="L239" s="25" t="str">
        <f t="shared" si="23"/>
        <v>Work Finished</v>
      </c>
      <c r="M239" s="43"/>
      <c r="N239" s="37"/>
      <c r="O239" s="33">
        <f t="shared" si="18"/>
        <v>0</v>
      </c>
      <c r="P239" s="33">
        <f t="shared" si="19"/>
        <v>19</v>
      </c>
      <c r="Q239" s="33" t="s">
        <v>53</v>
      </c>
      <c r="X239" s="1"/>
    </row>
    <row r="240" spans="1:24">
      <c r="A240" s="20" t="s">
        <v>434</v>
      </c>
      <c r="B240" s="22" t="s">
        <v>38</v>
      </c>
      <c r="C240" s="20" t="s">
        <v>436</v>
      </c>
      <c r="D240" s="20" t="s">
        <v>40</v>
      </c>
      <c r="E240" s="20" t="s">
        <v>70</v>
      </c>
      <c r="F240" s="20" t="s">
        <v>92</v>
      </c>
      <c r="G240" s="21" t="s">
        <v>52</v>
      </c>
      <c r="H240" s="23">
        <v>44069.79310185185</v>
      </c>
      <c r="I240" s="23">
        <f>_xlfn.IFNA(VLOOKUP(A240,A241:$H$3524,8,0),"")</f>
        <v>44069.798831018517</v>
      </c>
      <c r="J240" s="40">
        <f t="shared" si="21"/>
        <v>2</v>
      </c>
      <c r="K240" s="24">
        <f t="shared" si="22"/>
        <v>0.13750000001164153</v>
      </c>
      <c r="L240" s="25" t="str">
        <f t="shared" si="23"/>
        <v>Work Finished</v>
      </c>
      <c r="M240" s="43"/>
      <c r="N240" s="37"/>
      <c r="O240" s="33">
        <f t="shared" si="18"/>
        <v>2</v>
      </c>
      <c r="P240" s="33">
        <f t="shared" si="19"/>
        <v>19</v>
      </c>
      <c r="Q240" s="33" t="s">
        <v>80</v>
      </c>
      <c r="X240" s="1"/>
    </row>
    <row r="241" spans="1:24">
      <c r="A241" s="20" t="s">
        <v>432</v>
      </c>
      <c r="B241" s="22" t="s">
        <v>38</v>
      </c>
      <c r="C241" s="20" t="s">
        <v>438</v>
      </c>
      <c r="D241" s="20" t="s">
        <v>40</v>
      </c>
      <c r="E241" s="20" t="s">
        <v>70</v>
      </c>
      <c r="F241" s="20" t="s">
        <v>50</v>
      </c>
      <c r="G241" s="21" t="s">
        <v>43</v>
      </c>
      <c r="H241" s="23">
        <v>44069.794131944444</v>
      </c>
      <c r="I241" s="23">
        <f>_xlfn.IFNA(VLOOKUP(A241,A242:$H$3524,8,0),"")</f>
        <v>44069.797627314816</v>
      </c>
      <c r="J241" s="40">
        <f t="shared" si="21"/>
        <v>2</v>
      </c>
      <c r="K241" s="24">
        <f t="shared" si="22"/>
        <v>8.3888888941146433E-2</v>
      </c>
      <c r="L241" s="25" t="str">
        <f t="shared" si="23"/>
        <v>Work Finished</v>
      </c>
      <c r="M241" s="43">
        <v>0</v>
      </c>
      <c r="N241" s="37"/>
      <c r="O241" s="33">
        <f t="shared" si="18"/>
        <v>2</v>
      </c>
      <c r="P241" s="33">
        <f t="shared" si="19"/>
        <v>19</v>
      </c>
      <c r="Q241" s="33" t="s">
        <v>80</v>
      </c>
      <c r="X241" s="1"/>
    </row>
    <row r="242" spans="1:24">
      <c r="A242" s="20" t="s">
        <v>421</v>
      </c>
      <c r="B242" s="22" t="s">
        <v>38</v>
      </c>
      <c r="C242" s="20" t="s">
        <v>429</v>
      </c>
      <c r="D242" s="20" t="s">
        <v>56</v>
      </c>
      <c r="E242" s="20" t="s">
        <v>131</v>
      </c>
      <c r="F242" s="20" t="s">
        <v>147</v>
      </c>
      <c r="G242" s="21" t="s">
        <v>43</v>
      </c>
      <c r="H242" s="23">
        <v>44069.79446759259</v>
      </c>
      <c r="I242" s="23">
        <f>_xlfn.IFNA(VLOOKUP(A242,A243:$H$3524,8,0),"")</f>
        <v>44069.824108796296</v>
      </c>
      <c r="J242" s="40">
        <f t="shared" si="21"/>
        <v>39</v>
      </c>
      <c r="K242" s="24">
        <f t="shared" si="22"/>
        <v>0.71138888894347474</v>
      </c>
      <c r="L242" s="25" t="str">
        <f t="shared" si="23"/>
        <v>Work Finished</v>
      </c>
      <c r="M242" s="43">
        <v>4</v>
      </c>
      <c r="N242" s="37"/>
      <c r="O242" s="33">
        <f t="shared" si="18"/>
        <v>35</v>
      </c>
      <c r="P242" s="33">
        <f t="shared" si="19"/>
        <v>19</v>
      </c>
      <c r="Q242" s="33" t="s">
        <v>80</v>
      </c>
      <c r="X242" s="1"/>
    </row>
    <row r="243" spans="1:24">
      <c r="A243" s="20" t="s">
        <v>296</v>
      </c>
      <c r="B243" s="22" t="s">
        <v>38</v>
      </c>
      <c r="C243" s="20" t="s">
        <v>430</v>
      </c>
      <c r="D243" s="20" t="s">
        <v>127</v>
      </c>
      <c r="E243" s="20" t="s">
        <v>148</v>
      </c>
      <c r="F243" s="20" t="s">
        <v>152</v>
      </c>
      <c r="G243" s="21" t="s">
        <v>43</v>
      </c>
      <c r="H243" s="23">
        <v>44069.795312499999</v>
      </c>
      <c r="I243" s="23">
        <f>_xlfn.IFNA(VLOOKUP(A243,A244:$H$3524,8,0),"")</f>
        <v>44069.834351851852</v>
      </c>
      <c r="J243" s="40">
        <f t="shared" si="21"/>
        <v>35</v>
      </c>
      <c r="K243" s="24">
        <f t="shared" si="22"/>
        <v>0.93694444448919967</v>
      </c>
      <c r="L243" s="25" t="str">
        <f t="shared" si="23"/>
        <v>Work Finished</v>
      </c>
      <c r="M243" s="43"/>
      <c r="N243" s="37"/>
      <c r="O243" s="33">
        <f t="shared" si="18"/>
        <v>35</v>
      </c>
      <c r="P243" s="33">
        <f t="shared" si="19"/>
        <v>19</v>
      </c>
      <c r="Q243" s="33" t="s">
        <v>80</v>
      </c>
      <c r="X243" s="1"/>
    </row>
    <row r="244" spans="1:24">
      <c r="A244" s="20" t="s">
        <v>428</v>
      </c>
      <c r="B244" s="22" t="s">
        <v>38</v>
      </c>
      <c r="C244" s="20" t="s">
        <v>433</v>
      </c>
      <c r="D244" s="20" t="s">
        <v>40</v>
      </c>
      <c r="E244" s="20" t="s">
        <v>70</v>
      </c>
      <c r="F244" s="20" t="s">
        <v>98</v>
      </c>
      <c r="G244" s="21" t="s">
        <v>52</v>
      </c>
      <c r="H244" s="23">
        <v>44069.796643518515</v>
      </c>
      <c r="I244" s="23">
        <f>_xlfn.IFNA(VLOOKUP(A244,A245:$H$3524,8,0),"")</f>
        <v>44069.803773148145</v>
      </c>
      <c r="J244" s="40">
        <f t="shared" si="21"/>
        <v>2</v>
      </c>
      <c r="K244" s="24">
        <f t="shared" si="22"/>
        <v>0.17111111112171784</v>
      </c>
      <c r="L244" s="25" t="str">
        <f t="shared" si="23"/>
        <v>Work Finished</v>
      </c>
      <c r="M244" s="43">
        <v>0</v>
      </c>
      <c r="N244" s="37"/>
      <c r="O244" s="33">
        <f t="shared" si="18"/>
        <v>2</v>
      </c>
      <c r="P244" s="33">
        <f t="shared" si="19"/>
        <v>19</v>
      </c>
      <c r="Q244" s="33" t="s">
        <v>80</v>
      </c>
      <c r="X244" s="1"/>
    </row>
    <row r="245" spans="1:24">
      <c r="A245" s="20" t="s">
        <v>422</v>
      </c>
      <c r="B245" s="22" t="s">
        <v>38</v>
      </c>
      <c r="C245" s="20" t="s">
        <v>435</v>
      </c>
      <c r="D245" s="20" t="s">
        <v>40</v>
      </c>
      <c r="E245" s="20" t="s">
        <v>87</v>
      </c>
      <c r="F245" s="20" t="s">
        <v>41</v>
      </c>
      <c r="G245" s="21" t="s">
        <v>52</v>
      </c>
      <c r="H245" s="23">
        <v>44069.797013888892</v>
      </c>
      <c r="I245" s="23">
        <f>_xlfn.IFNA(VLOOKUP(A245,A246:$H$3524,8,0),"")</f>
        <v>44069.833796296298</v>
      </c>
      <c r="J245" s="40">
        <f t="shared" si="21"/>
        <v>8</v>
      </c>
      <c r="K245" s="24">
        <f t="shared" si="22"/>
        <v>0.88277777773328125</v>
      </c>
      <c r="L245" s="25" t="str">
        <f t="shared" si="23"/>
        <v>Work Finished</v>
      </c>
      <c r="M245" s="43">
        <v>0</v>
      </c>
      <c r="N245" s="37"/>
      <c r="O245" s="33">
        <f t="shared" si="18"/>
        <v>8</v>
      </c>
      <c r="P245" s="33">
        <f t="shared" si="19"/>
        <v>19</v>
      </c>
      <c r="Q245" s="33" t="s">
        <v>80</v>
      </c>
      <c r="X245" s="1"/>
    </row>
    <row r="246" spans="1:24">
      <c r="A246" s="20" t="s">
        <v>432</v>
      </c>
      <c r="B246" s="22" t="s">
        <v>81</v>
      </c>
      <c r="G246" s="21"/>
      <c r="H246" s="23">
        <v>44069.797627314816</v>
      </c>
      <c r="I246" s="23" t="str">
        <f>_xlfn.IFNA(VLOOKUP(A246,A247:$H$3524,8,0),"")</f>
        <v/>
      </c>
      <c r="J246" s="40">
        <f t="shared" si="21"/>
        <v>0</v>
      </c>
      <c r="K246" s="24">
        <f t="shared" si="22"/>
        <v>0</v>
      </c>
      <c r="L246" s="25" t="str">
        <f t="shared" si="23"/>
        <v>Work Finished</v>
      </c>
      <c r="M246" s="43"/>
      <c r="N246" s="37"/>
      <c r="O246" s="33">
        <f t="shared" si="18"/>
        <v>0</v>
      </c>
      <c r="P246" s="33">
        <f t="shared" si="19"/>
        <v>19</v>
      </c>
      <c r="X246" s="1"/>
    </row>
    <row r="247" spans="1:24">
      <c r="A247" s="20" t="s">
        <v>414</v>
      </c>
      <c r="B247" s="22" t="s">
        <v>81</v>
      </c>
      <c r="G247" s="21"/>
      <c r="H247" s="23">
        <v>44069.797673611109</v>
      </c>
      <c r="I247" s="23">
        <f>_xlfn.IFNA(VLOOKUP(A247,A248:$H$3524,8,0),"")</f>
        <v>44069.842453703706</v>
      </c>
      <c r="J247" s="40">
        <f t="shared" si="21"/>
        <v>0</v>
      </c>
      <c r="K247" s="24">
        <f t="shared" ref="K247:K275" si="24">IF(H247="","",IFERROR((I247-H247)*24,0))</f>
        <v>1.0747222223435529</v>
      </c>
      <c r="L247" s="25" t="str">
        <f t="shared" ref="L247:L310" si="25">IF(K247="","",IF(B247="Break","Break",IF(K247&lt;&gt;0,"Work Finished",IF(B247="OFF","Work Finished",IF(I247="","Working","Work Finished")))))</f>
        <v>Work Finished</v>
      </c>
      <c r="M247" s="43"/>
      <c r="N247" s="37"/>
      <c r="O247" s="33">
        <f t="shared" ref="O247:O310" si="26">IF(AND(J247="",M247="",N247=""),"",J247-M247-N247)</f>
        <v>0</v>
      </c>
      <c r="P247" s="33">
        <f t="shared" ref="P247:P310" si="27">IF(HOUR(H247)=0,"",HOUR(H247))</f>
        <v>19</v>
      </c>
      <c r="X247" s="1"/>
    </row>
    <row r="248" spans="1:24">
      <c r="A248" s="20" t="s">
        <v>284</v>
      </c>
      <c r="B248" s="22" t="s">
        <v>81</v>
      </c>
      <c r="G248" s="21"/>
      <c r="H248" s="23">
        <v>44069.798206018517</v>
      </c>
      <c r="I248" s="23" t="str">
        <f>_xlfn.IFNA(VLOOKUP(A248,A249:$H$3524,8,0),"")</f>
        <v/>
      </c>
      <c r="J248" s="40">
        <f t="shared" si="21"/>
        <v>0</v>
      </c>
      <c r="K248" s="24">
        <f t="shared" si="24"/>
        <v>0</v>
      </c>
      <c r="L248" s="25" t="str">
        <f t="shared" si="25"/>
        <v>Work Finished</v>
      </c>
      <c r="M248" s="43"/>
      <c r="N248" s="37"/>
      <c r="O248" s="33">
        <f t="shared" si="26"/>
        <v>0</v>
      </c>
      <c r="P248" s="33">
        <f t="shared" si="27"/>
        <v>19</v>
      </c>
      <c r="X248" s="1"/>
    </row>
    <row r="249" spans="1:24">
      <c r="A249" s="20" t="s">
        <v>434</v>
      </c>
      <c r="B249" s="22" t="s">
        <v>81</v>
      </c>
      <c r="G249" s="21"/>
      <c r="H249" s="23">
        <v>44069.798831018517</v>
      </c>
      <c r="I249" s="23" t="str">
        <f>_xlfn.IFNA(VLOOKUP(A249,A250:$H$3524,8,0),"")</f>
        <v/>
      </c>
      <c r="J249" s="40">
        <f t="shared" si="21"/>
        <v>0</v>
      </c>
      <c r="K249" s="24">
        <f t="shared" si="24"/>
        <v>0</v>
      </c>
      <c r="L249" s="25" t="str">
        <f t="shared" si="25"/>
        <v>Work Finished</v>
      </c>
      <c r="M249" s="43"/>
      <c r="N249" s="37"/>
      <c r="O249" s="33">
        <f t="shared" si="26"/>
        <v>0</v>
      </c>
      <c r="P249" s="33">
        <f t="shared" si="27"/>
        <v>19</v>
      </c>
      <c r="X249" s="1"/>
    </row>
    <row r="250" spans="1:24">
      <c r="A250" s="20" t="s">
        <v>255</v>
      </c>
      <c r="B250" s="22" t="s">
        <v>38</v>
      </c>
      <c r="C250" s="20" t="s">
        <v>439</v>
      </c>
      <c r="D250" s="20" t="s">
        <v>40</v>
      </c>
      <c r="E250" s="20" t="s">
        <v>114</v>
      </c>
      <c r="F250" s="20" t="s">
        <v>135</v>
      </c>
      <c r="G250" s="21" t="s">
        <v>43</v>
      </c>
      <c r="H250" s="23">
        <v>44069.801458333335</v>
      </c>
      <c r="I250" s="23">
        <f>_xlfn.IFNA(VLOOKUP(A250,A251:$H$3524,8,0),"")</f>
        <v>44069.832118055558</v>
      </c>
      <c r="J250" s="40">
        <f t="shared" si="21"/>
        <v>31</v>
      </c>
      <c r="K250" s="24">
        <f t="shared" si="24"/>
        <v>0.73583333333954215</v>
      </c>
      <c r="L250" s="25" t="str">
        <f t="shared" si="25"/>
        <v>Work Finished</v>
      </c>
      <c r="M250" s="43">
        <v>1</v>
      </c>
      <c r="N250" s="37"/>
      <c r="O250" s="33">
        <f t="shared" si="26"/>
        <v>30</v>
      </c>
      <c r="P250" s="33">
        <f t="shared" si="27"/>
        <v>19</v>
      </c>
      <c r="Q250" s="33" t="s">
        <v>53</v>
      </c>
      <c r="X250" s="1"/>
    </row>
    <row r="251" spans="1:24">
      <c r="A251" s="20" t="s">
        <v>440</v>
      </c>
      <c r="B251" s="22" t="s">
        <v>38</v>
      </c>
      <c r="C251" s="20" t="s">
        <v>441</v>
      </c>
      <c r="D251" s="20" t="s">
        <v>40</v>
      </c>
      <c r="E251" s="20" t="s">
        <v>105</v>
      </c>
      <c r="F251" s="20" t="s">
        <v>57</v>
      </c>
      <c r="G251" s="21" t="s">
        <v>52</v>
      </c>
      <c r="H251" s="23">
        <v>44069.80259259259</v>
      </c>
      <c r="I251" s="23">
        <f>_xlfn.IFNA(VLOOKUP(A251,A252:$H$3524,8,0),"")</f>
        <v>44069.816365740742</v>
      </c>
      <c r="J251" s="40">
        <f t="shared" si="21"/>
        <v>15</v>
      </c>
      <c r="K251" s="24">
        <f t="shared" si="24"/>
        <v>0.3305555556435138</v>
      </c>
      <c r="L251" s="25" t="str">
        <f t="shared" si="25"/>
        <v>Work Finished</v>
      </c>
      <c r="M251" s="43">
        <v>0</v>
      </c>
      <c r="N251" s="37"/>
      <c r="O251" s="33">
        <f t="shared" si="26"/>
        <v>15</v>
      </c>
      <c r="P251" s="33">
        <f t="shared" si="27"/>
        <v>19</v>
      </c>
      <c r="Q251" s="33" t="s">
        <v>53</v>
      </c>
      <c r="X251" s="1"/>
    </row>
    <row r="252" spans="1:24">
      <c r="A252" s="20" t="s">
        <v>427</v>
      </c>
      <c r="B252" s="22" t="s">
        <v>38</v>
      </c>
      <c r="C252" s="20" t="s">
        <v>443</v>
      </c>
      <c r="D252" s="20" t="s">
        <v>40</v>
      </c>
      <c r="E252" s="20" t="s">
        <v>101</v>
      </c>
      <c r="F252" s="20" t="s">
        <v>57</v>
      </c>
      <c r="G252" s="21" t="s">
        <v>52</v>
      </c>
      <c r="H252" s="23">
        <v>44069.802858796298</v>
      </c>
      <c r="I252" s="23">
        <f>_xlfn.IFNA(VLOOKUP(A252,A253:$H$3524,8,0),"")</f>
        <v>44069.821817129632</v>
      </c>
      <c r="J252" s="40">
        <f t="shared" si="21"/>
        <v>24</v>
      </c>
      <c r="K252" s="24">
        <f t="shared" si="24"/>
        <v>0.45500000001629815</v>
      </c>
      <c r="L252" s="25" t="str">
        <f t="shared" si="25"/>
        <v>Work Finished</v>
      </c>
      <c r="M252" s="43">
        <v>1</v>
      </c>
      <c r="N252" s="37"/>
      <c r="O252" s="33">
        <f t="shared" si="26"/>
        <v>23</v>
      </c>
      <c r="P252" s="33">
        <f t="shared" si="27"/>
        <v>19</v>
      </c>
      <c r="Q252" s="33" t="s">
        <v>53</v>
      </c>
      <c r="X252" s="1"/>
    </row>
    <row r="253" spans="1:24">
      <c r="A253" s="20" t="s">
        <v>428</v>
      </c>
      <c r="B253" s="22" t="s">
        <v>38</v>
      </c>
      <c r="C253" s="20" t="s">
        <v>444</v>
      </c>
      <c r="D253" s="20" t="s">
        <v>40</v>
      </c>
      <c r="E253" s="20" t="s">
        <v>101</v>
      </c>
      <c r="F253" s="20" t="s">
        <v>57</v>
      </c>
      <c r="G253" s="21" t="s">
        <v>52</v>
      </c>
      <c r="H253" s="23">
        <v>44069.803773148145</v>
      </c>
      <c r="I253" s="23">
        <f>_xlfn.IFNA(VLOOKUP(A253,A254:$H$3524,8,0),"")</f>
        <v>44069.825474537036</v>
      </c>
      <c r="J253" s="40">
        <f t="shared" si="21"/>
        <v>24</v>
      </c>
      <c r="K253" s="24">
        <f t="shared" si="24"/>
        <v>0.52083333337213844</v>
      </c>
      <c r="L253" s="25" t="str">
        <f t="shared" si="25"/>
        <v>Work Finished</v>
      </c>
      <c r="M253" s="43">
        <v>0</v>
      </c>
      <c r="N253" s="37"/>
      <c r="O253" s="33">
        <f t="shared" si="26"/>
        <v>24</v>
      </c>
      <c r="P253" s="33">
        <f t="shared" si="27"/>
        <v>19</v>
      </c>
      <c r="Q253" s="33" t="s">
        <v>53</v>
      </c>
      <c r="X253" s="1"/>
    </row>
    <row r="254" spans="1:24">
      <c r="A254" s="20" t="s">
        <v>282</v>
      </c>
      <c r="B254" s="22" t="s">
        <v>38</v>
      </c>
      <c r="C254" s="20" t="s">
        <v>445</v>
      </c>
      <c r="D254" s="20" t="s">
        <v>40</v>
      </c>
      <c r="E254" s="20" t="s">
        <v>104</v>
      </c>
      <c r="F254" s="20" t="s">
        <v>57</v>
      </c>
      <c r="G254" s="21" t="s">
        <v>52</v>
      </c>
      <c r="H254" s="23">
        <v>44069.805023148147</v>
      </c>
      <c r="I254" s="23">
        <f>_xlfn.IFNA(VLOOKUP(A254,A255:$H$3524,8,0),"")</f>
        <v>44069.819733796299</v>
      </c>
      <c r="J254" s="40">
        <f t="shared" si="21"/>
        <v>13</v>
      </c>
      <c r="K254" s="24">
        <f t="shared" si="24"/>
        <v>0.35305555566446856</v>
      </c>
      <c r="L254" s="25" t="str">
        <f t="shared" si="25"/>
        <v>Work Finished</v>
      </c>
      <c r="M254" s="43"/>
      <c r="N254" s="37"/>
      <c r="O254" s="33">
        <f t="shared" si="26"/>
        <v>13</v>
      </c>
      <c r="P254" s="33">
        <f t="shared" si="27"/>
        <v>19</v>
      </c>
      <c r="Q254" s="33" t="s">
        <v>53</v>
      </c>
      <c r="X254" s="1"/>
    </row>
    <row r="255" spans="1:24">
      <c r="A255" s="20" t="s">
        <v>410</v>
      </c>
      <c r="B255" s="22" t="s">
        <v>38</v>
      </c>
      <c r="C255" s="20" t="s">
        <v>446</v>
      </c>
      <c r="D255" s="20" t="s">
        <v>40</v>
      </c>
      <c r="E255" s="20" t="s">
        <v>94</v>
      </c>
      <c r="F255" s="20" t="s">
        <v>71</v>
      </c>
      <c r="G255" s="21" t="s">
        <v>52</v>
      </c>
      <c r="H255" s="23">
        <v>44069.807719907411</v>
      </c>
      <c r="I255" s="23">
        <f>_xlfn.IFNA(VLOOKUP(A255,A256:$H$3524,8,0),"")</f>
        <v>44069.824513888889</v>
      </c>
      <c r="J255" s="40">
        <f t="shared" si="21"/>
        <v>19</v>
      </c>
      <c r="K255" s="24">
        <f t="shared" si="24"/>
        <v>0.40305555547820404</v>
      </c>
      <c r="L255" s="25" t="str">
        <f t="shared" si="25"/>
        <v>Work Finished</v>
      </c>
      <c r="M255" s="43"/>
      <c r="N255" s="37"/>
      <c r="O255" s="33">
        <f t="shared" si="26"/>
        <v>19</v>
      </c>
      <c r="P255" s="33">
        <f t="shared" si="27"/>
        <v>19</v>
      </c>
      <c r="Q255" s="33" t="s">
        <v>53</v>
      </c>
      <c r="X255" s="1"/>
    </row>
    <row r="256" spans="1:24">
      <c r="A256" s="20" t="s">
        <v>257</v>
      </c>
      <c r="B256" s="20" t="s">
        <v>38</v>
      </c>
      <c r="C256" s="20" t="s">
        <v>447</v>
      </c>
      <c r="D256" s="20" t="s">
        <v>40</v>
      </c>
      <c r="E256" s="20" t="s">
        <v>90</v>
      </c>
      <c r="F256" s="20" t="s">
        <v>88</v>
      </c>
      <c r="G256" s="21" t="s">
        <v>52</v>
      </c>
      <c r="H256" s="23">
        <v>44069.808344907404</v>
      </c>
      <c r="I256" s="23">
        <f>_xlfn.IFNA(VLOOKUP(A256,A257:$H$3524,8,0),"")</f>
        <v>44069.814513888887</v>
      </c>
      <c r="J256" s="40">
        <f t="shared" si="21"/>
        <v>4</v>
      </c>
      <c r="K256" s="24">
        <f t="shared" si="24"/>
        <v>0.14805555558996275</v>
      </c>
      <c r="L256" s="25" t="str">
        <f t="shared" si="25"/>
        <v>Work Finished</v>
      </c>
      <c r="M256" s="43">
        <v>1</v>
      </c>
      <c r="N256" s="37"/>
      <c r="O256" s="33">
        <f t="shared" si="26"/>
        <v>3</v>
      </c>
      <c r="P256" s="33">
        <f t="shared" si="27"/>
        <v>19</v>
      </c>
      <c r="Q256" s="33" t="s">
        <v>53</v>
      </c>
      <c r="X256" s="1"/>
    </row>
    <row r="257" spans="1:24">
      <c r="A257" s="20" t="s">
        <v>254</v>
      </c>
      <c r="B257" s="22" t="s">
        <v>38</v>
      </c>
      <c r="C257" s="20" t="s">
        <v>447</v>
      </c>
      <c r="D257" s="20" t="s">
        <v>71</v>
      </c>
      <c r="E257" s="20" t="s">
        <v>78</v>
      </c>
      <c r="F257" s="20" t="s">
        <v>88</v>
      </c>
      <c r="G257" s="21" t="s">
        <v>52</v>
      </c>
      <c r="H257" s="23">
        <v>44069.808946759258</v>
      </c>
      <c r="I257" s="23">
        <f>_xlfn.IFNA(VLOOKUP(A257,A258:$H$3524,8,0),"")</f>
        <v>44069.825775462959</v>
      </c>
      <c r="J257" s="40">
        <f t="shared" si="21"/>
        <v>3</v>
      </c>
      <c r="K257" s="24">
        <f t="shared" si="24"/>
        <v>0.40388888883171603</v>
      </c>
      <c r="L257" s="25" t="str">
        <f t="shared" si="25"/>
        <v>Work Finished</v>
      </c>
      <c r="M257" s="43">
        <v>0</v>
      </c>
      <c r="N257" s="37"/>
      <c r="O257" s="33">
        <f t="shared" si="26"/>
        <v>3</v>
      </c>
      <c r="P257" s="33">
        <f t="shared" si="27"/>
        <v>19</v>
      </c>
      <c r="Q257" s="33" t="s">
        <v>53</v>
      </c>
      <c r="X257" s="1"/>
    </row>
    <row r="258" spans="1:24">
      <c r="A258" s="20" t="s">
        <v>442</v>
      </c>
      <c r="B258" s="22" t="s">
        <v>38</v>
      </c>
      <c r="C258" s="20" t="s">
        <v>446</v>
      </c>
      <c r="D258" s="20" t="s">
        <v>98</v>
      </c>
      <c r="E258" s="20" t="s">
        <v>106</v>
      </c>
      <c r="F258" s="20" t="s">
        <v>57</v>
      </c>
      <c r="G258" s="21" t="s">
        <v>52</v>
      </c>
      <c r="H258" s="23">
        <v>44069.809733796297</v>
      </c>
      <c r="I258" s="23">
        <f>_xlfn.IFNA(VLOOKUP(A258,A259:$H$3524,8,0),"")</f>
        <v>44069.826678240737</v>
      </c>
      <c r="J258" s="40">
        <f t="shared" si="21"/>
        <v>16</v>
      </c>
      <c r="K258" s="24">
        <f t="shared" si="24"/>
        <v>0.40666666656034067</v>
      </c>
      <c r="L258" s="25" t="str">
        <f t="shared" si="25"/>
        <v>Work Finished</v>
      </c>
      <c r="M258" s="43">
        <v>0</v>
      </c>
      <c r="N258" s="37"/>
      <c r="O258" s="33">
        <f t="shared" si="26"/>
        <v>16</v>
      </c>
      <c r="P258" s="33">
        <f t="shared" si="27"/>
        <v>19</v>
      </c>
      <c r="Q258" s="33" t="s">
        <v>53</v>
      </c>
      <c r="X258" s="1"/>
    </row>
    <row r="259" spans="1:24">
      <c r="A259" s="20" t="s">
        <v>419</v>
      </c>
      <c r="B259" s="22" t="s">
        <v>38</v>
      </c>
      <c r="C259" s="20" t="s">
        <v>446</v>
      </c>
      <c r="D259" s="20" t="s">
        <v>115</v>
      </c>
      <c r="E259" s="20" t="s">
        <v>57</v>
      </c>
      <c r="F259" s="20" t="s">
        <v>57</v>
      </c>
      <c r="G259" s="21" t="s">
        <v>52</v>
      </c>
      <c r="H259" s="23">
        <v>44069.810069444444</v>
      </c>
      <c r="I259" s="23">
        <f>_xlfn.IFNA(VLOOKUP(A259,A260:$H$3524,8,0),"")</f>
        <v>44069.82440972222</v>
      </c>
      <c r="J259" s="40">
        <f t="shared" si="21"/>
        <v>15</v>
      </c>
      <c r="K259" s="24">
        <f t="shared" si="24"/>
        <v>0.34416666661854833</v>
      </c>
      <c r="L259" s="25" t="str">
        <f t="shared" si="25"/>
        <v>Work Finished</v>
      </c>
      <c r="M259" s="43">
        <v>2</v>
      </c>
      <c r="N259" s="37"/>
      <c r="O259" s="33">
        <f t="shared" si="26"/>
        <v>13</v>
      </c>
      <c r="P259" s="33">
        <f t="shared" si="27"/>
        <v>19</v>
      </c>
      <c r="Q259" s="33" t="s">
        <v>53</v>
      </c>
      <c r="X259" s="1"/>
    </row>
    <row r="260" spans="1:24">
      <c r="A260" s="20" t="s">
        <v>424</v>
      </c>
      <c r="B260" s="22" t="s">
        <v>38</v>
      </c>
      <c r="C260" s="20" t="s">
        <v>447</v>
      </c>
      <c r="D260" s="20" t="s">
        <v>87</v>
      </c>
      <c r="E260" s="20" t="s">
        <v>88</v>
      </c>
      <c r="F260" s="20" t="s">
        <v>88</v>
      </c>
      <c r="G260" s="21" t="s">
        <v>52</v>
      </c>
      <c r="H260" s="23">
        <v>44069.810601851852</v>
      </c>
      <c r="I260" s="23">
        <f>_xlfn.IFNA(VLOOKUP(A260,A261:$H$3524,8,0),"")</f>
        <v>44069.826608796298</v>
      </c>
      <c r="J260" s="40">
        <f t="shared" si="21"/>
        <v>9</v>
      </c>
      <c r="K260" s="24">
        <f t="shared" si="24"/>
        <v>0.3841666667140089</v>
      </c>
      <c r="L260" s="25" t="str">
        <f t="shared" si="25"/>
        <v>Work Finished</v>
      </c>
      <c r="M260" s="43">
        <v>0</v>
      </c>
      <c r="N260" s="37"/>
      <c r="O260" s="33">
        <f t="shared" si="26"/>
        <v>9</v>
      </c>
      <c r="P260" s="33">
        <f t="shared" si="27"/>
        <v>19</v>
      </c>
      <c r="X260" s="1"/>
    </row>
    <row r="261" spans="1:24">
      <c r="A261" s="20" t="s">
        <v>437</v>
      </c>
      <c r="B261" s="22" t="s">
        <v>81</v>
      </c>
      <c r="G261" s="21"/>
      <c r="H261" s="23">
        <v>44069.810914351852</v>
      </c>
      <c r="I261" s="23">
        <f>_xlfn.IFNA(VLOOKUP(A261,A262:$H$3524,8,0),"")</f>
        <v>44069.844884259262</v>
      </c>
      <c r="J261" s="40">
        <f t="shared" si="21"/>
        <v>0</v>
      </c>
      <c r="K261" s="24">
        <f t="shared" si="24"/>
        <v>0.81527777784503996</v>
      </c>
      <c r="L261" s="25" t="str">
        <f t="shared" si="25"/>
        <v>Work Finished</v>
      </c>
      <c r="M261" s="43"/>
      <c r="N261" s="37"/>
      <c r="O261" s="33">
        <f t="shared" si="26"/>
        <v>0</v>
      </c>
      <c r="P261" s="33">
        <f t="shared" si="27"/>
        <v>19</v>
      </c>
      <c r="X261" s="1"/>
    </row>
    <row r="262" spans="1:24">
      <c r="A262" s="20" t="s">
        <v>293</v>
      </c>
      <c r="B262" s="22" t="s">
        <v>81</v>
      </c>
      <c r="G262" s="21"/>
      <c r="H262" s="23">
        <v>44069.811215277776</v>
      </c>
      <c r="I262" s="23" t="str">
        <f>_xlfn.IFNA(VLOOKUP(A262,A263:$H$3524,8,0),"")</f>
        <v/>
      </c>
      <c r="J262" s="40">
        <f t="shared" ref="J262:J325" si="28">IF(B262="OFF",0,IF(AND(D262&lt;&gt;"",E262&lt;&gt;""),E262-D262+1,""))</f>
        <v>0</v>
      </c>
      <c r="K262" s="24">
        <f t="shared" si="24"/>
        <v>0</v>
      </c>
      <c r="L262" s="25" t="str">
        <f t="shared" si="25"/>
        <v>Work Finished</v>
      </c>
      <c r="M262" s="43"/>
      <c r="N262" s="37"/>
      <c r="O262" s="33">
        <f t="shared" si="26"/>
        <v>0</v>
      </c>
      <c r="P262" s="33">
        <f t="shared" si="27"/>
        <v>19</v>
      </c>
      <c r="X262" s="1"/>
    </row>
    <row r="263" spans="1:24">
      <c r="A263" s="20" t="s">
        <v>423</v>
      </c>
      <c r="B263" s="22" t="s">
        <v>81</v>
      </c>
      <c r="G263" s="21"/>
      <c r="H263" s="23">
        <v>44069.8125462963</v>
      </c>
      <c r="I263" s="23">
        <f>_xlfn.IFNA(VLOOKUP(A263,A264:$H$3524,8,0),"")</f>
        <v>44069.83394675926</v>
      </c>
      <c r="J263" s="40">
        <f t="shared" si="28"/>
        <v>0</v>
      </c>
      <c r="K263" s="24">
        <f t="shared" si="24"/>
        <v>0.5136111110332422</v>
      </c>
      <c r="L263" s="25" t="str">
        <f t="shared" si="25"/>
        <v>Work Finished</v>
      </c>
      <c r="M263" s="43"/>
      <c r="N263" s="37"/>
      <c r="O263" s="33">
        <f t="shared" si="26"/>
        <v>0</v>
      </c>
      <c r="P263" s="33">
        <f t="shared" si="27"/>
        <v>19</v>
      </c>
      <c r="X263" s="1"/>
    </row>
    <row r="264" spans="1:24">
      <c r="A264" s="20" t="s">
        <v>257</v>
      </c>
      <c r="B264" s="22" t="s">
        <v>81</v>
      </c>
      <c r="G264" s="21"/>
      <c r="H264" s="23">
        <v>44069.814513888887</v>
      </c>
      <c r="I264" s="23">
        <f>_xlfn.IFNA(VLOOKUP(A264,A265:$H$3524,8,0),"")</f>
        <v>44069.83730324074</v>
      </c>
      <c r="J264" s="40">
        <f t="shared" si="28"/>
        <v>0</v>
      </c>
      <c r="K264" s="24">
        <f t="shared" si="24"/>
        <v>0.54694444447522983</v>
      </c>
      <c r="L264" s="25" t="str">
        <f t="shared" si="25"/>
        <v>Work Finished</v>
      </c>
      <c r="M264" s="43"/>
      <c r="N264" s="37"/>
      <c r="O264" s="33">
        <f t="shared" si="26"/>
        <v>0</v>
      </c>
      <c r="P264" s="33">
        <f t="shared" si="27"/>
        <v>19</v>
      </c>
      <c r="X264" s="1"/>
    </row>
    <row r="265" spans="1:24">
      <c r="A265" s="20" t="s">
        <v>425</v>
      </c>
      <c r="B265" s="22" t="s">
        <v>81</v>
      </c>
      <c r="G265" s="21"/>
      <c r="H265" s="23">
        <v>44069.816145833334</v>
      </c>
      <c r="I265" s="23">
        <f>_xlfn.IFNA(VLOOKUP(A265,A266:$H$3524,8,0),"")</f>
        <v>44069.843541666669</v>
      </c>
      <c r="J265" s="40">
        <f t="shared" si="28"/>
        <v>0</v>
      </c>
      <c r="K265" s="24">
        <f t="shared" si="24"/>
        <v>0.65750000003026798</v>
      </c>
      <c r="L265" s="25" t="str">
        <f t="shared" si="25"/>
        <v>Work Finished</v>
      </c>
      <c r="M265" s="43"/>
      <c r="N265" s="37"/>
      <c r="O265" s="33">
        <f t="shared" si="26"/>
        <v>0</v>
      </c>
      <c r="P265" s="33">
        <f t="shared" si="27"/>
        <v>19</v>
      </c>
      <c r="X265" s="1"/>
    </row>
    <row r="266" spans="1:24">
      <c r="A266" s="20" t="s">
        <v>440</v>
      </c>
      <c r="B266" s="22" t="s">
        <v>81</v>
      </c>
      <c r="G266" s="21"/>
      <c r="H266" s="23">
        <v>44069.816365740742</v>
      </c>
      <c r="I266" s="23">
        <f>_xlfn.IFNA(VLOOKUP(A266,A267:$H$3524,8,0),"")</f>
        <v>44069.833275462966</v>
      </c>
      <c r="J266" s="40">
        <f t="shared" si="28"/>
        <v>0</v>
      </c>
      <c r="K266" s="24">
        <f t="shared" si="24"/>
        <v>0.40583333338145167</v>
      </c>
      <c r="L266" s="25" t="str">
        <f t="shared" si="25"/>
        <v>Work Finished</v>
      </c>
      <c r="M266" s="43"/>
      <c r="N266" s="37"/>
      <c r="O266" s="33">
        <f t="shared" si="26"/>
        <v>0</v>
      </c>
      <c r="P266" s="33">
        <f t="shared" si="27"/>
        <v>19</v>
      </c>
      <c r="X266" s="1"/>
    </row>
    <row r="267" spans="1:24">
      <c r="A267" s="20" t="s">
        <v>282</v>
      </c>
      <c r="B267" s="22" t="s">
        <v>81</v>
      </c>
      <c r="G267" s="21"/>
      <c r="H267" s="23">
        <v>44069.819733796299</v>
      </c>
      <c r="I267" s="23" t="str">
        <f>_xlfn.IFNA(VLOOKUP(A267,A268:$H$3524,8,0),"")</f>
        <v/>
      </c>
      <c r="J267" s="40">
        <f t="shared" si="28"/>
        <v>0</v>
      </c>
      <c r="K267" s="24">
        <f t="shared" si="24"/>
        <v>0</v>
      </c>
      <c r="L267" s="25" t="str">
        <f t="shared" si="25"/>
        <v>Work Finished</v>
      </c>
      <c r="M267" s="43"/>
      <c r="N267" s="37"/>
      <c r="O267" s="33">
        <f t="shared" si="26"/>
        <v>0</v>
      </c>
      <c r="P267" s="33">
        <f t="shared" si="27"/>
        <v>19</v>
      </c>
      <c r="X267" s="1"/>
    </row>
    <row r="268" spans="1:24">
      <c r="A268" s="20" t="s">
        <v>420</v>
      </c>
      <c r="B268" s="22" t="s">
        <v>81</v>
      </c>
      <c r="G268" s="21"/>
      <c r="H268" s="23">
        <v>44069.821342592593</v>
      </c>
      <c r="I268" s="23">
        <f>_xlfn.IFNA(VLOOKUP(A268,A269:$H$3524,8,0),"")</f>
        <v>44069.832951388889</v>
      </c>
      <c r="J268" s="40">
        <f t="shared" si="28"/>
        <v>0</v>
      </c>
      <c r="K268" s="24">
        <f t="shared" si="24"/>
        <v>0.2786111111054197</v>
      </c>
      <c r="L268" s="25" t="str">
        <f t="shared" si="25"/>
        <v>Work Finished</v>
      </c>
      <c r="M268" s="43"/>
      <c r="N268" s="37"/>
      <c r="O268" s="33">
        <f t="shared" si="26"/>
        <v>0</v>
      </c>
      <c r="P268" s="33">
        <f t="shared" si="27"/>
        <v>19</v>
      </c>
      <c r="X268" s="1"/>
    </row>
    <row r="269" spans="1:24">
      <c r="A269" s="20" t="s">
        <v>427</v>
      </c>
      <c r="B269" s="22" t="s">
        <v>81</v>
      </c>
      <c r="G269" s="21"/>
      <c r="H269" s="23">
        <v>44069.821817129632</v>
      </c>
      <c r="I269" s="23">
        <f>_xlfn.IFNA(VLOOKUP(A269,A270:$H$3524,8,0),"")</f>
        <v>44069.834907407407</v>
      </c>
      <c r="J269" s="40">
        <f t="shared" si="28"/>
        <v>0</v>
      </c>
      <c r="K269" s="24">
        <f t="shared" si="24"/>
        <v>0.31416666659060866</v>
      </c>
      <c r="L269" s="25" t="str">
        <f t="shared" si="25"/>
        <v>Work Finished</v>
      </c>
      <c r="M269" s="43"/>
      <c r="N269" s="37"/>
      <c r="O269" s="33">
        <f t="shared" si="26"/>
        <v>0</v>
      </c>
      <c r="P269" s="33">
        <f t="shared" si="27"/>
        <v>19</v>
      </c>
      <c r="X269" s="1"/>
    </row>
    <row r="270" spans="1:24">
      <c r="A270" s="20" t="s">
        <v>421</v>
      </c>
      <c r="B270" s="22" t="s">
        <v>81</v>
      </c>
      <c r="G270" s="21"/>
      <c r="H270" s="23">
        <v>44069.824108796296</v>
      </c>
      <c r="I270" s="23">
        <f>_xlfn.IFNA(VLOOKUP(A270,A271:$H$3524,8,0),"")</f>
        <v>44069.832175925927</v>
      </c>
      <c r="J270" s="40">
        <f t="shared" si="28"/>
        <v>0</v>
      </c>
      <c r="K270" s="24">
        <f t="shared" si="24"/>
        <v>0.1936111111426726</v>
      </c>
      <c r="L270" s="25" t="str">
        <f t="shared" si="25"/>
        <v>Work Finished</v>
      </c>
      <c r="M270" s="43"/>
      <c r="N270" s="37"/>
      <c r="O270" s="33">
        <f t="shared" si="26"/>
        <v>0</v>
      </c>
      <c r="P270" s="33">
        <f t="shared" si="27"/>
        <v>19</v>
      </c>
      <c r="X270" s="1"/>
    </row>
    <row r="271" spans="1:24">
      <c r="A271" s="20" t="s">
        <v>419</v>
      </c>
      <c r="B271" s="22" t="s">
        <v>81</v>
      </c>
      <c r="G271" s="21"/>
      <c r="H271" s="23">
        <v>44069.82440972222</v>
      </c>
      <c r="I271" s="23">
        <f>_xlfn.IFNA(VLOOKUP(A271,A272:$H$3524,8,0),"")</f>
        <v>44069.835439814815</v>
      </c>
      <c r="J271" s="40">
        <f t="shared" si="28"/>
        <v>0</v>
      </c>
      <c r="K271" s="24">
        <f t="shared" si="24"/>
        <v>0.2647222222876735</v>
      </c>
      <c r="L271" s="25" t="str">
        <f t="shared" si="25"/>
        <v>Work Finished</v>
      </c>
      <c r="M271" s="43"/>
      <c r="N271" s="37"/>
      <c r="O271" s="33">
        <f t="shared" si="26"/>
        <v>0</v>
      </c>
      <c r="P271" s="33">
        <f t="shared" si="27"/>
        <v>19</v>
      </c>
      <c r="X271" s="1"/>
    </row>
    <row r="272" spans="1:24">
      <c r="A272" s="20" t="s">
        <v>410</v>
      </c>
      <c r="B272" s="22" t="s">
        <v>81</v>
      </c>
      <c r="G272" s="21"/>
      <c r="H272" s="23">
        <v>44069.824513888889</v>
      </c>
      <c r="I272" s="23">
        <f>_xlfn.IFNA(VLOOKUP(A272,A273:$H$3524,8,0),"")</f>
        <v>44069.834560185183</v>
      </c>
      <c r="J272" s="40">
        <f t="shared" si="28"/>
        <v>0</v>
      </c>
      <c r="K272" s="24">
        <f t="shared" si="24"/>
        <v>0.2411111110704951</v>
      </c>
      <c r="L272" s="25" t="str">
        <f t="shared" si="25"/>
        <v>Work Finished</v>
      </c>
      <c r="M272" s="43"/>
      <c r="N272" s="37"/>
      <c r="O272" s="33">
        <f t="shared" si="26"/>
        <v>0</v>
      </c>
      <c r="P272" s="33">
        <f t="shared" si="27"/>
        <v>19</v>
      </c>
      <c r="X272" s="1"/>
    </row>
    <row r="273" spans="1:24">
      <c r="A273" s="20" t="s">
        <v>428</v>
      </c>
      <c r="B273" s="22" t="s">
        <v>81</v>
      </c>
      <c r="G273" s="21"/>
      <c r="H273" s="23">
        <v>44069.825474537036</v>
      </c>
      <c r="I273" s="23">
        <f>_xlfn.IFNA(VLOOKUP(A273,A274:$H$3524,8,0),"")</f>
        <v>44069.838518518518</v>
      </c>
      <c r="J273" s="40">
        <f t="shared" si="28"/>
        <v>0</v>
      </c>
      <c r="K273" s="24">
        <f t="shared" si="24"/>
        <v>0.31305555556900799</v>
      </c>
      <c r="L273" s="25" t="str">
        <f t="shared" si="25"/>
        <v>Work Finished</v>
      </c>
      <c r="M273" s="43"/>
      <c r="N273" s="37"/>
      <c r="O273" s="33">
        <f t="shared" si="26"/>
        <v>0</v>
      </c>
      <c r="P273" s="33">
        <f t="shared" si="27"/>
        <v>19</v>
      </c>
      <c r="X273" s="1"/>
    </row>
    <row r="274" spans="1:24">
      <c r="A274" s="20" t="s">
        <v>254</v>
      </c>
      <c r="B274" s="22" t="s">
        <v>81</v>
      </c>
      <c r="G274" s="21"/>
      <c r="H274" s="23">
        <v>44069.825775462959</v>
      </c>
      <c r="I274" s="23">
        <f>_xlfn.IFNA(VLOOKUP(A274,A275:$H$3524,8,0),"")</f>
        <v>44069.837858796294</v>
      </c>
      <c r="J274" s="40">
        <f t="shared" si="28"/>
        <v>0</v>
      </c>
      <c r="K274" s="24">
        <f t="shared" si="24"/>
        <v>0.2900000000372529</v>
      </c>
      <c r="L274" s="25" t="str">
        <f t="shared" si="25"/>
        <v>Work Finished</v>
      </c>
      <c r="M274" s="43"/>
      <c r="N274" s="37"/>
      <c r="O274" s="33">
        <f t="shared" si="26"/>
        <v>0</v>
      </c>
      <c r="P274" s="33">
        <f t="shared" si="27"/>
        <v>19</v>
      </c>
      <c r="X274" s="1"/>
    </row>
    <row r="275" spans="1:24">
      <c r="A275" s="20" t="s">
        <v>424</v>
      </c>
      <c r="B275" s="22" t="s">
        <v>81</v>
      </c>
      <c r="G275" s="21"/>
      <c r="H275" s="23">
        <v>44069.826608796298</v>
      </c>
      <c r="I275" s="23">
        <f>_xlfn.IFNA(VLOOKUP(A275,A276:$H$3524,8,0),"")</f>
        <v>44069.833460648151</v>
      </c>
      <c r="J275" s="40">
        <f t="shared" si="28"/>
        <v>0</v>
      </c>
      <c r="K275" s="24">
        <f t="shared" si="24"/>
        <v>0.16444444446824491</v>
      </c>
      <c r="L275" s="25" t="str">
        <f t="shared" si="25"/>
        <v>Work Finished</v>
      </c>
      <c r="M275" s="43"/>
      <c r="N275" s="37"/>
      <c r="O275" s="33">
        <f t="shared" si="26"/>
        <v>0</v>
      </c>
      <c r="P275" s="33">
        <f t="shared" si="27"/>
        <v>19</v>
      </c>
      <c r="X275" s="1"/>
    </row>
    <row r="276" spans="1:24">
      <c r="A276" s="20" t="s">
        <v>442</v>
      </c>
      <c r="B276" s="22" t="s">
        <v>81</v>
      </c>
      <c r="G276" s="21"/>
      <c r="H276" s="23">
        <v>44069.826678240737</v>
      </c>
      <c r="I276" s="23">
        <f>_xlfn.IFNA(VLOOKUP(A276,A277:$H$3524,8,0),"")</f>
        <v>44069.837916666664</v>
      </c>
      <c r="J276" s="40">
        <f t="shared" si="28"/>
        <v>0</v>
      </c>
      <c r="K276" s="24">
        <f t="shared" ref="K276:K339" si="29">IF(H276="","",IFERROR((I276-H276)*24,0))</f>
        <v>0.26972222223412246</v>
      </c>
      <c r="L276" s="25" t="str">
        <f t="shared" si="25"/>
        <v>Work Finished</v>
      </c>
      <c r="M276" s="43"/>
      <c r="N276" s="37"/>
      <c r="O276" s="33">
        <f t="shared" si="26"/>
        <v>0</v>
      </c>
      <c r="P276" s="33">
        <f t="shared" si="27"/>
        <v>19</v>
      </c>
      <c r="X276" s="1"/>
    </row>
    <row r="277" spans="1:24">
      <c r="A277" s="20" t="s">
        <v>426</v>
      </c>
      <c r="B277" s="22" t="s">
        <v>81</v>
      </c>
      <c r="G277" s="21"/>
      <c r="H277" s="23">
        <v>44069.828182870369</v>
      </c>
      <c r="I277" s="23">
        <f>_xlfn.IFNA(VLOOKUP(A277,A278:$H$3524,8,0),"")</f>
        <v>44069.836689814816</v>
      </c>
      <c r="J277" s="40">
        <f t="shared" si="28"/>
        <v>0</v>
      </c>
      <c r="K277" s="24">
        <f t="shared" si="29"/>
        <v>0.20416666672099382</v>
      </c>
      <c r="L277" s="25" t="str">
        <f t="shared" si="25"/>
        <v>Work Finished</v>
      </c>
      <c r="M277" s="43"/>
      <c r="N277" s="37"/>
      <c r="O277" s="33">
        <f t="shared" si="26"/>
        <v>0</v>
      </c>
      <c r="P277" s="33">
        <f t="shared" si="27"/>
        <v>19</v>
      </c>
      <c r="X277" s="1"/>
    </row>
    <row r="278" spans="1:24">
      <c r="A278" s="20" t="s">
        <v>255</v>
      </c>
      <c r="B278" s="22" t="s">
        <v>81</v>
      </c>
      <c r="G278" s="21"/>
      <c r="H278" s="23">
        <v>44069.832118055558</v>
      </c>
      <c r="I278" s="23">
        <f>_xlfn.IFNA(VLOOKUP(A278,A279:$H$3524,8,0),"")</f>
        <v>44069.838101851848</v>
      </c>
      <c r="J278" s="40">
        <f t="shared" si="28"/>
        <v>0</v>
      </c>
      <c r="K278" s="24">
        <f t="shared" si="29"/>
        <v>0.14361111097969115</v>
      </c>
      <c r="L278" s="25" t="str">
        <f t="shared" si="25"/>
        <v>Work Finished</v>
      </c>
      <c r="M278" s="43"/>
      <c r="N278" s="37"/>
      <c r="O278" s="33">
        <f t="shared" si="26"/>
        <v>0</v>
      </c>
      <c r="P278" s="33">
        <f t="shared" si="27"/>
        <v>19</v>
      </c>
      <c r="X278" s="1"/>
    </row>
    <row r="279" spans="1:24">
      <c r="A279" s="20" t="s">
        <v>421</v>
      </c>
      <c r="B279" s="22" t="s">
        <v>38</v>
      </c>
      <c r="C279" s="20" t="s">
        <v>448</v>
      </c>
      <c r="D279" s="20" t="s">
        <v>161</v>
      </c>
      <c r="E279" s="20" t="s">
        <v>141</v>
      </c>
      <c r="F279" s="20" t="s">
        <v>449</v>
      </c>
      <c r="G279" s="21" t="s">
        <v>43</v>
      </c>
      <c r="H279" s="23">
        <v>44069.832175925927</v>
      </c>
      <c r="I279" s="23">
        <f>_xlfn.IFNA(VLOOKUP(A279,A280:$H$3524,8,0),"")</f>
        <v>44069.851446759261</v>
      </c>
      <c r="J279" s="40">
        <f t="shared" si="28"/>
        <v>20</v>
      </c>
      <c r="K279" s="24">
        <f t="shared" si="29"/>
        <v>0.46250000002328306</v>
      </c>
      <c r="L279" s="25" t="str">
        <f t="shared" si="25"/>
        <v>Work Finished</v>
      </c>
      <c r="M279" s="43">
        <v>1</v>
      </c>
      <c r="N279" s="37"/>
      <c r="O279" s="33">
        <f t="shared" si="26"/>
        <v>19</v>
      </c>
      <c r="P279" s="33">
        <f t="shared" si="27"/>
        <v>19</v>
      </c>
      <c r="X279" s="1"/>
    </row>
    <row r="280" spans="1:24">
      <c r="A280" s="20" t="s">
        <v>420</v>
      </c>
      <c r="B280" s="22" t="s">
        <v>38</v>
      </c>
      <c r="C280" s="20" t="s">
        <v>448</v>
      </c>
      <c r="D280" s="20" t="s">
        <v>142</v>
      </c>
      <c r="E280" s="20" t="s">
        <v>235</v>
      </c>
      <c r="F280" s="20" t="s">
        <v>449</v>
      </c>
      <c r="G280" s="21" t="s">
        <v>43</v>
      </c>
      <c r="H280" s="23">
        <v>44069.832951388889</v>
      </c>
      <c r="I280" s="23">
        <f>_xlfn.IFNA(VLOOKUP(A280,A281:$H$3524,8,0),"")</f>
        <v>44069.852534722224</v>
      </c>
      <c r="J280" s="40">
        <f t="shared" si="28"/>
        <v>20</v>
      </c>
      <c r="K280" s="24">
        <f t="shared" si="29"/>
        <v>0.47000000003026798</v>
      </c>
      <c r="L280" s="25" t="str">
        <f t="shared" si="25"/>
        <v>Work Finished</v>
      </c>
      <c r="M280" s="43">
        <v>4</v>
      </c>
      <c r="N280" s="37"/>
      <c r="O280" s="33">
        <f t="shared" si="26"/>
        <v>16</v>
      </c>
      <c r="P280" s="33">
        <f t="shared" si="27"/>
        <v>19</v>
      </c>
      <c r="X280" s="1"/>
    </row>
    <row r="281" spans="1:24">
      <c r="A281" s="20" t="s">
        <v>440</v>
      </c>
      <c r="B281" s="22" t="s">
        <v>38</v>
      </c>
      <c r="C281" s="20" t="s">
        <v>448</v>
      </c>
      <c r="D281" s="20" t="s">
        <v>159</v>
      </c>
      <c r="E281" s="20" t="s">
        <v>162</v>
      </c>
      <c r="F281" s="20" t="s">
        <v>449</v>
      </c>
      <c r="G281" s="21" t="s">
        <v>43</v>
      </c>
      <c r="H281" s="23">
        <v>44069.833275462966</v>
      </c>
      <c r="I281" s="23">
        <f>_xlfn.IFNA(VLOOKUP(A281,A282:$H$3524,8,0),"")</f>
        <v>44069.852488425924</v>
      </c>
      <c r="J281" s="40">
        <f t="shared" si="28"/>
        <v>20</v>
      </c>
      <c r="K281" s="24">
        <f t="shared" si="29"/>
        <v>0.46111111098434776</v>
      </c>
      <c r="L281" s="25" t="str">
        <f t="shared" si="25"/>
        <v>Work Finished</v>
      </c>
      <c r="M281" s="43">
        <v>1</v>
      </c>
      <c r="N281" s="37"/>
      <c r="O281" s="33">
        <f t="shared" si="26"/>
        <v>19</v>
      </c>
      <c r="P281" s="33">
        <f t="shared" si="27"/>
        <v>19</v>
      </c>
      <c r="X281" s="1"/>
    </row>
    <row r="282" spans="1:24">
      <c r="A282" s="20" t="s">
        <v>424</v>
      </c>
      <c r="B282" s="22" t="s">
        <v>38</v>
      </c>
      <c r="C282" s="20" t="s">
        <v>448</v>
      </c>
      <c r="D282" s="20" t="s">
        <v>338</v>
      </c>
      <c r="E282" s="20" t="s">
        <v>297</v>
      </c>
      <c r="F282" s="20" t="s">
        <v>449</v>
      </c>
      <c r="G282" s="21" t="s">
        <v>43</v>
      </c>
      <c r="H282" s="23">
        <v>44069.833460648151</v>
      </c>
      <c r="I282" s="23">
        <f>_xlfn.IFNA(VLOOKUP(A282,A283:$H$3524,8,0),"")</f>
        <v>44069.849074074074</v>
      </c>
      <c r="J282" s="40">
        <f t="shared" si="28"/>
        <v>20</v>
      </c>
      <c r="K282" s="24">
        <f t="shared" si="29"/>
        <v>0.37472222215728834</v>
      </c>
      <c r="L282" s="25" t="str">
        <f t="shared" si="25"/>
        <v>Work Finished</v>
      </c>
      <c r="M282" s="43">
        <v>3</v>
      </c>
      <c r="N282" s="37"/>
      <c r="O282" s="33">
        <f t="shared" si="26"/>
        <v>17</v>
      </c>
      <c r="P282" s="33">
        <f t="shared" si="27"/>
        <v>20</v>
      </c>
      <c r="X282" s="1"/>
    </row>
    <row r="283" spans="1:24">
      <c r="A283" s="20" t="s">
        <v>422</v>
      </c>
      <c r="B283" s="22" t="s">
        <v>38</v>
      </c>
      <c r="C283" s="20" t="s">
        <v>448</v>
      </c>
      <c r="D283" s="20" t="s">
        <v>450</v>
      </c>
      <c r="E283" s="20" t="s">
        <v>449</v>
      </c>
      <c r="F283" s="20" t="s">
        <v>449</v>
      </c>
      <c r="G283" s="21" t="s">
        <v>43</v>
      </c>
      <c r="H283" s="23">
        <v>44069.833796296298</v>
      </c>
      <c r="I283" s="23">
        <f>_xlfn.IFNA(VLOOKUP(A283,A284:$H$3524,8,0),"")</f>
        <v>44069.851180555554</v>
      </c>
      <c r="J283" s="40">
        <f t="shared" si="28"/>
        <v>11</v>
      </c>
      <c r="K283" s="24">
        <f t="shared" si="29"/>
        <v>0.41722222213866189</v>
      </c>
      <c r="L283" s="25" t="str">
        <f t="shared" si="25"/>
        <v>Work Finished</v>
      </c>
      <c r="M283" s="43">
        <v>1</v>
      </c>
      <c r="N283" s="37"/>
      <c r="O283" s="33">
        <f t="shared" si="26"/>
        <v>10</v>
      </c>
      <c r="P283" s="33">
        <f t="shared" si="27"/>
        <v>20</v>
      </c>
      <c r="X283" s="1"/>
    </row>
    <row r="284" spans="1:24">
      <c r="A284" s="20" t="s">
        <v>423</v>
      </c>
      <c r="B284" s="22" t="s">
        <v>38</v>
      </c>
      <c r="C284" s="20" t="s">
        <v>448</v>
      </c>
      <c r="D284" s="20" t="s">
        <v>121</v>
      </c>
      <c r="E284" s="20" t="s">
        <v>96</v>
      </c>
      <c r="F284" s="20" t="s">
        <v>449</v>
      </c>
      <c r="G284" s="21" t="s">
        <v>43</v>
      </c>
      <c r="H284" s="23">
        <v>44069.83394675926</v>
      </c>
      <c r="I284" s="23">
        <f>_xlfn.IFNA(VLOOKUP(A284,A285:$H$3524,8,0),"")</f>
        <v>44069.851354166669</v>
      </c>
      <c r="J284" s="40">
        <f t="shared" si="28"/>
        <v>20</v>
      </c>
      <c r="K284" s="24">
        <f t="shared" si="29"/>
        <v>0.41777777782408521</v>
      </c>
      <c r="L284" s="25" t="str">
        <f t="shared" si="25"/>
        <v>Work Finished</v>
      </c>
      <c r="M284" s="43">
        <v>1</v>
      </c>
      <c r="N284" s="37"/>
      <c r="O284" s="33">
        <f t="shared" si="26"/>
        <v>19</v>
      </c>
      <c r="P284" s="33">
        <f t="shared" si="27"/>
        <v>20</v>
      </c>
      <c r="X284" s="1"/>
    </row>
    <row r="285" spans="1:24">
      <c r="A285" s="20" t="s">
        <v>296</v>
      </c>
      <c r="B285" s="22" t="s">
        <v>38</v>
      </c>
      <c r="C285" s="20" t="s">
        <v>448</v>
      </c>
      <c r="D285" s="20" t="s">
        <v>128</v>
      </c>
      <c r="E285" s="20" t="s">
        <v>137</v>
      </c>
      <c r="F285" s="20" t="s">
        <v>449</v>
      </c>
      <c r="G285" s="21" t="s">
        <v>43</v>
      </c>
      <c r="H285" s="23">
        <v>44069.834351851852</v>
      </c>
      <c r="I285" s="23">
        <f>_xlfn.IFNA(VLOOKUP(A285,A286:$H$3524,8,0),"")</f>
        <v>44069.847361111111</v>
      </c>
      <c r="J285" s="40">
        <f t="shared" si="28"/>
        <v>20</v>
      </c>
      <c r="K285" s="24">
        <f t="shared" si="29"/>
        <v>0.312222222215496</v>
      </c>
      <c r="L285" s="25" t="str">
        <f t="shared" si="25"/>
        <v>Work Finished</v>
      </c>
      <c r="M285" s="43"/>
      <c r="N285" s="37"/>
      <c r="O285" s="33">
        <f t="shared" si="26"/>
        <v>20</v>
      </c>
      <c r="P285" s="33">
        <f t="shared" si="27"/>
        <v>20</v>
      </c>
      <c r="X285" s="1"/>
    </row>
    <row r="286" spans="1:24">
      <c r="A286" s="20" t="s">
        <v>410</v>
      </c>
      <c r="B286" s="22" t="s">
        <v>38</v>
      </c>
      <c r="C286" s="20" t="s">
        <v>448</v>
      </c>
      <c r="D286" s="20" t="s">
        <v>149</v>
      </c>
      <c r="E286" s="20" t="s">
        <v>156</v>
      </c>
      <c r="F286" s="20" t="s">
        <v>449</v>
      </c>
      <c r="G286" s="21" t="s">
        <v>43</v>
      </c>
      <c r="H286" s="23">
        <v>44069.834560185183</v>
      </c>
      <c r="I286" s="23">
        <f>_xlfn.IFNA(VLOOKUP(A286,A287:$H$3524,8,0),"")</f>
        <v>44069.864016203705</v>
      </c>
      <c r="J286" s="40">
        <f t="shared" si="28"/>
        <v>13</v>
      </c>
      <c r="K286" s="24">
        <f t="shared" si="29"/>
        <v>0.70694444450782612</v>
      </c>
      <c r="L286" s="25" t="str">
        <f t="shared" si="25"/>
        <v>Work Finished</v>
      </c>
      <c r="M286" s="43">
        <v>0</v>
      </c>
      <c r="N286" s="37"/>
      <c r="O286" s="33">
        <f t="shared" si="26"/>
        <v>13</v>
      </c>
      <c r="P286" s="33">
        <f t="shared" si="27"/>
        <v>20</v>
      </c>
      <c r="X286" s="1"/>
    </row>
    <row r="287" spans="1:24">
      <c r="A287" s="20" t="s">
        <v>427</v>
      </c>
      <c r="B287" s="22" t="s">
        <v>38</v>
      </c>
      <c r="C287" s="20" t="s">
        <v>448</v>
      </c>
      <c r="D287" s="20" t="s">
        <v>40</v>
      </c>
      <c r="E287" s="20" t="s">
        <v>95</v>
      </c>
      <c r="F287" s="20" t="s">
        <v>449</v>
      </c>
      <c r="G287" s="21" t="s">
        <v>43</v>
      </c>
      <c r="H287" s="23">
        <v>44069.834907407407</v>
      </c>
      <c r="I287" s="23">
        <f>_xlfn.IFNA(VLOOKUP(A287,A288:$H$3524,8,0),"")</f>
        <v>44069.852858796294</v>
      </c>
      <c r="J287" s="40">
        <f t="shared" si="28"/>
        <v>23</v>
      </c>
      <c r="K287" s="24">
        <f t="shared" si="29"/>
        <v>0.43083333328831941</v>
      </c>
      <c r="L287" s="25" t="str">
        <f t="shared" si="25"/>
        <v>Work Finished</v>
      </c>
      <c r="M287" s="43">
        <v>0</v>
      </c>
      <c r="N287" s="37"/>
      <c r="O287" s="33">
        <f t="shared" si="26"/>
        <v>23</v>
      </c>
      <c r="P287" s="33">
        <f t="shared" si="27"/>
        <v>20</v>
      </c>
      <c r="X287" s="1"/>
    </row>
    <row r="288" spans="1:24">
      <c r="A288" s="20" t="s">
        <v>419</v>
      </c>
      <c r="B288" s="22" t="s">
        <v>38</v>
      </c>
      <c r="C288" s="20" t="s">
        <v>448</v>
      </c>
      <c r="D288" s="20" t="s">
        <v>101</v>
      </c>
      <c r="E288" s="20" t="s">
        <v>99</v>
      </c>
      <c r="F288" s="20" t="s">
        <v>449</v>
      </c>
      <c r="G288" s="21" t="s">
        <v>43</v>
      </c>
      <c r="H288" s="23">
        <v>44069.835439814815</v>
      </c>
      <c r="I288" s="23">
        <f>_xlfn.IFNA(VLOOKUP(A288,A289:$H$3524,8,0),"")</f>
        <v>44069.850983796299</v>
      </c>
      <c r="J288" s="40">
        <f t="shared" si="28"/>
        <v>24</v>
      </c>
      <c r="K288" s="24">
        <f t="shared" si="29"/>
        <v>0.37305555562488735</v>
      </c>
      <c r="L288" s="25" t="str">
        <f t="shared" si="25"/>
        <v>Work Finished</v>
      </c>
      <c r="M288" s="43"/>
      <c r="N288" s="37"/>
      <c r="O288" s="33">
        <f t="shared" si="26"/>
        <v>24</v>
      </c>
      <c r="P288" s="33">
        <f t="shared" si="27"/>
        <v>20</v>
      </c>
      <c r="X288" s="1"/>
    </row>
    <row r="289" spans="1:24">
      <c r="A289" s="20" t="s">
        <v>426</v>
      </c>
      <c r="B289" s="22" t="s">
        <v>38</v>
      </c>
      <c r="C289" s="20" t="s">
        <v>451</v>
      </c>
      <c r="D289" s="20" t="s">
        <v>370</v>
      </c>
      <c r="E289" s="20" t="s">
        <v>452</v>
      </c>
      <c r="F289" s="20" t="s">
        <v>449</v>
      </c>
      <c r="G289" s="21" t="s">
        <v>43</v>
      </c>
      <c r="H289" s="23">
        <v>44069.836689814816</v>
      </c>
      <c r="I289" s="23">
        <f>_xlfn.IFNA(VLOOKUP(A289,A290:$H$3524,8,0),"")</f>
        <v>44069.85193287037</v>
      </c>
      <c r="J289" s="40">
        <f t="shared" si="28"/>
        <v>20</v>
      </c>
      <c r="K289" s="24">
        <f t="shared" si="29"/>
        <v>0.3658333332859911</v>
      </c>
      <c r="L289" s="25" t="str">
        <f t="shared" si="25"/>
        <v>Work Finished</v>
      </c>
      <c r="M289" s="43">
        <v>3</v>
      </c>
      <c r="N289" s="37"/>
      <c r="O289" s="33">
        <f t="shared" si="26"/>
        <v>17</v>
      </c>
      <c r="P289" s="33">
        <f t="shared" si="27"/>
        <v>20</v>
      </c>
      <c r="X289" s="1"/>
    </row>
    <row r="290" spans="1:24">
      <c r="A290" s="20" t="s">
        <v>257</v>
      </c>
      <c r="B290" s="22" t="s">
        <v>38</v>
      </c>
      <c r="C290" s="20" t="s">
        <v>451</v>
      </c>
      <c r="D290" s="20" t="s">
        <v>150</v>
      </c>
      <c r="E290" s="20" t="s">
        <v>160</v>
      </c>
      <c r="F290" s="20" t="s">
        <v>449</v>
      </c>
      <c r="G290" s="21" t="s">
        <v>43</v>
      </c>
      <c r="H290" s="23">
        <v>44069.83730324074</v>
      </c>
      <c r="I290" s="23">
        <f>_xlfn.IFNA(VLOOKUP(A290,A291:$H$3524,8,0),"")</f>
        <v>44069.853981481479</v>
      </c>
      <c r="J290" s="40">
        <f t="shared" si="28"/>
        <v>20</v>
      </c>
      <c r="K290" s="24">
        <f t="shared" si="29"/>
        <v>0.4002777777495794</v>
      </c>
      <c r="L290" s="25" t="str">
        <f t="shared" si="25"/>
        <v>Work Finished</v>
      </c>
      <c r="M290" s="43">
        <v>5</v>
      </c>
      <c r="N290" s="37"/>
      <c r="O290" s="33">
        <f t="shared" si="26"/>
        <v>15</v>
      </c>
      <c r="P290" s="33">
        <f t="shared" si="27"/>
        <v>20</v>
      </c>
      <c r="X290" s="1"/>
    </row>
    <row r="291" spans="1:24">
      <c r="A291" s="20" t="s">
        <v>254</v>
      </c>
      <c r="B291" s="22" t="s">
        <v>38</v>
      </c>
      <c r="C291" s="20" t="s">
        <v>451</v>
      </c>
      <c r="D291" s="20" t="s">
        <v>369</v>
      </c>
      <c r="E291" s="20" t="s">
        <v>132</v>
      </c>
      <c r="F291" s="20" t="s">
        <v>449</v>
      </c>
      <c r="G291" s="21" t="s">
        <v>43</v>
      </c>
      <c r="H291" s="23">
        <v>44069.837858796294</v>
      </c>
      <c r="I291" s="23">
        <f>_xlfn.IFNA(VLOOKUP(A291,A292:$H$3524,8,0),"")</f>
        <v>44069.851793981485</v>
      </c>
      <c r="J291" s="40">
        <f t="shared" si="28"/>
        <v>20</v>
      </c>
      <c r="K291" s="24">
        <f t="shared" si="29"/>
        <v>0.33444444456836209</v>
      </c>
      <c r="L291" s="25" t="str">
        <f t="shared" si="25"/>
        <v>Work Finished</v>
      </c>
      <c r="M291" s="43">
        <v>0</v>
      </c>
      <c r="N291" s="37"/>
      <c r="O291" s="33">
        <f t="shared" si="26"/>
        <v>20</v>
      </c>
      <c r="P291" s="33">
        <f t="shared" si="27"/>
        <v>20</v>
      </c>
      <c r="X291" s="1"/>
    </row>
    <row r="292" spans="1:24">
      <c r="A292" s="20" t="s">
        <v>442</v>
      </c>
      <c r="B292" s="22" t="s">
        <v>38</v>
      </c>
      <c r="C292" s="20" t="s">
        <v>451</v>
      </c>
      <c r="D292" s="20" t="s">
        <v>340</v>
      </c>
      <c r="E292" s="20" t="s">
        <v>449</v>
      </c>
      <c r="F292" s="20" t="s">
        <v>449</v>
      </c>
      <c r="G292" s="21" t="s">
        <v>43</v>
      </c>
      <c r="H292" s="23">
        <v>44069.837916666664</v>
      </c>
      <c r="I292" s="23">
        <f>_xlfn.IFNA(VLOOKUP(A292,A293:$H$3524,8,0),"")</f>
        <v>44069.856354166666</v>
      </c>
      <c r="J292" s="40">
        <f t="shared" si="28"/>
        <v>18</v>
      </c>
      <c r="K292" s="24">
        <f t="shared" si="29"/>
        <v>0.44250000006286427</v>
      </c>
      <c r="L292" s="25" t="str">
        <f t="shared" si="25"/>
        <v>Work Finished</v>
      </c>
      <c r="M292" s="43"/>
      <c r="N292" s="37"/>
      <c r="O292" s="33">
        <f t="shared" si="26"/>
        <v>18</v>
      </c>
      <c r="P292" s="33">
        <f t="shared" si="27"/>
        <v>20</v>
      </c>
      <c r="X292" s="1"/>
    </row>
    <row r="293" spans="1:24">
      <c r="A293" s="20" t="s">
        <v>255</v>
      </c>
      <c r="B293" s="22" t="s">
        <v>38</v>
      </c>
      <c r="C293" s="20" t="s">
        <v>451</v>
      </c>
      <c r="D293" s="20" t="s">
        <v>145</v>
      </c>
      <c r="E293" s="20" t="s">
        <v>157</v>
      </c>
      <c r="F293" s="20" t="s">
        <v>449</v>
      </c>
      <c r="G293" s="21" t="s">
        <v>43</v>
      </c>
      <c r="H293" s="23">
        <v>44069.838101851848</v>
      </c>
      <c r="I293" s="23">
        <f>_xlfn.IFNA(VLOOKUP(A293,A294:$H$3524,8,0),"")</f>
        <v>44069.852743055555</v>
      </c>
      <c r="J293" s="40">
        <f t="shared" si="28"/>
        <v>20</v>
      </c>
      <c r="K293" s="24">
        <f t="shared" si="29"/>
        <v>0.35138888895744458</v>
      </c>
      <c r="L293" s="25" t="str">
        <f t="shared" si="25"/>
        <v>Work Finished</v>
      </c>
      <c r="M293" s="43">
        <v>2</v>
      </c>
      <c r="N293" s="37"/>
      <c r="O293" s="33">
        <f t="shared" si="26"/>
        <v>18</v>
      </c>
      <c r="P293" s="33">
        <f t="shared" si="27"/>
        <v>20</v>
      </c>
      <c r="X293" s="1"/>
    </row>
    <row r="294" spans="1:24">
      <c r="A294" s="20" t="s">
        <v>428</v>
      </c>
      <c r="B294" s="22" t="s">
        <v>38</v>
      </c>
      <c r="C294" s="20" t="s">
        <v>451</v>
      </c>
      <c r="D294" s="20" t="s">
        <v>130</v>
      </c>
      <c r="E294" s="20" t="s">
        <v>143</v>
      </c>
      <c r="F294" s="20" t="s">
        <v>449</v>
      </c>
      <c r="G294" s="21" t="s">
        <v>43</v>
      </c>
      <c r="H294" s="23">
        <v>44069.838518518518</v>
      </c>
      <c r="I294" s="23">
        <f>_xlfn.IFNA(VLOOKUP(A294,A295:$H$3524,8,0),"")</f>
        <v>44069.85796296296</v>
      </c>
      <c r="J294" s="40">
        <f t="shared" si="28"/>
        <v>28</v>
      </c>
      <c r="K294" s="24">
        <f t="shared" si="29"/>
        <v>0.46666666661622003</v>
      </c>
      <c r="L294" s="25" t="str">
        <f t="shared" si="25"/>
        <v>Work Finished</v>
      </c>
      <c r="M294" s="43">
        <v>2</v>
      </c>
      <c r="N294" s="37"/>
      <c r="O294" s="33">
        <f t="shared" si="26"/>
        <v>26</v>
      </c>
      <c r="P294" s="33">
        <f t="shared" si="27"/>
        <v>20</v>
      </c>
      <c r="X294" s="1"/>
    </row>
    <row r="295" spans="1:24">
      <c r="A295" s="20" t="s">
        <v>414</v>
      </c>
      <c r="B295" s="22" t="s">
        <v>38</v>
      </c>
      <c r="C295" s="20" t="s">
        <v>451</v>
      </c>
      <c r="D295" s="20" t="s">
        <v>40</v>
      </c>
      <c r="E295" s="20" t="s">
        <v>98</v>
      </c>
      <c r="F295" s="20" t="s">
        <v>449</v>
      </c>
      <c r="G295" s="21" t="s">
        <v>43</v>
      </c>
      <c r="H295" s="23">
        <v>44069.842453703706</v>
      </c>
      <c r="I295" s="23">
        <f>_xlfn.IFNA(VLOOKUP(A295,A296:$H$3524,8,0),"")</f>
        <v>44069.856446759259</v>
      </c>
      <c r="J295" s="40">
        <f t="shared" si="28"/>
        <v>20</v>
      </c>
      <c r="K295" s="24">
        <f t="shared" si="29"/>
        <v>0.33583333325805143</v>
      </c>
      <c r="L295" s="25" t="str">
        <f t="shared" si="25"/>
        <v>Work Finished</v>
      </c>
      <c r="M295" s="43">
        <v>1</v>
      </c>
      <c r="N295" s="37"/>
      <c r="O295" s="33">
        <f t="shared" si="26"/>
        <v>19</v>
      </c>
      <c r="P295" s="33">
        <f t="shared" si="27"/>
        <v>20</v>
      </c>
      <c r="X295" s="1"/>
    </row>
    <row r="296" spans="1:24">
      <c r="A296" s="20" t="s">
        <v>425</v>
      </c>
      <c r="B296" s="22" t="s">
        <v>38</v>
      </c>
      <c r="C296" s="20" t="s">
        <v>451</v>
      </c>
      <c r="D296" s="20" t="s">
        <v>56</v>
      </c>
      <c r="E296" s="20" t="s">
        <v>146</v>
      </c>
      <c r="F296" s="20" t="s">
        <v>449</v>
      </c>
      <c r="G296" s="21" t="s">
        <v>43</v>
      </c>
      <c r="H296" s="23">
        <v>44069.843541666669</v>
      </c>
      <c r="I296" s="23">
        <f>_xlfn.IFNA(VLOOKUP(A296,A297:$H$3524,8,0),"")</f>
        <v>44069.856886574074</v>
      </c>
      <c r="J296" s="40">
        <f t="shared" si="28"/>
        <v>20</v>
      </c>
      <c r="K296" s="24">
        <f t="shared" si="29"/>
        <v>0.32027777773328125</v>
      </c>
      <c r="L296" s="25" t="str">
        <f t="shared" si="25"/>
        <v>Work Finished</v>
      </c>
      <c r="M296" s="43"/>
      <c r="N296" s="37"/>
      <c r="O296" s="33">
        <f t="shared" si="26"/>
        <v>20</v>
      </c>
      <c r="P296" s="33">
        <f t="shared" si="27"/>
        <v>20</v>
      </c>
      <c r="X296" s="1"/>
    </row>
    <row r="297" spans="1:24">
      <c r="A297" s="20" t="s">
        <v>437</v>
      </c>
      <c r="B297" s="22" t="s">
        <v>38</v>
      </c>
      <c r="C297" s="20" t="s">
        <v>451</v>
      </c>
      <c r="D297" s="20" t="s">
        <v>127</v>
      </c>
      <c r="E297" s="20" t="s">
        <v>133</v>
      </c>
      <c r="F297" s="20" t="s">
        <v>449</v>
      </c>
      <c r="G297" s="21" t="s">
        <v>43</v>
      </c>
      <c r="H297" s="23">
        <v>44069.844884259262</v>
      </c>
      <c r="I297" s="23">
        <f>_xlfn.IFNA(VLOOKUP(A297,A298:$H$3524,8,0),"")</f>
        <v>44069.854259259257</v>
      </c>
      <c r="J297" s="40">
        <f t="shared" si="28"/>
        <v>25</v>
      </c>
      <c r="K297" s="24">
        <f t="shared" si="29"/>
        <v>0.22499999986030161</v>
      </c>
      <c r="L297" s="25" t="str">
        <f t="shared" si="25"/>
        <v>Work Finished</v>
      </c>
      <c r="M297" s="43">
        <v>3</v>
      </c>
      <c r="N297" s="37"/>
      <c r="O297" s="33">
        <f t="shared" si="26"/>
        <v>22</v>
      </c>
      <c r="P297" s="33">
        <f t="shared" si="27"/>
        <v>20</v>
      </c>
      <c r="X297" s="1"/>
    </row>
    <row r="298" spans="1:24">
      <c r="A298" s="20" t="s">
        <v>296</v>
      </c>
      <c r="B298" s="22" t="s">
        <v>81</v>
      </c>
      <c r="G298" s="21"/>
      <c r="H298" s="23">
        <v>44069.847361111111</v>
      </c>
      <c r="I298" s="23" t="str">
        <f>_xlfn.IFNA(VLOOKUP(A298,A299:$H$3524,8,0),"")</f>
        <v/>
      </c>
      <c r="J298" s="40">
        <f t="shared" si="28"/>
        <v>0</v>
      </c>
      <c r="K298" s="24">
        <f t="shared" si="29"/>
        <v>0</v>
      </c>
      <c r="L298" s="25" t="str">
        <f t="shared" si="25"/>
        <v>Work Finished</v>
      </c>
      <c r="M298" s="43"/>
      <c r="N298" s="37"/>
      <c r="O298" s="33">
        <f t="shared" si="26"/>
        <v>0</v>
      </c>
      <c r="P298" s="33">
        <f t="shared" si="27"/>
        <v>20</v>
      </c>
      <c r="X298" s="1"/>
    </row>
    <row r="299" spans="1:24">
      <c r="A299" s="20" t="s">
        <v>424</v>
      </c>
      <c r="B299" s="22" t="s">
        <v>81</v>
      </c>
      <c r="G299" s="21"/>
      <c r="H299" s="23">
        <v>44069.849074074074</v>
      </c>
      <c r="I299" s="23" t="str">
        <f>_xlfn.IFNA(VLOOKUP(A299,A300:$H$3524,8,0),"")</f>
        <v/>
      </c>
      <c r="J299" s="40">
        <f t="shared" si="28"/>
        <v>0</v>
      </c>
      <c r="K299" s="24">
        <f t="shared" si="29"/>
        <v>0</v>
      </c>
      <c r="L299" s="25" t="str">
        <f t="shared" si="25"/>
        <v>Work Finished</v>
      </c>
      <c r="M299" s="43"/>
      <c r="N299" s="37"/>
      <c r="O299" s="33">
        <f t="shared" si="26"/>
        <v>0</v>
      </c>
      <c r="P299" s="33">
        <f t="shared" si="27"/>
        <v>20</v>
      </c>
      <c r="X299" s="1"/>
    </row>
    <row r="300" spans="1:24">
      <c r="A300" s="20" t="s">
        <v>419</v>
      </c>
      <c r="B300" s="22" t="s">
        <v>81</v>
      </c>
      <c r="G300" s="21"/>
      <c r="H300" s="23">
        <v>44069.850983796299</v>
      </c>
      <c r="I300" s="23" t="str">
        <f>_xlfn.IFNA(VLOOKUP(A300,A301:$H$3524,8,0),"")</f>
        <v/>
      </c>
      <c r="J300" s="40">
        <f t="shared" si="28"/>
        <v>0</v>
      </c>
      <c r="K300" s="24">
        <f t="shared" si="29"/>
        <v>0</v>
      </c>
      <c r="L300" s="25" t="str">
        <f t="shared" si="25"/>
        <v>Work Finished</v>
      </c>
      <c r="M300" s="43"/>
      <c r="N300" s="37"/>
      <c r="O300" s="33">
        <f t="shared" si="26"/>
        <v>0</v>
      </c>
      <c r="P300" s="33">
        <f t="shared" si="27"/>
        <v>20</v>
      </c>
      <c r="X300" s="1"/>
    </row>
    <row r="301" spans="1:24">
      <c r="A301" s="20" t="s">
        <v>422</v>
      </c>
      <c r="B301" s="22" t="s">
        <v>81</v>
      </c>
      <c r="G301" s="21"/>
      <c r="H301" s="23">
        <v>44069.851180555554</v>
      </c>
      <c r="I301" s="23" t="str">
        <f>_xlfn.IFNA(VLOOKUP(A301,A302:$H$3524,8,0),"")</f>
        <v/>
      </c>
      <c r="J301" s="40">
        <f t="shared" si="28"/>
        <v>0</v>
      </c>
      <c r="K301" s="24">
        <f t="shared" si="29"/>
        <v>0</v>
      </c>
      <c r="L301" s="25" t="str">
        <f t="shared" si="25"/>
        <v>Work Finished</v>
      </c>
      <c r="M301" s="43"/>
      <c r="N301" s="37"/>
      <c r="O301" s="33">
        <f t="shared" si="26"/>
        <v>0</v>
      </c>
      <c r="P301" s="33">
        <f t="shared" si="27"/>
        <v>20</v>
      </c>
      <c r="X301" s="1"/>
    </row>
    <row r="302" spans="1:24">
      <c r="A302" s="20" t="s">
        <v>423</v>
      </c>
      <c r="B302" s="22" t="s">
        <v>81</v>
      </c>
      <c r="G302" s="21"/>
      <c r="H302" s="23">
        <v>44069.851354166669</v>
      </c>
      <c r="I302" s="23" t="str">
        <f>_xlfn.IFNA(VLOOKUP(A302,A303:$H$3524,8,0),"")</f>
        <v/>
      </c>
      <c r="J302" s="40">
        <f t="shared" si="28"/>
        <v>0</v>
      </c>
      <c r="K302" s="24">
        <f t="shared" si="29"/>
        <v>0</v>
      </c>
      <c r="L302" s="25" t="str">
        <f t="shared" si="25"/>
        <v>Work Finished</v>
      </c>
      <c r="M302" s="43"/>
      <c r="N302" s="37"/>
      <c r="O302" s="33">
        <f t="shared" si="26"/>
        <v>0</v>
      </c>
      <c r="P302" s="33">
        <f t="shared" si="27"/>
        <v>20</v>
      </c>
      <c r="X302" s="1"/>
    </row>
    <row r="303" spans="1:24">
      <c r="A303" s="20" t="s">
        <v>421</v>
      </c>
      <c r="B303" s="22" t="s">
        <v>81</v>
      </c>
      <c r="G303" s="21"/>
      <c r="H303" s="23">
        <v>44069.851446759261</v>
      </c>
      <c r="I303" s="23" t="str">
        <f>_xlfn.IFNA(VLOOKUP(A303,A304:$H$3524,8,0),"")</f>
        <v/>
      </c>
      <c r="J303" s="40">
        <f t="shared" si="28"/>
        <v>0</v>
      </c>
      <c r="K303" s="24">
        <f t="shared" si="29"/>
        <v>0</v>
      </c>
      <c r="L303" s="25" t="str">
        <f t="shared" si="25"/>
        <v>Work Finished</v>
      </c>
      <c r="M303" s="43"/>
      <c r="N303" s="37"/>
      <c r="O303" s="33">
        <f t="shared" si="26"/>
        <v>0</v>
      </c>
      <c r="P303" s="33">
        <f t="shared" si="27"/>
        <v>20</v>
      </c>
      <c r="X303" s="1"/>
    </row>
    <row r="304" spans="1:24">
      <c r="A304" s="20" t="s">
        <v>254</v>
      </c>
      <c r="B304" s="22" t="s">
        <v>81</v>
      </c>
      <c r="G304" s="21"/>
      <c r="H304" s="23">
        <v>44069.851793981485</v>
      </c>
      <c r="I304" s="23" t="str">
        <f>_xlfn.IFNA(VLOOKUP(A304,A305:$H$3524,8,0),"")</f>
        <v/>
      </c>
      <c r="J304" s="40">
        <f t="shared" si="28"/>
        <v>0</v>
      </c>
      <c r="K304" s="24">
        <f t="shared" si="29"/>
        <v>0</v>
      </c>
      <c r="L304" s="25" t="str">
        <f t="shared" si="25"/>
        <v>Work Finished</v>
      </c>
      <c r="M304" s="43"/>
      <c r="N304" s="37"/>
      <c r="O304" s="33">
        <f t="shared" si="26"/>
        <v>0</v>
      </c>
      <c r="P304" s="33">
        <f t="shared" si="27"/>
        <v>20</v>
      </c>
      <c r="X304" s="1"/>
    </row>
    <row r="305" spans="1:24">
      <c r="A305" s="20" t="s">
        <v>426</v>
      </c>
      <c r="B305" s="22" t="s">
        <v>81</v>
      </c>
      <c r="G305" s="21"/>
      <c r="H305" s="23">
        <v>44069.85193287037</v>
      </c>
      <c r="I305" s="23" t="str">
        <f>_xlfn.IFNA(VLOOKUP(A305,A306:$H$3524,8,0),"")</f>
        <v/>
      </c>
      <c r="J305" s="40">
        <f t="shared" si="28"/>
        <v>0</v>
      </c>
      <c r="K305" s="24">
        <f t="shared" si="29"/>
        <v>0</v>
      </c>
      <c r="L305" s="25" t="str">
        <f t="shared" si="25"/>
        <v>Work Finished</v>
      </c>
      <c r="M305" s="43"/>
      <c r="N305" s="37"/>
      <c r="O305" s="33">
        <f t="shared" si="26"/>
        <v>0</v>
      </c>
      <c r="P305" s="33">
        <f t="shared" si="27"/>
        <v>20</v>
      </c>
      <c r="X305" s="1"/>
    </row>
    <row r="306" spans="1:24">
      <c r="A306" s="20" t="s">
        <v>440</v>
      </c>
      <c r="B306" s="22" t="s">
        <v>81</v>
      </c>
      <c r="G306" s="21"/>
      <c r="H306" s="23">
        <v>44069.852488425924</v>
      </c>
      <c r="I306" s="23" t="str">
        <f>_xlfn.IFNA(VLOOKUP(A306,A307:$H$3524,8,0),"")</f>
        <v/>
      </c>
      <c r="J306" s="40">
        <f t="shared" si="28"/>
        <v>0</v>
      </c>
      <c r="K306" s="24">
        <f t="shared" si="29"/>
        <v>0</v>
      </c>
      <c r="L306" s="25" t="str">
        <f t="shared" si="25"/>
        <v>Work Finished</v>
      </c>
      <c r="M306" s="43"/>
      <c r="N306" s="37"/>
      <c r="O306" s="33">
        <f t="shared" si="26"/>
        <v>0</v>
      </c>
      <c r="P306" s="33">
        <f t="shared" si="27"/>
        <v>20</v>
      </c>
      <c r="X306" s="1"/>
    </row>
    <row r="307" spans="1:24">
      <c r="A307" s="20" t="s">
        <v>420</v>
      </c>
      <c r="B307" s="22" t="s">
        <v>81</v>
      </c>
      <c r="G307" s="21"/>
      <c r="H307" s="23">
        <v>44069.852534722224</v>
      </c>
      <c r="I307" s="23" t="str">
        <f>_xlfn.IFNA(VLOOKUP(A307,A308:$H$3524,8,0),"")</f>
        <v/>
      </c>
      <c r="J307" s="40">
        <f t="shared" si="28"/>
        <v>0</v>
      </c>
      <c r="K307" s="24">
        <f t="shared" si="29"/>
        <v>0</v>
      </c>
      <c r="L307" s="25" t="str">
        <f t="shared" si="25"/>
        <v>Work Finished</v>
      </c>
      <c r="M307" s="43"/>
      <c r="N307" s="37"/>
      <c r="O307" s="33">
        <f t="shared" si="26"/>
        <v>0</v>
      </c>
      <c r="P307" s="33">
        <f t="shared" si="27"/>
        <v>20</v>
      </c>
      <c r="X307" s="1"/>
    </row>
    <row r="308" spans="1:24">
      <c r="A308" s="20" t="s">
        <v>255</v>
      </c>
      <c r="B308" s="22" t="s">
        <v>81</v>
      </c>
      <c r="G308" s="21"/>
      <c r="H308" s="23">
        <v>44069.852743055555</v>
      </c>
      <c r="I308" s="23" t="str">
        <f>_xlfn.IFNA(VLOOKUP(A308,A309:$H$3524,8,0),"")</f>
        <v/>
      </c>
      <c r="J308" s="40">
        <f t="shared" si="28"/>
        <v>0</v>
      </c>
      <c r="K308" s="24">
        <f t="shared" si="29"/>
        <v>0</v>
      </c>
      <c r="L308" s="25" t="str">
        <f t="shared" si="25"/>
        <v>Work Finished</v>
      </c>
      <c r="M308" s="43"/>
      <c r="N308" s="37"/>
      <c r="O308" s="33">
        <f t="shared" si="26"/>
        <v>0</v>
      </c>
      <c r="P308" s="33">
        <f t="shared" si="27"/>
        <v>20</v>
      </c>
      <c r="X308" s="1"/>
    </row>
    <row r="309" spans="1:24">
      <c r="A309" s="20" t="s">
        <v>427</v>
      </c>
      <c r="B309" s="22" t="s">
        <v>81</v>
      </c>
      <c r="G309" s="21"/>
      <c r="H309" s="23">
        <v>44069.852858796294</v>
      </c>
      <c r="I309" s="23" t="str">
        <f>_xlfn.IFNA(VLOOKUP(A309,A310:$H$3524,8,0),"")</f>
        <v/>
      </c>
      <c r="J309" s="40">
        <f t="shared" si="28"/>
        <v>0</v>
      </c>
      <c r="K309" s="24">
        <f t="shared" si="29"/>
        <v>0</v>
      </c>
      <c r="L309" s="25" t="str">
        <f t="shared" si="25"/>
        <v>Work Finished</v>
      </c>
      <c r="M309" s="43"/>
      <c r="N309" s="37"/>
      <c r="O309" s="33">
        <f t="shared" si="26"/>
        <v>0</v>
      </c>
      <c r="P309" s="33">
        <f t="shared" si="27"/>
        <v>20</v>
      </c>
      <c r="X309" s="1"/>
    </row>
    <row r="310" spans="1:24">
      <c r="A310" s="20" t="s">
        <v>257</v>
      </c>
      <c r="B310" s="22" t="s">
        <v>81</v>
      </c>
      <c r="G310" s="21"/>
      <c r="H310" s="23">
        <v>44069.853981481479</v>
      </c>
      <c r="I310" s="23" t="str">
        <f>_xlfn.IFNA(VLOOKUP(A310,A311:$H$3524,8,0),"")</f>
        <v/>
      </c>
      <c r="J310" s="40">
        <f t="shared" si="28"/>
        <v>0</v>
      </c>
      <c r="K310" s="24">
        <f t="shared" si="29"/>
        <v>0</v>
      </c>
      <c r="L310" s="25" t="str">
        <f t="shared" si="25"/>
        <v>Work Finished</v>
      </c>
      <c r="M310" s="43"/>
      <c r="N310" s="37"/>
      <c r="O310" s="33">
        <f t="shared" si="26"/>
        <v>0</v>
      </c>
      <c r="P310" s="33">
        <f t="shared" si="27"/>
        <v>20</v>
      </c>
      <c r="X310" s="1"/>
    </row>
    <row r="311" spans="1:24">
      <c r="A311" s="20" t="s">
        <v>437</v>
      </c>
      <c r="B311" s="22" t="s">
        <v>81</v>
      </c>
      <c r="G311" s="21"/>
      <c r="H311" s="23">
        <v>44069.854259259257</v>
      </c>
      <c r="I311" s="23" t="str">
        <f>_xlfn.IFNA(VLOOKUP(A311,A312:$H$3524,8,0),"")</f>
        <v/>
      </c>
      <c r="J311" s="40">
        <f t="shared" si="28"/>
        <v>0</v>
      </c>
      <c r="K311" s="24">
        <f t="shared" si="29"/>
        <v>0</v>
      </c>
      <c r="L311" s="25" t="str">
        <f t="shared" ref="L311:L374" si="30">IF(K311="","",IF(B311="Break","Break",IF(K311&lt;&gt;0,"Work Finished",IF(B311="OFF","Work Finished",IF(I311="","Working","Work Finished")))))</f>
        <v>Work Finished</v>
      </c>
      <c r="M311" s="43"/>
      <c r="N311" s="37"/>
      <c r="O311" s="33">
        <f t="shared" ref="O311:O374" si="31">IF(AND(J311="",M311="",N311=""),"",J311-M311-N311)</f>
        <v>0</v>
      </c>
      <c r="P311" s="33">
        <f t="shared" ref="P311:P374" si="32">IF(HOUR(H311)=0,"",HOUR(H311))</f>
        <v>20</v>
      </c>
      <c r="X311" s="1"/>
    </row>
    <row r="312" spans="1:24">
      <c r="A312" s="20" t="s">
        <v>442</v>
      </c>
      <c r="B312" s="22" t="s">
        <v>81</v>
      </c>
      <c r="G312" s="21"/>
      <c r="H312" s="23">
        <v>44069.856354166666</v>
      </c>
      <c r="I312" s="23" t="str">
        <f>_xlfn.IFNA(VLOOKUP(A312,A313:$H$3524,8,0),"")</f>
        <v/>
      </c>
      <c r="J312" s="40">
        <f t="shared" si="28"/>
        <v>0</v>
      </c>
      <c r="K312" s="24">
        <f t="shared" si="29"/>
        <v>0</v>
      </c>
      <c r="L312" s="25" t="str">
        <f t="shared" si="30"/>
        <v>Work Finished</v>
      </c>
      <c r="M312" s="43"/>
      <c r="N312" s="37"/>
      <c r="O312" s="33">
        <f t="shared" si="31"/>
        <v>0</v>
      </c>
      <c r="P312" s="33">
        <f t="shared" si="32"/>
        <v>20</v>
      </c>
      <c r="X312" s="1"/>
    </row>
    <row r="313" spans="1:24">
      <c r="A313" s="20" t="s">
        <v>414</v>
      </c>
      <c r="B313" s="22" t="s">
        <v>81</v>
      </c>
      <c r="G313" s="21"/>
      <c r="H313" s="23">
        <v>44069.856446759259</v>
      </c>
      <c r="I313" s="23" t="str">
        <f>_xlfn.IFNA(VLOOKUP(A313,A314:$H$3524,8,0),"")</f>
        <v/>
      </c>
      <c r="J313" s="40">
        <f t="shared" si="28"/>
        <v>0</v>
      </c>
      <c r="K313" s="24">
        <f t="shared" si="29"/>
        <v>0</v>
      </c>
      <c r="L313" s="25" t="str">
        <f t="shared" si="30"/>
        <v>Work Finished</v>
      </c>
      <c r="M313" s="43"/>
      <c r="N313" s="37"/>
      <c r="O313" s="33">
        <f t="shared" si="31"/>
        <v>0</v>
      </c>
      <c r="P313" s="33">
        <f t="shared" si="32"/>
        <v>20</v>
      </c>
      <c r="X313" s="1"/>
    </row>
    <row r="314" spans="1:24">
      <c r="A314" s="20" t="s">
        <v>425</v>
      </c>
      <c r="B314" s="22" t="s">
        <v>81</v>
      </c>
      <c r="G314" s="21"/>
      <c r="H314" s="23">
        <v>44069.856886574074</v>
      </c>
      <c r="I314" s="23" t="str">
        <f>_xlfn.IFNA(VLOOKUP(A314,A315:$H$3524,8,0),"")</f>
        <v/>
      </c>
      <c r="J314" s="40">
        <f t="shared" si="28"/>
        <v>0</v>
      </c>
      <c r="K314" s="24">
        <f t="shared" si="29"/>
        <v>0</v>
      </c>
      <c r="L314" s="25" t="str">
        <f t="shared" si="30"/>
        <v>Work Finished</v>
      </c>
      <c r="M314" s="43"/>
      <c r="N314" s="37"/>
      <c r="O314" s="33">
        <f t="shared" si="31"/>
        <v>0</v>
      </c>
      <c r="P314" s="33">
        <f t="shared" si="32"/>
        <v>20</v>
      </c>
      <c r="X314" s="1"/>
    </row>
    <row r="315" spans="1:24">
      <c r="A315" s="20" t="s">
        <v>428</v>
      </c>
      <c r="B315" s="22" t="s">
        <v>81</v>
      </c>
      <c r="G315" s="21"/>
      <c r="H315" s="23">
        <v>44069.85796296296</v>
      </c>
      <c r="I315" s="23" t="str">
        <f>_xlfn.IFNA(VLOOKUP(A315,A316:$H$3524,8,0),"")</f>
        <v/>
      </c>
      <c r="J315" s="40">
        <f t="shared" si="28"/>
        <v>0</v>
      </c>
      <c r="K315" s="24">
        <f t="shared" si="29"/>
        <v>0</v>
      </c>
      <c r="L315" s="25" t="str">
        <f t="shared" si="30"/>
        <v>Work Finished</v>
      </c>
      <c r="M315" s="43"/>
      <c r="N315" s="37"/>
      <c r="O315" s="33">
        <f t="shared" si="31"/>
        <v>0</v>
      </c>
      <c r="P315" s="33">
        <f t="shared" si="32"/>
        <v>20</v>
      </c>
      <c r="X315" s="1"/>
    </row>
    <row r="316" spans="1:24">
      <c r="A316" s="20" t="s">
        <v>410</v>
      </c>
      <c r="B316" s="22" t="s">
        <v>81</v>
      </c>
      <c r="G316" s="21"/>
      <c r="H316" s="23">
        <v>44069.864016203705</v>
      </c>
      <c r="I316" s="23" t="str">
        <f>_xlfn.IFNA(VLOOKUP(A316,A317:$H$3524,8,0),"")</f>
        <v/>
      </c>
      <c r="J316" s="40">
        <f t="shared" si="28"/>
        <v>0</v>
      </c>
      <c r="K316" s="24">
        <f t="shared" si="29"/>
        <v>0</v>
      </c>
      <c r="L316" s="25" t="str">
        <f t="shared" si="30"/>
        <v>Work Finished</v>
      </c>
      <c r="M316" s="43"/>
      <c r="N316" s="37"/>
      <c r="O316" s="33">
        <f t="shared" si="31"/>
        <v>0</v>
      </c>
      <c r="P316" s="33">
        <f t="shared" si="32"/>
        <v>20</v>
      </c>
      <c r="X316" s="1"/>
    </row>
    <row r="317" spans="1:24">
      <c r="G317" s="21"/>
      <c r="H317" s="23"/>
      <c r="I317" s="23" t="str">
        <f>_xlfn.IFNA(VLOOKUP(A317,A318:$H$3524,8,0),"")</f>
        <v/>
      </c>
      <c r="J317" s="40" t="str">
        <f t="shared" si="28"/>
        <v/>
      </c>
      <c r="K317" s="24" t="str">
        <f t="shared" si="29"/>
        <v/>
      </c>
      <c r="L317" s="25" t="str">
        <f t="shared" si="30"/>
        <v/>
      </c>
      <c r="M317" s="43"/>
      <c r="N317" s="37"/>
      <c r="O317" s="33" t="str">
        <f t="shared" si="31"/>
        <v/>
      </c>
      <c r="P317" s="33" t="str">
        <f t="shared" si="32"/>
        <v/>
      </c>
      <c r="X317" s="1"/>
    </row>
    <row r="318" spans="1:24">
      <c r="G318" s="21"/>
      <c r="H318" s="23"/>
      <c r="I318" s="23" t="str">
        <f>_xlfn.IFNA(VLOOKUP(A318,A319:$H$3524,8,0),"")</f>
        <v/>
      </c>
      <c r="J318" s="40" t="str">
        <f t="shared" si="28"/>
        <v/>
      </c>
      <c r="K318" s="24" t="str">
        <f t="shared" si="29"/>
        <v/>
      </c>
      <c r="L318" s="25" t="str">
        <f t="shared" si="30"/>
        <v/>
      </c>
      <c r="M318" s="43"/>
      <c r="N318" s="37"/>
      <c r="O318" s="33" t="str">
        <f t="shared" si="31"/>
        <v/>
      </c>
      <c r="P318" s="33" t="str">
        <f t="shared" si="32"/>
        <v/>
      </c>
      <c r="X318" s="1"/>
    </row>
    <row r="319" spans="1:24">
      <c r="G319" s="21"/>
      <c r="H319" s="23"/>
      <c r="I319" s="23" t="str">
        <f>_xlfn.IFNA(VLOOKUP(A319,A320:$H$3524,8,0),"")</f>
        <v/>
      </c>
      <c r="J319" s="40" t="str">
        <f t="shared" si="28"/>
        <v/>
      </c>
      <c r="K319" s="24" t="str">
        <f t="shared" si="29"/>
        <v/>
      </c>
      <c r="L319" s="25" t="str">
        <f t="shared" si="30"/>
        <v/>
      </c>
      <c r="M319" s="43"/>
      <c r="N319" s="37"/>
      <c r="O319" s="33" t="str">
        <f t="shared" si="31"/>
        <v/>
      </c>
      <c r="P319" s="33" t="str">
        <f t="shared" si="32"/>
        <v/>
      </c>
      <c r="X319" s="1"/>
    </row>
    <row r="320" spans="1:24">
      <c r="G320" s="21"/>
      <c r="H320" s="23"/>
      <c r="I320" s="23" t="str">
        <f>_xlfn.IFNA(VLOOKUP(A320,A321:$H$3524,8,0),"")</f>
        <v/>
      </c>
      <c r="J320" s="40" t="str">
        <f t="shared" si="28"/>
        <v/>
      </c>
      <c r="K320" s="24" t="str">
        <f t="shared" si="29"/>
        <v/>
      </c>
      <c r="L320" s="25" t="str">
        <f t="shared" si="30"/>
        <v/>
      </c>
      <c r="M320" s="43"/>
      <c r="N320" s="37"/>
      <c r="O320" s="33" t="str">
        <f t="shared" si="31"/>
        <v/>
      </c>
      <c r="P320" s="33" t="str">
        <f t="shared" si="32"/>
        <v/>
      </c>
      <c r="X320" s="1"/>
    </row>
    <row r="321" spans="7:24">
      <c r="G321" s="21"/>
      <c r="H321" s="23"/>
      <c r="I321" s="23" t="str">
        <f>_xlfn.IFNA(VLOOKUP(A321,A322:$H$3524,8,0),"")</f>
        <v/>
      </c>
      <c r="J321" s="40" t="str">
        <f t="shared" si="28"/>
        <v/>
      </c>
      <c r="K321" s="24" t="str">
        <f t="shared" si="29"/>
        <v/>
      </c>
      <c r="L321" s="25" t="str">
        <f t="shared" si="30"/>
        <v/>
      </c>
      <c r="M321" s="43"/>
      <c r="N321" s="37"/>
      <c r="O321" s="33" t="str">
        <f t="shared" si="31"/>
        <v/>
      </c>
      <c r="P321" s="33" t="str">
        <f t="shared" si="32"/>
        <v/>
      </c>
      <c r="X321" s="1"/>
    </row>
    <row r="322" spans="7:24">
      <c r="G322" s="21"/>
      <c r="H322" s="23"/>
      <c r="I322" s="23" t="str">
        <f>_xlfn.IFNA(VLOOKUP(A322,A323:$H$3524,8,0),"")</f>
        <v/>
      </c>
      <c r="J322" s="40" t="str">
        <f t="shared" si="28"/>
        <v/>
      </c>
      <c r="K322" s="24" t="str">
        <f t="shared" si="29"/>
        <v/>
      </c>
      <c r="L322" s="25" t="str">
        <f t="shared" si="30"/>
        <v/>
      </c>
      <c r="M322" s="43"/>
      <c r="N322" s="37"/>
      <c r="O322" s="33" t="str">
        <f t="shared" si="31"/>
        <v/>
      </c>
      <c r="P322" s="33" t="str">
        <f t="shared" si="32"/>
        <v/>
      </c>
      <c r="X322" s="1"/>
    </row>
    <row r="323" spans="7:24">
      <c r="G323" s="21"/>
      <c r="H323" s="23"/>
      <c r="I323" s="23" t="str">
        <f>_xlfn.IFNA(VLOOKUP(A323,A324:$H$3524,8,0),"")</f>
        <v/>
      </c>
      <c r="J323" s="40" t="str">
        <f t="shared" si="28"/>
        <v/>
      </c>
      <c r="K323" s="24" t="str">
        <f t="shared" si="29"/>
        <v/>
      </c>
      <c r="L323" s="25" t="str">
        <f t="shared" si="30"/>
        <v/>
      </c>
      <c r="M323" s="43"/>
      <c r="N323" s="37"/>
      <c r="O323" s="33" t="str">
        <f t="shared" si="31"/>
        <v/>
      </c>
      <c r="P323" s="33" t="str">
        <f t="shared" si="32"/>
        <v/>
      </c>
      <c r="X323" s="1"/>
    </row>
    <row r="324" spans="7:24">
      <c r="G324" s="21"/>
      <c r="H324" s="23"/>
      <c r="I324" s="23" t="str">
        <f>_xlfn.IFNA(VLOOKUP(A324,A325:$H$3524,8,0),"")</f>
        <v/>
      </c>
      <c r="J324" s="40" t="str">
        <f t="shared" si="28"/>
        <v/>
      </c>
      <c r="K324" s="24" t="str">
        <f t="shared" si="29"/>
        <v/>
      </c>
      <c r="L324" s="25" t="str">
        <f t="shared" si="30"/>
        <v/>
      </c>
      <c r="M324" s="43"/>
      <c r="N324" s="37"/>
      <c r="O324" s="33" t="str">
        <f t="shared" si="31"/>
        <v/>
      </c>
      <c r="P324" s="33" t="str">
        <f t="shared" si="32"/>
        <v/>
      </c>
      <c r="X324" s="1"/>
    </row>
    <row r="325" spans="7:24">
      <c r="G325" s="21"/>
      <c r="H325" s="23"/>
      <c r="I325" s="23" t="str">
        <f>_xlfn.IFNA(VLOOKUP(A325,A326:$H$3524,8,0),"")</f>
        <v/>
      </c>
      <c r="J325" s="40" t="str">
        <f t="shared" si="28"/>
        <v/>
      </c>
      <c r="K325" s="24" t="str">
        <f t="shared" si="29"/>
        <v/>
      </c>
      <c r="L325" s="25" t="str">
        <f t="shared" si="30"/>
        <v/>
      </c>
      <c r="M325" s="43"/>
      <c r="N325" s="37"/>
      <c r="O325" s="33" t="str">
        <f t="shared" si="31"/>
        <v/>
      </c>
      <c r="P325" s="33" t="str">
        <f t="shared" si="32"/>
        <v/>
      </c>
      <c r="X325" s="1"/>
    </row>
    <row r="326" spans="7:24">
      <c r="G326" s="21"/>
      <c r="H326" s="23"/>
      <c r="I326" s="23" t="str">
        <f>_xlfn.IFNA(VLOOKUP(A326,A327:$H$3524,8,0),"")</f>
        <v/>
      </c>
      <c r="J326" s="40" t="str">
        <f t="shared" ref="J326:J389" si="33">IF(B326="OFF",0,IF(AND(D326&lt;&gt;"",E326&lt;&gt;""),E326-D326+1,""))</f>
        <v/>
      </c>
      <c r="K326" s="24" t="str">
        <f t="shared" si="29"/>
        <v/>
      </c>
      <c r="L326" s="25" t="str">
        <f t="shared" si="30"/>
        <v/>
      </c>
      <c r="M326" s="43"/>
      <c r="N326" s="37"/>
      <c r="O326" s="33" t="str">
        <f t="shared" si="31"/>
        <v/>
      </c>
      <c r="P326" s="33" t="str">
        <f t="shared" si="32"/>
        <v/>
      </c>
      <c r="X326" s="1"/>
    </row>
    <row r="327" spans="7:24">
      <c r="G327" s="21"/>
      <c r="H327" s="23"/>
      <c r="I327" s="23" t="str">
        <f>_xlfn.IFNA(VLOOKUP(A327,A328:$H$3524,8,0),"")</f>
        <v/>
      </c>
      <c r="J327" s="40" t="str">
        <f t="shared" si="33"/>
        <v/>
      </c>
      <c r="K327" s="24" t="str">
        <f t="shared" si="29"/>
        <v/>
      </c>
      <c r="L327" s="25" t="str">
        <f t="shared" si="30"/>
        <v/>
      </c>
      <c r="M327" s="43"/>
      <c r="N327" s="37"/>
      <c r="O327" s="33" t="str">
        <f t="shared" si="31"/>
        <v/>
      </c>
      <c r="P327" s="33" t="str">
        <f t="shared" si="32"/>
        <v/>
      </c>
      <c r="X327" s="1"/>
    </row>
    <row r="328" spans="7:24">
      <c r="G328" s="21"/>
      <c r="H328" s="23"/>
      <c r="I328" s="23" t="str">
        <f>_xlfn.IFNA(VLOOKUP(A328,A329:$H$3524,8,0),"")</f>
        <v/>
      </c>
      <c r="J328" s="40" t="str">
        <f t="shared" si="33"/>
        <v/>
      </c>
      <c r="K328" s="24" t="str">
        <f t="shared" si="29"/>
        <v/>
      </c>
      <c r="L328" s="25" t="str">
        <f t="shared" si="30"/>
        <v/>
      </c>
      <c r="M328" s="43"/>
      <c r="N328" s="37"/>
      <c r="O328" s="33" t="str">
        <f t="shared" si="31"/>
        <v/>
      </c>
      <c r="P328" s="33" t="str">
        <f t="shared" si="32"/>
        <v/>
      </c>
      <c r="X328" s="1"/>
    </row>
    <row r="329" spans="7:24">
      <c r="G329" s="21"/>
      <c r="H329" s="23"/>
      <c r="I329" s="23" t="str">
        <f>_xlfn.IFNA(VLOOKUP(A329,A330:$H$3524,8,0),"")</f>
        <v/>
      </c>
      <c r="J329" s="40" t="str">
        <f t="shared" si="33"/>
        <v/>
      </c>
      <c r="K329" s="24" t="str">
        <f t="shared" si="29"/>
        <v/>
      </c>
      <c r="L329" s="25" t="str">
        <f t="shared" si="30"/>
        <v/>
      </c>
      <c r="M329" s="43"/>
      <c r="N329" s="37"/>
      <c r="O329" s="33" t="str">
        <f t="shared" si="31"/>
        <v/>
      </c>
      <c r="P329" s="33" t="str">
        <f t="shared" si="32"/>
        <v/>
      </c>
      <c r="X329" s="1"/>
    </row>
    <row r="330" spans="7:24">
      <c r="G330" s="21"/>
      <c r="H330" s="23"/>
      <c r="I330" s="23" t="str">
        <f>_xlfn.IFNA(VLOOKUP(A330,A331:$H$3524,8,0),"")</f>
        <v/>
      </c>
      <c r="J330" s="40" t="str">
        <f t="shared" si="33"/>
        <v/>
      </c>
      <c r="K330" s="24" t="str">
        <f t="shared" si="29"/>
        <v/>
      </c>
      <c r="L330" s="25" t="str">
        <f t="shared" si="30"/>
        <v/>
      </c>
      <c r="M330" s="43"/>
      <c r="N330" s="37"/>
      <c r="O330" s="33" t="str">
        <f t="shared" si="31"/>
        <v/>
      </c>
      <c r="P330" s="33" t="str">
        <f t="shared" si="32"/>
        <v/>
      </c>
      <c r="X330" s="1"/>
    </row>
    <row r="331" spans="7:24">
      <c r="G331" s="21"/>
      <c r="H331" s="23"/>
      <c r="I331" s="23" t="str">
        <f>_xlfn.IFNA(VLOOKUP(A331,A332:$H$3524,8,0),"")</f>
        <v/>
      </c>
      <c r="J331" s="40" t="str">
        <f t="shared" si="33"/>
        <v/>
      </c>
      <c r="K331" s="24" t="str">
        <f t="shared" si="29"/>
        <v/>
      </c>
      <c r="L331" s="25" t="str">
        <f t="shared" si="30"/>
        <v/>
      </c>
      <c r="M331" s="43"/>
      <c r="N331" s="37"/>
      <c r="O331" s="33" t="str">
        <f t="shared" si="31"/>
        <v/>
      </c>
      <c r="P331" s="33" t="str">
        <f t="shared" si="32"/>
        <v/>
      </c>
      <c r="X331" s="1"/>
    </row>
    <row r="332" spans="7:24">
      <c r="G332" s="21"/>
      <c r="H332" s="23"/>
      <c r="I332" s="23" t="str">
        <f>_xlfn.IFNA(VLOOKUP(A332,A333:$H$3524,8,0),"")</f>
        <v/>
      </c>
      <c r="J332" s="40" t="str">
        <f t="shared" si="33"/>
        <v/>
      </c>
      <c r="K332" s="24" t="str">
        <f t="shared" si="29"/>
        <v/>
      </c>
      <c r="L332" s="25" t="str">
        <f t="shared" si="30"/>
        <v/>
      </c>
      <c r="M332" s="43"/>
      <c r="N332" s="37"/>
      <c r="O332" s="33" t="str">
        <f t="shared" si="31"/>
        <v/>
      </c>
      <c r="P332" s="33" t="str">
        <f t="shared" si="32"/>
        <v/>
      </c>
      <c r="X332" s="1"/>
    </row>
    <row r="333" spans="7:24">
      <c r="G333" s="21"/>
      <c r="H333" s="23"/>
      <c r="I333" s="23" t="str">
        <f>_xlfn.IFNA(VLOOKUP(A333,A334:$H$3524,8,0),"")</f>
        <v/>
      </c>
      <c r="J333" s="40" t="str">
        <f t="shared" si="33"/>
        <v/>
      </c>
      <c r="K333" s="24" t="str">
        <f t="shared" si="29"/>
        <v/>
      </c>
      <c r="L333" s="25" t="str">
        <f t="shared" si="30"/>
        <v/>
      </c>
      <c r="M333" s="43"/>
      <c r="N333" s="37"/>
      <c r="O333" s="33" t="str">
        <f t="shared" si="31"/>
        <v/>
      </c>
      <c r="P333" s="33" t="str">
        <f t="shared" si="32"/>
        <v/>
      </c>
      <c r="X333" s="1"/>
    </row>
    <row r="334" spans="7:24">
      <c r="G334" s="21"/>
      <c r="H334" s="23"/>
      <c r="I334" s="23" t="str">
        <f>_xlfn.IFNA(VLOOKUP(A334,A335:$H$3524,8,0),"")</f>
        <v/>
      </c>
      <c r="J334" s="40" t="str">
        <f t="shared" si="33"/>
        <v/>
      </c>
      <c r="K334" s="24" t="str">
        <f t="shared" si="29"/>
        <v/>
      </c>
      <c r="L334" s="25" t="str">
        <f t="shared" si="30"/>
        <v/>
      </c>
      <c r="M334" s="43"/>
      <c r="N334" s="37"/>
      <c r="O334" s="33" t="str">
        <f t="shared" si="31"/>
        <v/>
      </c>
      <c r="P334" s="33" t="str">
        <f t="shared" si="32"/>
        <v/>
      </c>
      <c r="X334" s="1"/>
    </row>
    <row r="335" spans="7:24">
      <c r="G335" s="21"/>
      <c r="H335" s="23"/>
      <c r="I335" s="23" t="str">
        <f>_xlfn.IFNA(VLOOKUP(A335,A336:$H$3524,8,0),"")</f>
        <v/>
      </c>
      <c r="J335" s="40" t="str">
        <f t="shared" si="33"/>
        <v/>
      </c>
      <c r="K335" s="24" t="str">
        <f t="shared" si="29"/>
        <v/>
      </c>
      <c r="L335" s="25" t="str">
        <f t="shared" si="30"/>
        <v/>
      </c>
      <c r="M335" s="43"/>
      <c r="N335" s="37"/>
      <c r="O335" s="33" t="str">
        <f t="shared" si="31"/>
        <v/>
      </c>
      <c r="P335" s="33" t="str">
        <f t="shared" si="32"/>
        <v/>
      </c>
      <c r="X335" s="1"/>
    </row>
    <row r="336" spans="7:24">
      <c r="G336" s="21"/>
      <c r="H336" s="23"/>
      <c r="I336" s="23" t="str">
        <f>_xlfn.IFNA(VLOOKUP(A336,A337:$H$3524,8,0),"")</f>
        <v/>
      </c>
      <c r="J336" s="40" t="str">
        <f t="shared" si="33"/>
        <v/>
      </c>
      <c r="K336" s="24" t="str">
        <f t="shared" si="29"/>
        <v/>
      </c>
      <c r="L336" s="25" t="str">
        <f t="shared" si="30"/>
        <v/>
      </c>
      <c r="M336" s="43"/>
      <c r="N336" s="37"/>
      <c r="O336" s="33" t="str">
        <f t="shared" si="31"/>
        <v/>
      </c>
      <c r="P336" s="33" t="str">
        <f t="shared" si="32"/>
        <v/>
      </c>
      <c r="X336" s="1"/>
    </row>
    <row r="337" spans="7:24">
      <c r="G337" s="21"/>
      <c r="H337" s="23"/>
      <c r="I337" s="23" t="str">
        <f>_xlfn.IFNA(VLOOKUP(A337,A338:$H$3524,8,0),"")</f>
        <v/>
      </c>
      <c r="J337" s="40" t="str">
        <f t="shared" si="33"/>
        <v/>
      </c>
      <c r="K337" s="24" t="str">
        <f t="shared" si="29"/>
        <v/>
      </c>
      <c r="L337" s="25" t="str">
        <f t="shared" si="30"/>
        <v/>
      </c>
      <c r="M337" s="43"/>
      <c r="N337" s="37"/>
      <c r="O337" s="33" t="str">
        <f t="shared" si="31"/>
        <v/>
      </c>
      <c r="P337" s="33" t="str">
        <f t="shared" si="32"/>
        <v/>
      </c>
      <c r="X337" s="1"/>
    </row>
    <row r="338" spans="7:24">
      <c r="G338" s="21"/>
      <c r="H338" s="23"/>
      <c r="I338" s="23" t="str">
        <f>_xlfn.IFNA(VLOOKUP(A338,A339:$H$3524,8,0),"")</f>
        <v/>
      </c>
      <c r="J338" s="40" t="str">
        <f t="shared" si="33"/>
        <v/>
      </c>
      <c r="K338" s="24" t="str">
        <f t="shared" si="29"/>
        <v/>
      </c>
      <c r="L338" s="25" t="str">
        <f t="shared" si="30"/>
        <v/>
      </c>
      <c r="M338" s="43"/>
      <c r="N338" s="37"/>
      <c r="O338" s="33" t="str">
        <f t="shared" si="31"/>
        <v/>
      </c>
      <c r="P338" s="33" t="str">
        <f t="shared" si="32"/>
        <v/>
      </c>
      <c r="X338" s="1"/>
    </row>
    <row r="339" spans="7:24">
      <c r="G339" s="21"/>
      <c r="H339" s="23"/>
      <c r="I339" s="23" t="str">
        <f>_xlfn.IFNA(VLOOKUP(A339,A340:$H$3524,8,0),"")</f>
        <v/>
      </c>
      <c r="J339" s="40" t="str">
        <f t="shared" si="33"/>
        <v/>
      </c>
      <c r="K339" s="24" t="str">
        <f t="shared" si="29"/>
        <v/>
      </c>
      <c r="L339" s="25" t="str">
        <f t="shared" si="30"/>
        <v/>
      </c>
      <c r="M339" s="43"/>
      <c r="N339" s="37"/>
      <c r="O339" s="33" t="str">
        <f t="shared" si="31"/>
        <v/>
      </c>
      <c r="P339" s="33" t="str">
        <f t="shared" si="32"/>
        <v/>
      </c>
      <c r="X339" s="1"/>
    </row>
    <row r="340" spans="7:24">
      <c r="G340" s="21"/>
      <c r="H340" s="23"/>
      <c r="I340" s="23" t="str">
        <f>_xlfn.IFNA(VLOOKUP(A340,A341:$H$3524,8,0),"")</f>
        <v/>
      </c>
      <c r="J340" s="40" t="str">
        <f t="shared" si="33"/>
        <v/>
      </c>
      <c r="K340" s="24" t="str">
        <f t="shared" ref="K340:K403" si="34">IF(H340="","",IFERROR((I340-H340)*24,0))</f>
        <v/>
      </c>
      <c r="L340" s="25" t="str">
        <f t="shared" si="30"/>
        <v/>
      </c>
      <c r="M340" s="43"/>
      <c r="N340" s="37"/>
      <c r="O340" s="33" t="str">
        <f t="shared" si="31"/>
        <v/>
      </c>
      <c r="P340" s="33" t="str">
        <f t="shared" si="32"/>
        <v/>
      </c>
      <c r="X340" s="1"/>
    </row>
    <row r="341" spans="7:24">
      <c r="G341" s="21"/>
      <c r="H341" s="23"/>
      <c r="I341" s="23" t="str">
        <f>_xlfn.IFNA(VLOOKUP(A341,A342:$H$3524,8,0),"")</f>
        <v/>
      </c>
      <c r="J341" s="40" t="str">
        <f t="shared" si="33"/>
        <v/>
      </c>
      <c r="K341" s="24" t="str">
        <f t="shared" si="34"/>
        <v/>
      </c>
      <c r="L341" s="25" t="str">
        <f t="shared" si="30"/>
        <v/>
      </c>
      <c r="M341" s="43"/>
      <c r="N341" s="37"/>
      <c r="O341" s="33" t="str">
        <f t="shared" si="31"/>
        <v/>
      </c>
      <c r="P341" s="33" t="str">
        <f t="shared" si="32"/>
        <v/>
      </c>
      <c r="X341" s="1"/>
    </row>
    <row r="342" spans="7:24">
      <c r="G342" s="21"/>
      <c r="H342" s="23"/>
      <c r="I342" s="23" t="str">
        <f>_xlfn.IFNA(VLOOKUP(A342,A343:$H$3524,8,0),"")</f>
        <v/>
      </c>
      <c r="J342" s="40" t="str">
        <f t="shared" si="33"/>
        <v/>
      </c>
      <c r="K342" s="24" t="str">
        <f t="shared" si="34"/>
        <v/>
      </c>
      <c r="L342" s="25" t="str">
        <f t="shared" si="30"/>
        <v/>
      </c>
      <c r="M342" s="43"/>
      <c r="N342" s="37"/>
      <c r="O342" s="33" t="str">
        <f t="shared" si="31"/>
        <v/>
      </c>
      <c r="P342" s="33" t="str">
        <f t="shared" si="32"/>
        <v/>
      </c>
      <c r="X342" s="1"/>
    </row>
    <row r="343" spans="7:24">
      <c r="G343" s="21"/>
      <c r="H343" s="23"/>
      <c r="I343" s="23" t="str">
        <f>_xlfn.IFNA(VLOOKUP(A343,A344:$H$3524,8,0),"")</f>
        <v/>
      </c>
      <c r="J343" s="40" t="str">
        <f t="shared" si="33"/>
        <v/>
      </c>
      <c r="K343" s="24" t="str">
        <f t="shared" si="34"/>
        <v/>
      </c>
      <c r="L343" s="25" t="str">
        <f t="shared" si="30"/>
        <v/>
      </c>
      <c r="M343" s="43"/>
      <c r="N343" s="37"/>
      <c r="O343" s="33" t="str">
        <f t="shared" si="31"/>
        <v/>
      </c>
      <c r="P343" s="33" t="str">
        <f t="shared" si="32"/>
        <v/>
      </c>
      <c r="X343" s="1"/>
    </row>
    <row r="344" spans="7:24">
      <c r="G344" s="21"/>
      <c r="H344" s="23"/>
      <c r="I344" s="23" t="str">
        <f>_xlfn.IFNA(VLOOKUP(A344,A345:$H$3524,8,0),"")</f>
        <v/>
      </c>
      <c r="J344" s="40" t="str">
        <f t="shared" si="33"/>
        <v/>
      </c>
      <c r="K344" s="24" t="str">
        <f t="shared" si="34"/>
        <v/>
      </c>
      <c r="L344" s="25" t="str">
        <f t="shared" si="30"/>
        <v/>
      </c>
      <c r="M344" s="43"/>
      <c r="N344" s="37"/>
      <c r="O344" s="33" t="str">
        <f t="shared" si="31"/>
        <v/>
      </c>
      <c r="P344" s="33" t="str">
        <f t="shared" si="32"/>
        <v/>
      </c>
      <c r="X344" s="1"/>
    </row>
    <row r="345" spans="7:24">
      <c r="G345" s="21"/>
      <c r="H345" s="23"/>
      <c r="I345" s="23" t="str">
        <f>_xlfn.IFNA(VLOOKUP(A345,A346:$H$3524,8,0),"")</f>
        <v/>
      </c>
      <c r="J345" s="40" t="str">
        <f t="shared" si="33"/>
        <v/>
      </c>
      <c r="K345" s="24" t="str">
        <f t="shared" si="34"/>
        <v/>
      </c>
      <c r="L345" s="25" t="str">
        <f t="shared" si="30"/>
        <v/>
      </c>
      <c r="M345" s="43"/>
      <c r="N345" s="37"/>
      <c r="O345" s="33" t="str">
        <f t="shared" si="31"/>
        <v/>
      </c>
      <c r="P345" s="33" t="str">
        <f t="shared" si="32"/>
        <v/>
      </c>
      <c r="X345" s="1"/>
    </row>
    <row r="346" spans="7:24">
      <c r="G346" s="21"/>
      <c r="H346" s="23"/>
      <c r="I346" s="23" t="str">
        <f>_xlfn.IFNA(VLOOKUP(A346,A347:$H$3524,8,0),"")</f>
        <v/>
      </c>
      <c r="J346" s="40" t="str">
        <f t="shared" si="33"/>
        <v/>
      </c>
      <c r="K346" s="24" t="str">
        <f t="shared" si="34"/>
        <v/>
      </c>
      <c r="L346" s="25" t="str">
        <f t="shared" si="30"/>
        <v/>
      </c>
      <c r="M346" s="43"/>
      <c r="N346" s="37"/>
      <c r="O346" s="33" t="str">
        <f t="shared" si="31"/>
        <v/>
      </c>
      <c r="P346" s="33" t="str">
        <f t="shared" si="32"/>
        <v/>
      </c>
      <c r="X346" s="1"/>
    </row>
    <row r="347" spans="7:24">
      <c r="G347" s="21"/>
      <c r="H347" s="23"/>
      <c r="I347" s="23" t="str">
        <f>_xlfn.IFNA(VLOOKUP(A347,A348:$H$3524,8,0),"")</f>
        <v/>
      </c>
      <c r="J347" s="40" t="str">
        <f t="shared" si="33"/>
        <v/>
      </c>
      <c r="K347" s="24" t="str">
        <f t="shared" si="34"/>
        <v/>
      </c>
      <c r="L347" s="25" t="str">
        <f t="shared" si="30"/>
        <v/>
      </c>
      <c r="M347" s="43"/>
      <c r="N347" s="37"/>
      <c r="O347" s="33" t="str">
        <f t="shared" si="31"/>
        <v/>
      </c>
      <c r="P347" s="33" t="str">
        <f t="shared" si="32"/>
        <v/>
      </c>
      <c r="X347" s="1"/>
    </row>
    <row r="348" spans="7:24">
      <c r="G348" s="21"/>
      <c r="H348" s="23"/>
      <c r="I348" s="23" t="str">
        <f>_xlfn.IFNA(VLOOKUP(A348,A349:$H$3524,8,0),"")</f>
        <v/>
      </c>
      <c r="J348" s="40" t="str">
        <f t="shared" si="33"/>
        <v/>
      </c>
      <c r="K348" s="24" t="str">
        <f t="shared" si="34"/>
        <v/>
      </c>
      <c r="L348" s="25" t="str">
        <f t="shared" si="30"/>
        <v/>
      </c>
      <c r="M348" s="43"/>
      <c r="N348" s="37"/>
      <c r="O348" s="33" t="str">
        <f t="shared" si="31"/>
        <v/>
      </c>
      <c r="P348" s="33" t="str">
        <f t="shared" si="32"/>
        <v/>
      </c>
      <c r="X348" s="1"/>
    </row>
    <row r="349" spans="7:24">
      <c r="G349" s="21"/>
      <c r="H349" s="23"/>
      <c r="I349" s="23" t="str">
        <f>_xlfn.IFNA(VLOOKUP(A349,A350:$H$3524,8,0),"")</f>
        <v/>
      </c>
      <c r="J349" s="40" t="str">
        <f t="shared" si="33"/>
        <v/>
      </c>
      <c r="K349" s="24" t="str">
        <f t="shared" si="34"/>
        <v/>
      </c>
      <c r="L349" s="25" t="str">
        <f t="shared" si="30"/>
        <v/>
      </c>
      <c r="M349" s="43"/>
      <c r="N349" s="37"/>
      <c r="O349" s="33" t="str">
        <f t="shared" si="31"/>
        <v/>
      </c>
      <c r="P349" s="33" t="str">
        <f t="shared" si="32"/>
        <v/>
      </c>
      <c r="X349" s="1"/>
    </row>
    <row r="350" spans="7:24">
      <c r="G350" s="21"/>
      <c r="H350" s="23"/>
      <c r="I350" s="23" t="str">
        <f>_xlfn.IFNA(VLOOKUP(A350,A351:$H$3524,8,0),"")</f>
        <v/>
      </c>
      <c r="J350" s="40" t="str">
        <f t="shared" si="33"/>
        <v/>
      </c>
      <c r="K350" s="24" t="str">
        <f t="shared" si="34"/>
        <v/>
      </c>
      <c r="L350" s="25" t="str">
        <f t="shared" si="30"/>
        <v/>
      </c>
      <c r="M350" s="43"/>
      <c r="N350" s="37"/>
      <c r="O350" s="33" t="str">
        <f t="shared" si="31"/>
        <v/>
      </c>
      <c r="P350" s="33" t="str">
        <f t="shared" si="32"/>
        <v/>
      </c>
      <c r="X350" s="1"/>
    </row>
    <row r="351" spans="7:24">
      <c r="G351" s="21"/>
      <c r="H351" s="23"/>
      <c r="I351" s="23" t="str">
        <f>_xlfn.IFNA(VLOOKUP(A351,A352:$H$3524,8,0),"")</f>
        <v/>
      </c>
      <c r="J351" s="40" t="str">
        <f t="shared" si="33"/>
        <v/>
      </c>
      <c r="K351" s="24" t="str">
        <f t="shared" si="34"/>
        <v/>
      </c>
      <c r="L351" s="25" t="str">
        <f t="shared" si="30"/>
        <v/>
      </c>
      <c r="M351" s="43"/>
      <c r="N351" s="37"/>
      <c r="O351" s="33" t="str">
        <f t="shared" si="31"/>
        <v/>
      </c>
      <c r="P351" s="33" t="str">
        <f t="shared" si="32"/>
        <v/>
      </c>
      <c r="X351" s="1"/>
    </row>
    <row r="352" spans="7:24">
      <c r="G352" s="21"/>
      <c r="H352" s="23"/>
      <c r="I352" s="23" t="str">
        <f>_xlfn.IFNA(VLOOKUP(A352,A353:$H$3524,8,0),"")</f>
        <v/>
      </c>
      <c r="J352" s="40" t="str">
        <f t="shared" si="33"/>
        <v/>
      </c>
      <c r="K352" s="24" t="str">
        <f t="shared" si="34"/>
        <v/>
      </c>
      <c r="L352" s="25" t="str">
        <f t="shared" si="30"/>
        <v/>
      </c>
      <c r="M352" s="43"/>
      <c r="N352" s="37"/>
      <c r="O352" s="33" t="str">
        <f t="shared" si="31"/>
        <v/>
      </c>
      <c r="P352" s="33" t="str">
        <f t="shared" si="32"/>
        <v/>
      </c>
      <c r="X352" s="1"/>
    </row>
    <row r="353" spans="7:24">
      <c r="G353" s="21"/>
      <c r="H353" s="23"/>
      <c r="I353" s="23" t="str">
        <f>_xlfn.IFNA(VLOOKUP(A353,A354:$H$3524,8,0),"")</f>
        <v/>
      </c>
      <c r="J353" s="40" t="str">
        <f t="shared" si="33"/>
        <v/>
      </c>
      <c r="K353" s="24" t="str">
        <f t="shared" si="34"/>
        <v/>
      </c>
      <c r="L353" s="25" t="str">
        <f t="shared" si="30"/>
        <v/>
      </c>
      <c r="M353" s="43"/>
      <c r="N353" s="37"/>
      <c r="O353" s="33" t="str">
        <f t="shared" si="31"/>
        <v/>
      </c>
      <c r="P353" s="33" t="str">
        <f t="shared" si="32"/>
        <v/>
      </c>
      <c r="X353" s="1"/>
    </row>
    <row r="354" spans="7:24">
      <c r="G354" s="21"/>
      <c r="H354" s="23"/>
      <c r="I354" s="23" t="str">
        <f>_xlfn.IFNA(VLOOKUP(A354,A355:$H$3524,8,0),"")</f>
        <v/>
      </c>
      <c r="J354" s="40" t="str">
        <f t="shared" si="33"/>
        <v/>
      </c>
      <c r="K354" s="24" t="str">
        <f t="shared" si="34"/>
        <v/>
      </c>
      <c r="L354" s="25" t="str">
        <f t="shared" si="30"/>
        <v/>
      </c>
      <c r="M354" s="43"/>
      <c r="N354" s="37"/>
      <c r="O354" s="33" t="str">
        <f t="shared" si="31"/>
        <v/>
      </c>
      <c r="P354" s="33" t="str">
        <f t="shared" si="32"/>
        <v/>
      </c>
      <c r="X354" s="1"/>
    </row>
    <row r="355" spans="7:24">
      <c r="G355" s="21"/>
      <c r="H355" s="23"/>
      <c r="I355" s="23" t="str">
        <f>_xlfn.IFNA(VLOOKUP(A355,A356:$H$3524,8,0),"")</f>
        <v/>
      </c>
      <c r="J355" s="40" t="str">
        <f t="shared" si="33"/>
        <v/>
      </c>
      <c r="K355" s="24" t="str">
        <f t="shared" si="34"/>
        <v/>
      </c>
      <c r="L355" s="25" t="str">
        <f t="shared" si="30"/>
        <v/>
      </c>
      <c r="M355" s="43"/>
      <c r="N355" s="37"/>
      <c r="O355" s="33" t="str">
        <f t="shared" si="31"/>
        <v/>
      </c>
      <c r="P355" s="33" t="str">
        <f t="shared" si="32"/>
        <v/>
      </c>
      <c r="X355" s="1"/>
    </row>
    <row r="356" spans="7:24">
      <c r="G356" s="21"/>
      <c r="H356" s="23"/>
      <c r="I356" s="23" t="str">
        <f>_xlfn.IFNA(VLOOKUP(A356,A357:$H$3524,8,0),"")</f>
        <v/>
      </c>
      <c r="J356" s="40" t="str">
        <f t="shared" si="33"/>
        <v/>
      </c>
      <c r="K356" s="24" t="str">
        <f t="shared" si="34"/>
        <v/>
      </c>
      <c r="L356" s="25" t="str">
        <f t="shared" si="30"/>
        <v/>
      </c>
      <c r="M356" s="43"/>
      <c r="N356" s="37"/>
      <c r="O356" s="33" t="str">
        <f t="shared" si="31"/>
        <v/>
      </c>
      <c r="P356" s="33" t="str">
        <f t="shared" si="32"/>
        <v/>
      </c>
      <c r="X356" s="1"/>
    </row>
    <row r="357" spans="7:24">
      <c r="G357" s="21"/>
      <c r="H357" s="23"/>
      <c r="I357" s="23" t="str">
        <f>_xlfn.IFNA(VLOOKUP(A357,A358:$H$3524,8,0),"")</f>
        <v/>
      </c>
      <c r="J357" s="40" t="str">
        <f t="shared" si="33"/>
        <v/>
      </c>
      <c r="K357" s="24" t="str">
        <f t="shared" si="34"/>
        <v/>
      </c>
      <c r="L357" s="25" t="str">
        <f t="shared" si="30"/>
        <v/>
      </c>
      <c r="M357" s="43"/>
      <c r="N357" s="37"/>
      <c r="O357" s="33" t="str">
        <f t="shared" si="31"/>
        <v/>
      </c>
      <c r="P357" s="33" t="str">
        <f t="shared" si="32"/>
        <v/>
      </c>
      <c r="X357" s="1"/>
    </row>
    <row r="358" spans="7:24">
      <c r="G358" s="21"/>
      <c r="H358" s="23"/>
      <c r="I358" s="23" t="str">
        <f>_xlfn.IFNA(VLOOKUP(A358,A359:$H$3524,8,0),"")</f>
        <v/>
      </c>
      <c r="J358" s="40" t="str">
        <f t="shared" si="33"/>
        <v/>
      </c>
      <c r="K358" s="24" t="str">
        <f t="shared" si="34"/>
        <v/>
      </c>
      <c r="L358" s="25" t="str">
        <f t="shared" si="30"/>
        <v/>
      </c>
      <c r="M358" s="43"/>
      <c r="N358" s="37"/>
      <c r="O358" s="33" t="str">
        <f t="shared" si="31"/>
        <v/>
      </c>
      <c r="P358" s="33" t="str">
        <f t="shared" si="32"/>
        <v/>
      </c>
      <c r="X358" s="1"/>
    </row>
    <row r="359" spans="7:24">
      <c r="G359" s="21"/>
      <c r="H359" s="23"/>
      <c r="I359" s="23" t="str">
        <f>_xlfn.IFNA(VLOOKUP(A359,A360:$H$3524,8,0),"")</f>
        <v/>
      </c>
      <c r="J359" s="40" t="str">
        <f t="shared" si="33"/>
        <v/>
      </c>
      <c r="K359" s="24" t="str">
        <f t="shared" si="34"/>
        <v/>
      </c>
      <c r="L359" s="25" t="str">
        <f t="shared" si="30"/>
        <v/>
      </c>
      <c r="M359" s="43"/>
      <c r="N359" s="37"/>
      <c r="O359" s="33" t="str">
        <f t="shared" si="31"/>
        <v/>
      </c>
      <c r="P359" s="33" t="str">
        <f t="shared" si="32"/>
        <v/>
      </c>
      <c r="X359" s="1"/>
    </row>
    <row r="360" spans="7:24">
      <c r="G360" s="21"/>
      <c r="H360" s="23"/>
      <c r="I360" s="23" t="str">
        <f>_xlfn.IFNA(VLOOKUP(A360,A361:$H$3524,8,0),"")</f>
        <v/>
      </c>
      <c r="J360" s="40" t="str">
        <f t="shared" si="33"/>
        <v/>
      </c>
      <c r="K360" s="24" t="str">
        <f t="shared" si="34"/>
        <v/>
      </c>
      <c r="L360" s="25" t="str">
        <f t="shared" si="30"/>
        <v/>
      </c>
      <c r="M360" s="43"/>
      <c r="N360" s="37"/>
      <c r="O360" s="33" t="str">
        <f t="shared" si="31"/>
        <v/>
      </c>
      <c r="P360" s="33" t="str">
        <f t="shared" si="32"/>
        <v/>
      </c>
      <c r="X360" s="1"/>
    </row>
    <row r="361" spans="7:24">
      <c r="G361" s="21"/>
      <c r="H361" s="23"/>
      <c r="I361" s="23" t="str">
        <f>_xlfn.IFNA(VLOOKUP(A361,A362:$H$3524,8,0),"")</f>
        <v/>
      </c>
      <c r="J361" s="40" t="str">
        <f t="shared" si="33"/>
        <v/>
      </c>
      <c r="K361" s="24" t="str">
        <f t="shared" si="34"/>
        <v/>
      </c>
      <c r="L361" s="25" t="str">
        <f t="shared" si="30"/>
        <v/>
      </c>
      <c r="M361" s="43"/>
      <c r="N361" s="37"/>
      <c r="O361" s="33" t="str">
        <f t="shared" si="31"/>
        <v/>
      </c>
      <c r="P361" s="33" t="str">
        <f t="shared" si="32"/>
        <v/>
      </c>
      <c r="X361" s="1"/>
    </row>
    <row r="362" spans="7:24">
      <c r="G362" s="21"/>
      <c r="H362" s="23"/>
      <c r="I362" s="23" t="str">
        <f>_xlfn.IFNA(VLOOKUP(A362,A363:$H$3524,8,0),"")</f>
        <v/>
      </c>
      <c r="J362" s="40" t="str">
        <f t="shared" si="33"/>
        <v/>
      </c>
      <c r="K362" s="24" t="str">
        <f t="shared" si="34"/>
        <v/>
      </c>
      <c r="L362" s="25" t="str">
        <f t="shared" si="30"/>
        <v/>
      </c>
      <c r="M362" s="43"/>
      <c r="N362" s="37"/>
      <c r="O362" s="33" t="str">
        <f t="shared" si="31"/>
        <v/>
      </c>
      <c r="P362" s="33" t="str">
        <f t="shared" si="32"/>
        <v/>
      </c>
      <c r="X362" s="1"/>
    </row>
    <row r="363" spans="7:24">
      <c r="G363" s="21"/>
      <c r="H363" s="23"/>
      <c r="I363" s="23" t="str">
        <f>_xlfn.IFNA(VLOOKUP(A363,A364:$H$3524,8,0),"")</f>
        <v/>
      </c>
      <c r="J363" s="40" t="str">
        <f t="shared" si="33"/>
        <v/>
      </c>
      <c r="K363" s="24" t="str">
        <f t="shared" si="34"/>
        <v/>
      </c>
      <c r="L363" s="25" t="str">
        <f t="shared" si="30"/>
        <v/>
      </c>
      <c r="M363" s="43"/>
      <c r="N363" s="37"/>
      <c r="O363" s="33" t="str">
        <f t="shared" si="31"/>
        <v/>
      </c>
      <c r="P363" s="33" t="str">
        <f t="shared" si="32"/>
        <v/>
      </c>
      <c r="X363" s="1"/>
    </row>
    <row r="364" spans="7:24">
      <c r="G364" s="21"/>
      <c r="H364" s="23"/>
      <c r="I364" s="23" t="str">
        <f>_xlfn.IFNA(VLOOKUP(A364,A365:$H$3524,8,0),"")</f>
        <v/>
      </c>
      <c r="J364" s="40" t="str">
        <f t="shared" si="33"/>
        <v/>
      </c>
      <c r="K364" s="24" t="str">
        <f t="shared" si="34"/>
        <v/>
      </c>
      <c r="L364" s="25" t="str">
        <f t="shared" si="30"/>
        <v/>
      </c>
      <c r="M364" s="43"/>
      <c r="N364" s="37"/>
      <c r="O364" s="33" t="str">
        <f t="shared" si="31"/>
        <v/>
      </c>
      <c r="P364" s="33" t="str">
        <f t="shared" si="32"/>
        <v/>
      </c>
      <c r="X364" s="1"/>
    </row>
    <row r="365" spans="7:24">
      <c r="G365" s="21"/>
      <c r="H365" s="23"/>
      <c r="I365" s="23" t="str">
        <f>_xlfn.IFNA(VLOOKUP(A365,A366:$H$3524,8,0),"")</f>
        <v/>
      </c>
      <c r="J365" s="40" t="str">
        <f t="shared" si="33"/>
        <v/>
      </c>
      <c r="K365" s="24" t="str">
        <f t="shared" si="34"/>
        <v/>
      </c>
      <c r="L365" s="25" t="str">
        <f t="shared" si="30"/>
        <v/>
      </c>
      <c r="M365" s="43"/>
      <c r="N365" s="37"/>
      <c r="O365" s="33" t="str">
        <f t="shared" si="31"/>
        <v/>
      </c>
      <c r="P365" s="33" t="str">
        <f t="shared" si="32"/>
        <v/>
      </c>
      <c r="X365" s="1"/>
    </row>
    <row r="366" spans="7:24">
      <c r="G366" s="21"/>
      <c r="H366" s="23"/>
      <c r="I366" s="23" t="str">
        <f>_xlfn.IFNA(VLOOKUP(A366,A367:$H$3524,8,0),"")</f>
        <v/>
      </c>
      <c r="J366" s="40" t="str">
        <f t="shared" si="33"/>
        <v/>
      </c>
      <c r="K366" s="24" t="str">
        <f t="shared" si="34"/>
        <v/>
      </c>
      <c r="L366" s="25" t="str">
        <f t="shared" si="30"/>
        <v/>
      </c>
      <c r="M366" s="37"/>
      <c r="N366" s="37"/>
      <c r="O366" s="33" t="str">
        <f t="shared" si="31"/>
        <v/>
      </c>
      <c r="P366" s="33" t="str">
        <f t="shared" si="32"/>
        <v/>
      </c>
      <c r="X366" s="1"/>
    </row>
    <row r="367" spans="7:24">
      <c r="G367" s="21"/>
      <c r="H367" s="23"/>
      <c r="I367" s="23" t="str">
        <f>_xlfn.IFNA(VLOOKUP(A367,A368:$H$3524,8,0),"")</f>
        <v/>
      </c>
      <c r="J367" s="40" t="str">
        <f t="shared" si="33"/>
        <v/>
      </c>
      <c r="K367" s="24" t="str">
        <f t="shared" si="34"/>
        <v/>
      </c>
      <c r="L367" s="25" t="str">
        <f t="shared" si="30"/>
        <v/>
      </c>
      <c r="M367" s="37"/>
      <c r="N367" s="37"/>
      <c r="O367" s="33" t="str">
        <f t="shared" si="31"/>
        <v/>
      </c>
      <c r="P367" s="33" t="str">
        <f t="shared" si="32"/>
        <v/>
      </c>
      <c r="X367" s="1"/>
    </row>
    <row r="368" spans="7:24">
      <c r="G368" s="21"/>
      <c r="H368" s="23"/>
      <c r="I368" s="23" t="str">
        <f>_xlfn.IFNA(VLOOKUP(A368,A369:$H$3524,8,0),"")</f>
        <v/>
      </c>
      <c r="J368" s="40" t="str">
        <f t="shared" si="33"/>
        <v/>
      </c>
      <c r="K368" s="24" t="str">
        <f t="shared" si="34"/>
        <v/>
      </c>
      <c r="L368" s="25" t="str">
        <f t="shared" si="30"/>
        <v/>
      </c>
      <c r="M368" s="37"/>
      <c r="N368" s="37"/>
      <c r="O368" s="33" t="str">
        <f t="shared" si="31"/>
        <v/>
      </c>
      <c r="P368" s="33" t="str">
        <f t="shared" si="32"/>
        <v/>
      </c>
      <c r="X368" s="1"/>
    </row>
    <row r="369" spans="7:24">
      <c r="G369" s="21"/>
      <c r="H369" s="23"/>
      <c r="I369" s="23" t="str">
        <f>_xlfn.IFNA(VLOOKUP(A369,A370:$H$3524,8,0),"")</f>
        <v/>
      </c>
      <c r="J369" s="40" t="str">
        <f t="shared" si="33"/>
        <v/>
      </c>
      <c r="K369" s="24" t="str">
        <f t="shared" si="34"/>
        <v/>
      </c>
      <c r="L369" s="25" t="str">
        <f t="shared" si="30"/>
        <v/>
      </c>
      <c r="M369" s="37"/>
      <c r="N369" s="37"/>
      <c r="O369" s="33" t="str">
        <f t="shared" si="31"/>
        <v/>
      </c>
      <c r="P369" s="33" t="str">
        <f t="shared" si="32"/>
        <v/>
      </c>
      <c r="X369" s="1"/>
    </row>
    <row r="370" spans="7:24">
      <c r="G370" s="21"/>
      <c r="H370" s="23"/>
      <c r="I370" s="23" t="str">
        <f>_xlfn.IFNA(VLOOKUP(A370,A371:$H$3524,8,0),"")</f>
        <v/>
      </c>
      <c r="J370" s="40" t="str">
        <f t="shared" si="33"/>
        <v/>
      </c>
      <c r="K370" s="24" t="str">
        <f t="shared" si="34"/>
        <v/>
      </c>
      <c r="L370" s="25" t="str">
        <f t="shared" si="30"/>
        <v/>
      </c>
      <c r="M370" s="37"/>
      <c r="N370" s="37"/>
      <c r="O370" s="33" t="str">
        <f t="shared" si="31"/>
        <v/>
      </c>
      <c r="P370" s="33" t="str">
        <f t="shared" si="32"/>
        <v/>
      </c>
      <c r="X370" s="1"/>
    </row>
    <row r="371" spans="7:24">
      <c r="G371" s="21"/>
      <c r="H371" s="23"/>
      <c r="I371" s="23" t="str">
        <f>_xlfn.IFNA(VLOOKUP(A371,A372:$H$3524,8,0),"")</f>
        <v/>
      </c>
      <c r="J371" s="40" t="str">
        <f t="shared" si="33"/>
        <v/>
      </c>
      <c r="K371" s="24" t="str">
        <f t="shared" si="34"/>
        <v/>
      </c>
      <c r="L371" s="25" t="str">
        <f t="shared" si="30"/>
        <v/>
      </c>
      <c r="M371" s="37"/>
      <c r="N371" s="37"/>
      <c r="O371" s="33" t="str">
        <f t="shared" si="31"/>
        <v/>
      </c>
      <c r="P371" s="33" t="str">
        <f t="shared" si="32"/>
        <v/>
      </c>
      <c r="X371" s="1"/>
    </row>
    <row r="372" spans="7:24">
      <c r="G372" s="21"/>
      <c r="H372" s="23"/>
      <c r="I372" s="23" t="str">
        <f>_xlfn.IFNA(VLOOKUP(A372,A373:$H$3524,8,0),"")</f>
        <v/>
      </c>
      <c r="J372" s="40" t="str">
        <f t="shared" si="33"/>
        <v/>
      </c>
      <c r="K372" s="24" t="str">
        <f t="shared" si="34"/>
        <v/>
      </c>
      <c r="L372" s="25" t="str">
        <f t="shared" si="30"/>
        <v/>
      </c>
      <c r="M372" s="37"/>
      <c r="N372" s="37"/>
      <c r="O372" s="33" t="str">
        <f t="shared" si="31"/>
        <v/>
      </c>
      <c r="P372" s="33" t="str">
        <f t="shared" si="32"/>
        <v/>
      </c>
      <c r="X372" s="1"/>
    </row>
    <row r="373" spans="7:24">
      <c r="G373" s="21"/>
      <c r="H373" s="23"/>
      <c r="I373" s="23" t="str">
        <f>_xlfn.IFNA(VLOOKUP(A373,A374:$H$3524,8,0),"")</f>
        <v/>
      </c>
      <c r="J373" s="40" t="str">
        <f t="shared" si="33"/>
        <v/>
      </c>
      <c r="K373" s="24" t="str">
        <f t="shared" si="34"/>
        <v/>
      </c>
      <c r="L373" s="25" t="str">
        <f t="shared" si="30"/>
        <v/>
      </c>
      <c r="M373" s="37"/>
      <c r="N373" s="37"/>
      <c r="O373" s="33" t="str">
        <f t="shared" si="31"/>
        <v/>
      </c>
      <c r="P373" s="33" t="str">
        <f t="shared" si="32"/>
        <v/>
      </c>
      <c r="X373" s="1"/>
    </row>
    <row r="374" spans="7:24">
      <c r="G374" s="21"/>
      <c r="H374" s="23"/>
      <c r="I374" s="23" t="str">
        <f>_xlfn.IFNA(VLOOKUP(A374,A375:$H$3524,8,0),"")</f>
        <v/>
      </c>
      <c r="J374" s="40" t="str">
        <f t="shared" si="33"/>
        <v/>
      </c>
      <c r="K374" s="24" t="str">
        <f t="shared" si="34"/>
        <v/>
      </c>
      <c r="L374" s="25" t="str">
        <f t="shared" si="30"/>
        <v/>
      </c>
      <c r="M374" s="37"/>
      <c r="N374" s="37"/>
      <c r="O374" s="33" t="str">
        <f t="shared" si="31"/>
        <v/>
      </c>
      <c r="P374" s="33" t="str">
        <f t="shared" si="32"/>
        <v/>
      </c>
      <c r="X374" s="1"/>
    </row>
    <row r="375" spans="7:24">
      <c r="G375" s="21"/>
      <c r="H375" s="23"/>
      <c r="I375" s="23" t="str">
        <f>_xlfn.IFNA(VLOOKUP(A375,A376:$H$3524,8,0),"")</f>
        <v/>
      </c>
      <c r="J375" s="40" t="str">
        <f t="shared" si="33"/>
        <v/>
      </c>
      <c r="K375" s="24" t="str">
        <f t="shared" si="34"/>
        <v/>
      </c>
      <c r="L375" s="25" t="str">
        <f t="shared" ref="L375:L438" si="35">IF(K375="","",IF(B375="Break","Break",IF(K375&lt;&gt;0,"Work Finished",IF(B375="OFF","Work Finished",IF(I375="","Working","Work Finished")))))</f>
        <v/>
      </c>
      <c r="M375" s="37"/>
      <c r="N375" s="37"/>
      <c r="O375" s="33" t="str">
        <f t="shared" ref="O375:O438" si="36">IF(AND(J375="",M375="",N375=""),"",J375-M375-N375)</f>
        <v/>
      </c>
      <c r="P375" s="33" t="str">
        <f t="shared" ref="P375:P438" si="37">IF(HOUR(H375)=0,"",HOUR(H375))</f>
        <v/>
      </c>
      <c r="X375" s="1"/>
    </row>
    <row r="376" spans="7:24">
      <c r="G376" s="21"/>
      <c r="H376" s="23"/>
      <c r="I376" s="23" t="str">
        <f>_xlfn.IFNA(VLOOKUP(A376,A377:$H$3524,8,0),"")</f>
        <v/>
      </c>
      <c r="J376" s="40" t="str">
        <f t="shared" si="33"/>
        <v/>
      </c>
      <c r="K376" s="24" t="str">
        <f t="shared" si="34"/>
        <v/>
      </c>
      <c r="L376" s="25" t="str">
        <f t="shared" si="35"/>
        <v/>
      </c>
      <c r="M376" s="37"/>
      <c r="N376" s="37"/>
      <c r="O376" s="33" t="str">
        <f t="shared" si="36"/>
        <v/>
      </c>
      <c r="P376" s="33" t="str">
        <f t="shared" si="37"/>
        <v/>
      </c>
      <c r="X376" s="1"/>
    </row>
    <row r="377" spans="7:24">
      <c r="G377" s="21"/>
      <c r="H377" s="23"/>
      <c r="I377" s="23" t="str">
        <f>_xlfn.IFNA(VLOOKUP(A377,A378:$H$3524,8,0),"")</f>
        <v/>
      </c>
      <c r="J377" s="40" t="str">
        <f t="shared" si="33"/>
        <v/>
      </c>
      <c r="K377" s="24" t="str">
        <f t="shared" si="34"/>
        <v/>
      </c>
      <c r="L377" s="25" t="str">
        <f t="shared" si="35"/>
        <v/>
      </c>
      <c r="M377" s="37"/>
      <c r="N377" s="37"/>
      <c r="O377" s="33" t="str">
        <f t="shared" si="36"/>
        <v/>
      </c>
      <c r="P377" s="33" t="str">
        <f t="shared" si="37"/>
        <v/>
      </c>
      <c r="X377" s="1"/>
    </row>
    <row r="378" spans="7:24">
      <c r="G378" s="21"/>
      <c r="H378" s="23"/>
      <c r="I378" s="23" t="str">
        <f>_xlfn.IFNA(VLOOKUP(A378,A379:$H$3524,8,0),"")</f>
        <v/>
      </c>
      <c r="J378" s="40" t="str">
        <f t="shared" si="33"/>
        <v/>
      </c>
      <c r="K378" s="24" t="str">
        <f t="shared" si="34"/>
        <v/>
      </c>
      <c r="L378" s="25" t="str">
        <f t="shared" si="35"/>
        <v/>
      </c>
      <c r="M378" s="37"/>
      <c r="N378" s="37"/>
      <c r="O378" s="33" t="str">
        <f t="shared" si="36"/>
        <v/>
      </c>
      <c r="P378" s="33" t="str">
        <f t="shared" si="37"/>
        <v/>
      </c>
      <c r="X378" s="1"/>
    </row>
    <row r="379" spans="7:24">
      <c r="G379" s="21"/>
      <c r="H379" s="23"/>
      <c r="I379" s="23" t="str">
        <f>_xlfn.IFNA(VLOOKUP(A379,A380:$H$3524,8,0),"")</f>
        <v/>
      </c>
      <c r="J379" s="40" t="str">
        <f t="shared" si="33"/>
        <v/>
      </c>
      <c r="K379" s="24" t="str">
        <f t="shared" si="34"/>
        <v/>
      </c>
      <c r="L379" s="25" t="str">
        <f t="shared" si="35"/>
        <v/>
      </c>
      <c r="M379" s="37"/>
      <c r="N379" s="37"/>
      <c r="O379" s="33" t="str">
        <f t="shared" si="36"/>
        <v/>
      </c>
      <c r="P379" s="33" t="str">
        <f t="shared" si="37"/>
        <v/>
      </c>
      <c r="X379" s="1"/>
    </row>
    <row r="380" spans="7:24">
      <c r="G380" s="21"/>
      <c r="H380" s="23"/>
      <c r="I380" s="23" t="str">
        <f>_xlfn.IFNA(VLOOKUP(A380,A381:$H$3524,8,0),"")</f>
        <v/>
      </c>
      <c r="J380" s="40" t="str">
        <f t="shared" si="33"/>
        <v/>
      </c>
      <c r="K380" s="24" t="str">
        <f t="shared" si="34"/>
        <v/>
      </c>
      <c r="L380" s="25" t="str">
        <f t="shared" si="35"/>
        <v/>
      </c>
      <c r="M380" s="37"/>
      <c r="N380" s="37"/>
      <c r="O380" s="33" t="str">
        <f t="shared" si="36"/>
        <v/>
      </c>
      <c r="P380" s="33" t="str">
        <f t="shared" si="37"/>
        <v/>
      </c>
      <c r="X380" s="1"/>
    </row>
    <row r="381" spans="7:24">
      <c r="G381" s="21"/>
      <c r="H381" s="23"/>
      <c r="I381" s="23" t="str">
        <f>_xlfn.IFNA(VLOOKUP(A381,A382:$H$3524,8,0),"")</f>
        <v/>
      </c>
      <c r="J381" s="40" t="str">
        <f t="shared" si="33"/>
        <v/>
      </c>
      <c r="K381" s="24" t="str">
        <f t="shared" si="34"/>
        <v/>
      </c>
      <c r="L381" s="25" t="str">
        <f t="shared" si="35"/>
        <v/>
      </c>
      <c r="M381" s="37"/>
      <c r="N381" s="37"/>
      <c r="O381" s="33" t="str">
        <f t="shared" si="36"/>
        <v/>
      </c>
      <c r="P381" s="33" t="str">
        <f t="shared" si="37"/>
        <v/>
      </c>
      <c r="X381" s="1"/>
    </row>
    <row r="382" spans="7:24">
      <c r="G382" s="21"/>
      <c r="H382" s="23"/>
      <c r="I382" s="23" t="str">
        <f>_xlfn.IFNA(VLOOKUP(A382,A383:$H$3524,8,0),"")</f>
        <v/>
      </c>
      <c r="J382" s="40" t="str">
        <f t="shared" si="33"/>
        <v/>
      </c>
      <c r="K382" s="24" t="str">
        <f t="shared" si="34"/>
        <v/>
      </c>
      <c r="L382" s="25" t="str">
        <f t="shared" si="35"/>
        <v/>
      </c>
      <c r="M382" s="37"/>
      <c r="N382" s="37"/>
      <c r="O382" s="33" t="str">
        <f t="shared" si="36"/>
        <v/>
      </c>
      <c r="P382" s="33" t="str">
        <f t="shared" si="37"/>
        <v/>
      </c>
      <c r="X382" s="1"/>
    </row>
    <row r="383" spans="7:24">
      <c r="G383" s="21"/>
      <c r="H383" s="23"/>
      <c r="I383" s="23" t="str">
        <f>_xlfn.IFNA(VLOOKUP(A383,A384:$H$3524,8,0),"")</f>
        <v/>
      </c>
      <c r="J383" s="40" t="str">
        <f t="shared" si="33"/>
        <v/>
      </c>
      <c r="K383" s="24" t="str">
        <f t="shared" si="34"/>
        <v/>
      </c>
      <c r="L383" s="25" t="str">
        <f t="shared" si="35"/>
        <v/>
      </c>
      <c r="M383" s="37"/>
      <c r="N383" s="37"/>
      <c r="O383" s="33" t="str">
        <f t="shared" si="36"/>
        <v/>
      </c>
      <c r="P383" s="33" t="str">
        <f t="shared" si="37"/>
        <v/>
      </c>
      <c r="X383" s="1"/>
    </row>
    <row r="384" spans="7:24">
      <c r="G384" s="21"/>
      <c r="H384" s="23"/>
      <c r="I384" s="23" t="str">
        <f>_xlfn.IFNA(VLOOKUP(A384,A385:$H$3524,8,0),"")</f>
        <v/>
      </c>
      <c r="J384" s="40" t="str">
        <f t="shared" si="33"/>
        <v/>
      </c>
      <c r="K384" s="24" t="str">
        <f t="shared" si="34"/>
        <v/>
      </c>
      <c r="L384" s="25" t="str">
        <f t="shared" si="35"/>
        <v/>
      </c>
      <c r="M384" s="37"/>
      <c r="N384" s="37"/>
      <c r="O384" s="33" t="str">
        <f t="shared" si="36"/>
        <v/>
      </c>
      <c r="P384" s="33" t="str">
        <f t="shared" si="37"/>
        <v/>
      </c>
      <c r="X384" s="1"/>
    </row>
    <row r="385" spans="7:24">
      <c r="G385" s="21"/>
      <c r="H385" s="23"/>
      <c r="I385" s="23" t="str">
        <f>_xlfn.IFNA(VLOOKUP(A385,A386:$H$3524,8,0),"")</f>
        <v/>
      </c>
      <c r="J385" s="40" t="str">
        <f t="shared" si="33"/>
        <v/>
      </c>
      <c r="K385" s="24" t="str">
        <f t="shared" si="34"/>
        <v/>
      </c>
      <c r="L385" s="25" t="str">
        <f t="shared" si="35"/>
        <v/>
      </c>
      <c r="M385" s="37"/>
      <c r="N385" s="37"/>
      <c r="O385" s="33" t="str">
        <f t="shared" si="36"/>
        <v/>
      </c>
      <c r="P385" s="33" t="str">
        <f t="shared" si="37"/>
        <v/>
      </c>
      <c r="X385" s="1"/>
    </row>
    <row r="386" spans="7:24">
      <c r="G386" s="21"/>
      <c r="H386" s="23"/>
      <c r="I386" s="23" t="str">
        <f>_xlfn.IFNA(VLOOKUP(A386,A387:$H$3524,8,0),"")</f>
        <v/>
      </c>
      <c r="J386" s="40" t="str">
        <f t="shared" si="33"/>
        <v/>
      </c>
      <c r="K386" s="24" t="str">
        <f t="shared" si="34"/>
        <v/>
      </c>
      <c r="L386" s="25" t="str">
        <f t="shared" si="35"/>
        <v/>
      </c>
      <c r="M386" s="37"/>
      <c r="N386" s="37"/>
      <c r="O386" s="33" t="str">
        <f t="shared" si="36"/>
        <v/>
      </c>
      <c r="P386" s="33" t="str">
        <f t="shared" si="37"/>
        <v/>
      </c>
      <c r="X386" s="1"/>
    </row>
    <row r="387" spans="7:24">
      <c r="G387" s="21"/>
      <c r="H387" s="23"/>
      <c r="I387" s="23" t="str">
        <f>_xlfn.IFNA(VLOOKUP(A387,A388:$H$3524,8,0),"")</f>
        <v/>
      </c>
      <c r="J387" s="40" t="str">
        <f t="shared" si="33"/>
        <v/>
      </c>
      <c r="K387" s="24" t="str">
        <f t="shared" si="34"/>
        <v/>
      </c>
      <c r="L387" s="25" t="str">
        <f t="shared" si="35"/>
        <v/>
      </c>
      <c r="M387" s="37"/>
      <c r="N387" s="37"/>
      <c r="O387" s="33" t="str">
        <f t="shared" si="36"/>
        <v/>
      </c>
      <c r="P387" s="33" t="str">
        <f t="shared" si="37"/>
        <v/>
      </c>
      <c r="X387" s="1"/>
    </row>
    <row r="388" spans="7:24">
      <c r="G388" s="21"/>
      <c r="H388" s="23"/>
      <c r="I388" s="23" t="str">
        <f>_xlfn.IFNA(VLOOKUP(A388,A389:$H$3524,8,0),"")</f>
        <v/>
      </c>
      <c r="J388" s="40" t="str">
        <f t="shared" si="33"/>
        <v/>
      </c>
      <c r="K388" s="24" t="str">
        <f t="shared" si="34"/>
        <v/>
      </c>
      <c r="L388" s="25" t="str">
        <f t="shared" si="35"/>
        <v/>
      </c>
      <c r="M388" s="37"/>
      <c r="N388" s="37"/>
      <c r="O388" s="33" t="str">
        <f t="shared" si="36"/>
        <v/>
      </c>
      <c r="P388" s="33" t="str">
        <f t="shared" si="37"/>
        <v/>
      </c>
      <c r="X388" s="1"/>
    </row>
    <row r="389" spans="7:24">
      <c r="G389" s="21"/>
      <c r="H389" s="23"/>
      <c r="I389" s="23" t="str">
        <f>_xlfn.IFNA(VLOOKUP(A389,A390:$H$3524,8,0),"")</f>
        <v/>
      </c>
      <c r="J389" s="40" t="str">
        <f t="shared" si="33"/>
        <v/>
      </c>
      <c r="K389" s="24" t="str">
        <f t="shared" si="34"/>
        <v/>
      </c>
      <c r="L389" s="25" t="str">
        <f t="shared" si="35"/>
        <v/>
      </c>
      <c r="M389" s="37"/>
      <c r="N389" s="37"/>
      <c r="O389" s="33" t="str">
        <f t="shared" si="36"/>
        <v/>
      </c>
      <c r="P389" s="33" t="str">
        <f t="shared" si="37"/>
        <v/>
      </c>
      <c r="X389" s="1"/>
    </row>
    <row r="390" spans="7:24">
      <c r="G390" s="21"/>
      <c r="H390" s="23"/>
      <c r="I390" s="23" t="str">
        <f>_xlfn.IFNA(VLOOKUP(A390,A391:$H$3524,8,0),"")</f>
        <v/>
      </c>
      <c r="J390" s="40" t="str">
        <f t="shared" ref="J390:J453" si="38">IF(B390="OFF",0,IF(AND(D390&lt;&gt;"",E390&lt;&gt;""),E390-D390+1,""))</f>
        <v/>
      </c>
      <c r="K390" s="24" t="str">
        <f t="shared" si="34"/>
        <v/>
      </c>
      <c r="L390" s="25" t="str">
        <f t="shared" si="35"/>
        <v/>
      </c>
      <c r="M390" s="37"/>
      <c r="N390" s="37"/>
      <c r="O390" s="33" t="str">
        <f t="shared" si="36"/>
        <v/>
      </c>
      <c r="P390" s="33" t="str">
        <f t="shared" si="37"/>
        <v/>
      </c>
      <c r="X390" s="1"/>
    </row>
    <row r="391" spans="7:24">
      <c r="G391" s="21"/>
      <c r="H391" s="23"/>
      <c r="I391" s="23" t="str">
        <f>_xlfn.IFNA(VLOOKUP(A391,A392:$H$3524,8,0),"")</f>
        <v/>
      </c>
      <c r="J391" s="40" t="str">
        <f t="shared" si="38"/>
        <v/>
      </c>
      <c r="K391" s="24" t="str">
        <f t="shared" si="34"/>
        <v/>
      </c>
      <c r="L391" s="25" t="str">
        <f t="shared" si="35"/>
        <v/>
      </c>
      <c r="M391" s="37"/>
      <c r="N391" s="37"/>
      <c r="O391" s="33" t="str">
        <f t="shared" si="36"/>
        <v/>
      </c>
      <c r="P391" s="33" t="str">
        <f t="shared" si="37"/>
        <v/>
      </c>
      <c r="X391" s="1"/>
    </row>
    <row r="392" spans="7:24">
      <c r="G392" s="21"/>
      <c r="H392" s="23"/>
      <c r="I392" s="23" t="str">
        <f>_xlfn.IFNA(VLOOKUP(A392,A393:$H$3524,8,0),"")</f>
        <v/>
      </c>
      <c r="J392" s="40" t="str">
        <f t="shared" si="38"/>
        <v/>
      </c>
      <c r="K392" s="24" t="str">
        <f t="shared" si="34"/>
        <v/>
      </c>
      <c r="L392" s="25" t="str">
        <f t="shared" si="35"/>
        <v/>
      </c>
      <c r="M392" s="37"/>
      <c r="N392" s="37"/>
      <c r="O392" s="33" t="str">
        <f t="shared" si="36"/>
        <v/>
      </c>
      <c r="P392" s="33" t="str">
        <f t="shared" si="37"/>
        <v/>
      </c>
      <c r="X392" s="1"/>
    </row>
    <row r="393" spans="7:24">
      <c r="G393" s="21"/>
      <c r="H393" s="23"/>
      <c r="I393" s="23" t="str">
        <f>_xlfn.IFNA(VLOOKUP(A393,A394:$H$3524,8,0),"")</f>
        <v/>
      </c>
      <c r="J393" s="40" t="str">
        <f t="shared" si="38"/>
        <v/>
      </c>
      <c r="K393" s="24" t="str">
        <f t="shared" si="34"/>
        <v/>
      </c>
      <c r="L393" s="25" t="str">
        <f t="shared" si="35"/>
        <v/>
      </c>
      <c r="M393" s="37"/>
      <c r="N393" s="37"/>
      <c r="O393" s="33" t="str">
        <f t="shared" si="36"/>
        <v/>
      </c>
      <c r="P393" s="33" t="str">
        <f t="shared" si="37"/>
        <v/>
      </c>
      <c r="X393" s="1"/>
    </row>
    <row r="394" spans="7:24">
      <c r="G394" s="21"/>
      <c r="H394" s="23"/>
      <c r="I394" s="23" t="str">
        <f>_xlfn.IFNA(VLOOKUP(A394,A395:$H$3524,8,0),"")</f>
        <v/>
      </c>
      <c r="J394" s="40" t="str">
        <f t="shared" si="38"/>
        <v/>
      </c>
      <c r="K394" s="24" t="str">
        <f t="shared" si="34"/>
        <v/>
      </c>
      <c r="L394" s="25" t="str">
        <f t="shared" si="35"/>
        <v/>
      </c>
      <c r="M394" s="37"/>
      <c r="N394" s="37"/>
      <c r="O394" s="33" t="str">
        <f t="shared" si="36"/>
        <v/>
      </c>
      <c r="P394" s="33" t="str">
        <f t="shared" si="37"/>
        <v/>
      </c>
      <c r="X394" s="1"/>
    </row>
    <row r="395" spans="7:24">
      <c r="G395" s="21"/>
      <c r="H395" s="23"/>
      <c r="I395" s="23" t="str">
        <f>_xlfn.IFNA(VLOOKUP(A395,A396:$H$3524,8,0),"")</f>
        <v/>
      </c>
      <c r="J395" s="40" t="str">
        <f t="shared" si="38"/>
        <v/>
      </c>
      <c r="K395" s="24" t="str">
        <f t="shared" si="34"/>
        <v/>
      </c>
      <c r="L395" s="25" t="str">
        <f t="shared" si="35"/>
        <v/>
      </c>
      <c r="M395" s="37"/>
      <c r="N395" s="37"/>
      <c r="O395" s="33" t="str">
        <f t="shared" si="36"/>
        <v/>
      </c>
      <c r="P395" s="33" t="str">
        <f t="shared" si="37"/>
        <v/>
      </c>
      <c r="X395" s="1"/>
    </row>
    <row r="396" spans="7:24">
      <c r="G396" s="21"/>
      <c r="H396" s="23"/>
      <c r="I396" s="23" t="str">
        <f>_xlfn.IFNA(VLOOKUP(A396,A397:$H$3524,8,0),"")</f>
        <v/>
      </c>
      <c r="J396" s="40" t="str">
        <f t="shared" si="38"/>
        <v/>
      </c>
      <c r="K396" s="24" t="str">
        <f t="shared" si="34"/>
        <v/>
      </c>
      <c r="L396" s="25" t="str">
        <f t="shared" si="35"/>
        <v/>
      </c>
      <c r="M396" s="37"/>
      <c r="N396" s="37"/>
      <c r="O396" s="33" t="str">
        <f t="shared" si="36"/>
        <v/>
      </c>
      <c r="P396" s="33" t="str">
        <f t="shared" si="37"/>
        <v/>
      </c>
      <c r="X396" s="1"/>
    </row>
    <row r="397" spans="7:24">
      <c r="G397" s="21"/>
      <c r="H397" s="23"/>
      <c r="I397" s="23" t="str">
        <f>_xlfn.IFNA(VLOOKUP(A397,A398:$H$3524,8,0),"")</f>
        <v/>
      </c>
      <c r="J397" s="40" t="str">
        <f t="shared" si="38"/>
        <v/>
      </c>
      <c r="K397" s="24" t="str">
        <f t="shared" si="34"/>
        <v/>
      </c>
      <c r="L397" s="25" t="str">
        <f t="shared" si="35"/>
        <v/>
      </c>
      <c r="M397" s="37"/>
      <c r="N397" s="37"/>
      <c r="O397" s="33" t="str">
        <f t="shared" si="36"/>
        <v/>
      </c>
      <c r="P397" s="33" t="str">
        <f t="shared" si="37"/>
        <v/>
      </c>
      <c r="X397" s="1"/>
    </row>
    <row r="398" spans="7:24">
      <c r="G398" s="21"/>
      <c r="H398" s="23"/>
      <c r="I398" s="23" t="str">
        <f>_xlfn.IFNA(VLOOKUP(A398,A399:$H$3524,8,0),"")</f>
        <v/>
      </c>
      <c r="J398" s="40" t="str">
        <f t="shared" si="38"/>
        <v/>
      </c>
      <c r="K398" s="24" t="str">
        <f t="shared" si="34"/>
        <v/>
      </c>
      <c r="L398" s="25" t="str">
        <f t="shared" si="35"/>
        <v/>
      </c>
      <c r="M398" s="37"/>
      <c r="N398" s="37"/>
      <c r="O398" s="33" t="str">
        <f t="shared" si="36"/>
        <v/>
      </c>
      <c r="P398" s="33" t="str">
        <f t="shared" si="37"/>
        <v/>
      </c>
      <c r="X398" s="1"/>
    </row>
    <row r="399" spans="7:24">
      <c r="G399" s="21"/>
      <c r="H399" s="23"/>
      <c r="I399" s="23" t="str">
        <f>_xlfn.IFNA(VLOOKUP(A399,A400:$H$3524,8,0),"")</f>
        <v/>
      </c>
      <c r="J399" s="40" t="str">
        <f t="shared" si="38"/>
        <v/>
      </c>
      <c r="K399" s="24" t="str">
        <f t="shared" si="34"/>
        <v/>
      </c>
      <c r="L399" s="25" t="str">
        <f t="shared" si="35"/>
        <v/>
      </c>
      <c r="M399" s="37"/>
      <c r="N399" s="37"/>
      <c r="O399" s="33" t="str">
        <f t="shared" si="36"/>
        <v/>
      </c>
      <c r="P399" s="33" t="str">
        <f t="shared" si="37"/>
        <v/>
      </c>
      <c r="X399" s="1"/>
    </row>
    <row r="400" spans="7:24">
      <c r="G400" s="21"/>
      <c r="H400" s="23"/>
      <c r="I400" s="23" t="str">
        <f>_xlfn.IFNA(VLOOKUP(A400,A401:$H$3524,8,0),"")</f>
        <v/>
      </c>
      <c r="J400" s="40" t="str">
        <f t="shared" si="38"/>
        <v/>
      </c>
      <c r="K400" s="24" t="str">
        <f t="shared" si="34"/>
        <v/>
      </c>
      <c r="L400" s="25" t="str">
        <f t="shared" si="35"/>
        <v/>
      </c>
      <c r="M400" s="37"/>
      <c r="N400" s="37"/>
      <c r="O400" s="33" t="str">
        <f t="shared" si="36"/>
        <v/>
      </c>
      <c r="P400" s="33" t="str">
        <f t="shared" si="37"/>
        <v/>
      </c>
      <c r="X400" s="1"/>
    </row>
    <row r="401" spans="7:24">
      <c r="G401" s="21"/>
      <c r="H401" s="23"/>
      <c r="I401" s="23" t="str">
        <f>_xlfn.IFNA(VLOOKUP(A401,A402:$H$3524,8,0),"")</f>
        <v/>
      </c>
      <c r="J401" s="40" t="str">
        <f t="shared" si="38"/>
        <v/>
      </c>
      <c r="K401" s="24" t="str">
        <f t="shared" si="34"/>
        <v/>
      </c>
      <c r="L401" s="25" t="str">
        <f t="shared" si="35"/>
        <v/>
      </c>
      <c r="M401" s="37"/>
      <c r="N401" s="37"/>
      <c r="O401" s="33" t="str">
        <f t="shared" si="36"/>
        <v/>
      </c>
      <c r="P401" s="33" t="str">
        <f t="shared" si="37"/>
        <v/>
      </c>
      <c r="X401" s="1"/>
    </row>
    <row r="402" spans="7:24">
      <c r="G402" s="21"/>
      <c r="H402" s="23"/>
      <c r="I402" s="23" t="str">
        <f>_xlfn.IFNA(VLOOKUP(A402,A403:$H$3524,8,0),"")</f>
        <v/>
      </c>
      <c r="J402" s="40" t="str">
        <f t="shared" si="38"/>
        <v/>
      </c>
      <c r="K402" s="24" t="str">
        <f t="shared" si="34"/>
        <v/>
      </c>
      <c r="L402" s="25" t="str">
        <f t="shared" si="35"/>
        <v/>
      </c>
      <c r="M402" s="37"/>
      <c r="N402" s="37"/>
      <c r="O402" s="33" t="str">
        <f t="shared" si="36"/>
        <v/>
      </c>
      <c r="P402" s="33" t="str">
        <f t="shared" si="37"/>
        <v/>
      </c>
      <c r="X402" s="1"/>
    </row>
    <row r="403" spans="7:24">
      <c r="G403" s="21"/>
      <c r="H403" s="23"/>
      <c r="I403" s="23" t="str">
        <f>_xlfn.IFNA(VLOOKUP(A403,A404:$H$3524,8,0),"")</f>
        <v/>
      </c>
      <c r="J403" s="40" t="str">
        <f t="shared" si="38"/>
        <v/>
      </c>
      <c r="K403" s="24" t="str">
        <f t="shared" si="34"/>
        <v/>
      </c>
      <c r="L403" s="25" t="str">
        <f t="shared" si="35"/>
        <v/>
      </c>
      <c r="M403" s="37"/>
      <c r="N403" s="37"/>
      <c r="O403" s="33" t="str">
        <f t="shared" si="36"/>
        <v/>
      </c>
      <c r="P403" s="33" t="str">
        <f t="shared" si="37"/>
        <v/>
      </c>
      <c r="X403" s="1"/>
    </row>
    <row r="404" spans="7:24">
      <c r="G404" s="21"/>
      <c r="H404" s="23"/>
      <c r="I404" s="23" t="str">
        <f>_xlfn.IFNA(VLOOKUP(A404,A405:$H$3524,8,0),"")</f>
        <v/>
      </c>
      <c r="J404" s="40" t="str">
        <f t="shared" si="38"/>
        <v/>
      </c>
      <c r="K404" s="24" t="str">
        <f t="shared" ref="K404:K467" si="39">IF(H404="","",IFERROR((I404-H404)*24,0))</f>
        <v/>
      </c>
      <c r="L404" s="25" t="str">
        <f t="shared" si="35"/>
        <v/>
      </c>
      <c r="M404" s="37"/>
      <c r="N404" s="37"/>
      <c r="O404" s="33" t="str">
        <f t="shared" si="36"/>
        <v/>
      </c>
      <c r="P404" s="33" t="str">
        <f t="shared" si="37"/>
        <v/>
      </c>
      <c r="X404" s="1"/>
    </row>
    <row r="405" spans="7:24">
      <c r="G405" s="21"/>
      <c r="H405" s="23"/>
      <c r="I405" s="23" t="str">
        <f>_xlfn.IFNA(VLOOKUP(A405,A406:$H$3524,8,0),"")</f>
        <v/>
      </c>
      <c r="J405" s="40" t="str">
        <f t="shared" si="38"/>
        <v/>
      </c>
      <c r="K405" s="24" t="str">
        <f t="shared" si="39"/>
        <v/>
      </c>
      <c r="L405" s="25" t="str">
        <f t="shared" si="35"/>
        <v/>
      </c>
      <c r="M405" s="37"/>
      <c r="N405" s="37"/>
      <c r="O405" s="33" t="str">
        <f t="shared" si="36"/>
        <v/>
      </c>
      <c r="P405" s="33" t="str">
        <f t="shared" si="37"/>
        <v/>
      </c>
      <c r="X405" s="1"/>
    </row>
    <row r="406" spans="7:24">
      <c r="G406" s="21"/>
      <c r="H406" s="23"/>
      <c r="I406" s="23" t="str">
        <f>_xlfn.IFNA(VLOOKUP(A406,A407:$H$3524,8,0),"")</f>
        <v/>
      </c>
      <c r="J406" s="40" t="str">
        <f t="shared" si="38"/>
        <v/>
      </c>
      <c r="K406" s="24" t="str">
        <f t="shared" si="39"/>
        <v/>
      </c>
      <c r="L406" s="25" t="str">
        <f t="shared" si="35"/>
        <v/>
      </c>
      <c r="M406" s="37"/>
      <c r="N406" s="37"/>
      <c r="O406" s="33" t="str">
        <f t="shared" si="36"/>
        <v/>
      </c>
      <c r="P406" s="33" t="str">
        <f t="shared" si="37"/>
        <v/>
      </c>
      <c r="X406" s="1"/>
    </row>
    <row r="407" spans="7:24">
      <c r="G407" s="21"/>
      <c r="H407" s="23"/>
      <c r="I407" s="23" t="str">
        <f>_xlfn.IFNA(VLOOKUP(A407,A408:$H$3524,8,0),"")</f>
        <v/>
      </c>
      <c r="J407" s="40" t="str">
        <f t="shared" si="38"/>
        <v/>
      </c>
      <c r="K407" s="24" t="str">
        <f t="shared" si="39"/>
        <v/>
      </c>
      <c r="L407" s="25" t="str">
        <f t="shared" si="35"/>
        <v/>
      </c>
      <c r="M407" s="37"/>
      <c r="N407" s="37"/>
      <c r="O407" s="33" t="str">
        <f t="shared" si="36"/>
        <v/>
      </c>
      <c r="P407" s="33" t="str">
        <f t="shared" si="37"/>
        <v/>
      </c>
      <c r="X407" s="1"/>
    </row>
    <row r="408" spans="7:24">
      <c r="G408" s="21"/>
      <c r="H408" s="23"/>
      <c r="I408" s="23" t="str">
        <f>_xlfn.IFNA(VLOOKUP(A408,A409:$H$3524,8,0),"")</f>
        <v/>
      </c>
      <c r="J408" s="40" t="str">
        <f t="shared" si="38"/>
        <v/>
      </c>
      <c r="K408" s="24" t="str">
        <f t="shared" si="39"/>
        <v/>
      </c>
      <c r="L408" s="25" t="str">
        <f t="shared" si="35"/>
        <v/>
      </c>
      <c r="M408" s="37"/>
      <c r="N408" s="37"/>
      <c r="O408" s="33" t="str">
        <f t="shared" si="36"/>
        <v/>
      </c>
      <c r="P408" s="33" t="str">
        <f t="shared" si="37"/>
        <v/>
      </c>
      <c r="X408" s="1"/>
    </row>
    <row r="409" spans="7:24">
      <c r="G409" s="21"/>
      <c r="H409" s="23"/>
      <c r="I409" s="23" t="str">
        <f>_xlfn.IFNA(VLOOKUP(A409,A410:$H$3524,8,0),"")</f>
        <v/>
      </c>
      <c r="J409" s="40" t="str">
        <f t="shared" si="38"/>
        <v/>
      </c>
      <c r="K409" s="24" t="str">
        <f t="shared" si="39"/>
        <v/>
      </c>
      <c r="L409" s="25" t="str">
        <f t="shared" si="35"/>
        <v/>
      </c>
      <c r="M409" s="37"/>
      <c r="N409" s="37"/>
      <c r="O409" s="33" t="str">
        <f t="shared" si="36"/>
        <v/>
      </c>
      <c r="P409" s="33" t="str">
        <f t="shared" si="37"/>
        <v/>
      </c>
      <c r="X409" s="1"/>
    </row>
    <row r="410" spans="7:24">
      <c r="G410" s="21"/>
      <c r="H410" s="23"/>
      <c r="I410" s="23" t="str">
        <f>_xlfn.IFNA(VLOOKUP(A410,A411:$H$3524,8,0),"")</f>
        <v/>
      </c>
      <c r="J410" s="40" t="str">
        <f t="shared" si="38"/>
        <v/>
      </c>
      <c r="K410" s="24" t="str">
        <f t="shared" si="39"/>
        <v/>
      </c>
      <c r="L410" s="25" t="str">
        <f t="shared" si="35"/>
        <v/>
      </c>
      <c r="M410" s="37"/>
      <c r="N410" s="37"/>
      <c r="O410" s="33" t="str">
        <f t="shared" si="36"/>
        <v/>
      </c>
      <c r="P410" s="33" t="str">
        <f t="shared" si="37"/>
        <v/>
      </c>
      <c r="X410" s="1"/>
    </row>
    <row r="411" spans="7:24">
      <c r="G411" s="21"/>
      <c r="H411" s="23"/>
      <c r="I411" s="23" t="str">
        <f>_xlfn.IFNA(VLOOKUP(A411,A412:$H$3524,8,0),"")</f>
        <v/>
      </c>
      <c r="J411" s="40" t="str">
        <f t="shared" si="38"/>
        <v/>
      </c>
      <c r="K411" s="24" t="str">
        <f t="shared" si="39"/>
        <v/>
      </c>
      <c r="L411" s="25" t="str">
        <f t="shared" si="35"/>
        <v/>
      </c>
      <c r="M411" s="37"/>
      <c r="N411" s="37"/>
      <c r="O411" s="33" t="str">
        <f t="shared" si="36"/>
        <v/>
      </c>
      <c r="P411" s="33" t="str">
        <f t="shared" si="37"/>
        <v/>
      </c>
      <c r="X411" s="1"/>
    </row>
    <row r="412" spans="7:24">
      <c r="G412" s="21"/>
      <c r="H412" s="23"/>
      <c r="I412" s="23" t="str">
        <f>_xlfn.IFNA(VLOOKUP(A412,A413:$H$3524,8,0),"")</f>
        <v/>
      </c>
      <c r="J412" s="40" t="str">
        <f t="shared" si="38"/>
        <v/>
      </c>
      <c r="K412" s="24" t="str">
        <f t="shared" si="39"/>
        <v/>
      </c>
      <c r="L412" s="25" t="str">
        <f t="shared" si="35"/>
        <v/>
      </c>
      <c r="M412" s="37"/>
      <c r="N412" s="37"/>
      <c r="O412" s="33" t="str">
        <f t="shared" si="36"/>
        <v/>
      </c>
      <c r="P412" s="33" t="str">
        <f t="shared" si="37"/>
        <v/>
      </c>
      <c r="X412" s="1"/>
    </row>
    <row r="413" spans="7:24">
      <c r="G413" s="21"/>
      <c r="H413" s="23"/>
      <c r="I413" s="23" t="str">
        <f>_xlfn.IFNA(VLOOKUP(A413,A414:$H$3524,8,0),"")</f>
        <v/>
      </c>
      <c r="J413" s="40" t="str">
        <f t="shared" si="38"/>
        <v/>
      </c>
      <c r="K413" s="24" t="str">
        <f t="shared" si="39"/>
        <v/>
      </c>
      <c r="L413" s="25" t="str">
        <f t="shared" si="35"/>
        <v/>
      </c>
      <c r="M413" s="37"/>
      <c r="N413" s="37"/>
      <c r="O413" s="33" t="str">
        <f t="shared" si="36"/>
        <v/>
      </c>
      <c r="P413" s="33" t="str">
        <f t="shared" si="37"/>
        <v/>
      </c>
      <c r="X413" s="1"/>
    </row>
    <row r="414" spans="7:24">
      <c r="G414" s="21"/>
      <c r="H414" s="23"/>
      <c r="I414" s="23" t="str">
        <f>_xlfn.IFNA(VLOOKUP(A414,A415:$H$3524,8,0),"")</f>
        <v/>
      </c>
      <c r="J414" s="40" t="str">
        <f t="shared" si="38"/>
        <v/>
      </c>
      <c r="K414" s="24" t="str">
        <f t="shared" si="39"/>
        <v/>
      </c>
      <c r="L414" s="25" t="str">
        <f t="shared" si="35"/>
        <v/>
      </c>
      <c r="M414" s="37"/>
      <c r="N414" s="37"/>
      <c r="O414" s="33" t="str">
        <f t="shared" si="36"/>
        <v/>
      </c>
      <c r="P414" s="33" t="str">
        <f t="shared" si="37"/>
        <v/>
      </c>
      <c r="X414" s="1"/>
    </row>
    <row r="415" spans="7:24">
      <c r="G415" s="21"/>
      <c r="H415" s="23"/>
      <c r="I415" s="23" t="str">
        <f>_xlfn.IFNA(VLOOKUP(A415,A416:$H$3524,8,0),"")</f>
        <v/>
      </c>
      <c r="J415" s="40" t="str">
        <f t="shared" si="38"/>
        <v/>
      </c>
      <c r="K415" s="24" t="str">
        <f t="shared" si="39"/>
        <v/>
      </c>
      <c r="L415" s="25" t="str">
        <f t="shared" si="35"/>
        <v/>
      </c>
      <c r="M415" s="37"/>
      <c r="N415" s="37"/>
      <c r="O415" s="33" t="str">
        <f t="shared" si="36"/>
        <v/>
      </c>
      <c r="P415" s="33" t="str">
        <f t="shared" si="37"/>
        <v/>
      </c>
      <c r="X415" s="1"/>
    </row>
    <row r="416" spans="7:24">
      <c r="G416" s="21"/>
      <c r="H416" s="23"/>
      <c r="I416" s="23" t="str">
        <f>_xlfn.IFNA(VLOOKUP(A416,A417:$H$3524,8,0),"")</f>
        <v/>
      </c>
      <c r="J416" s="40" t="str">
        <f t="shared" si="38"/>
        <v/>
      </c>
      <c r="K416" s="24" t="str">
        <f t="shared" si="39"/>
        <v/>
      </c>
      <c r="L416" s="25" t="str">
        <f t="shared" si="35"/>
        <v/>
      </c>
      <c r="M416" s="37"/>
      <c r="N416" s="37"/>
      <c r="O416" s="33" t="str">
        <f t="shared" si="36"/>
        <v/>
      </c>
      <c r="P416" s="33" t="str">
        <f t="shared" si="37"/>
        <v/>
      </c>
      <c r="X416" s="1"/>
    </row>
    <row r="417" spans="7:24">
      <c r="G417" s="21"/>
      <c r="H417" s="23"/>
      <c r="I417" s="23" t="str">
        <f>_xlfn.IFNA(VLOOKUP(A417,A418:$H$3524,8,0),"")</f>
        <v/>
      </c>
      <c r="J417" s="40" t="str">
        <f t="shared" si="38"/>
        <v/>
      </c>
      <c r="K417" s="24" t="str">
        <f t="shared" si="39"/>
        <v/>
      </c>
      <c r="L417" s="25" t="str">
        <f t="shared" si="35"/>
        <v/>
      </c>
      <c r="M417" s="37"/>
      <c r="N417" s="37"/>
      <c r="O417" s="33" t="str">
        <f t="shared" si="36"/>
        <v/>
      </c>
      <c r="P417" s="33" t="str">
        <f t="shared" si="37"/>
        <v/>
      </c>
      <c r="X417" s="1"/>
    </row>
    <row r="418" spans="7:24">
      <c r="G418" s="21"/>
      <c r="H418" s="23"/>
      <c r="I418" s="23" t="str">
        <f>_xlfn.IFNA(VLOOKUP(A418,A419:$H$3524,8,0),"")</f>
        <v/>
      </c>
      <c r="J418" s="40" t="str">
        <f t="shared" si="38"/>
        <v/>
      </c>
      <c r="K418" s="24" t="str">
        <f t="shared" si="39"/>
        <v/>
      </c>
      <c r="L418" s="25" t="str">
        <f t="shared" si="35"/>
        <v/>
      </c>
      <c r="M418" s="37"/>
      <c r="N418" s="37"/>
      <c r="O418" s="33" t="str">
        <f t="shared" si="36"/>
        <v/>
      </c>
      <c r="P418" s="33" t="str">
        <f t="shared" si="37"/>
        <v/>
      </c>
      <c r="X418" s="1"/>
    </row>
    <row r="419" spans="7:24">
      <c r="G419" s="21"/>
      <c r="H419" s="23"/>
      <c r="I419" s="23" t="str">
        <f>_xlfn.IFNA(VLOOKUP(A419,A420:$H$3524,8,0),"")</f>
        <v/>
      </c>
      <c r="J419" s="40" t="str">
        <f t="shared" si="38"/>
        <v/>
      </c>
      <c r="K419" s="24" t="str">
        <f t="shared" si="39"/>
        <v/>
      </c>
      <c r="L419" s="25" t="str">
        <f t="shared" si="35"/>
        <v/>
      </c>
      <c r="M419" s="37"/>
      <c r="N419" s="37"/>
      <c r="O419" s="33" t="str">
        <f t="shared" si="36"/>
        <v/>
      </c>
      <c r="P419" s="33" t="str">
        <f t="shared" si="37"/>
        <v/>
      </c>
      <c r="X419" s="1"/>
    </row>
    <row r="420" spans="7:24">
      <c r="G420" s="21"/>
      <c r="H420" s="23"/>
      <c r="I420" s="23" t="str">
        <f>_xlfn.IFNA(VLOOKUP(A420,A421:$H$3524,8,0),"")</f>
        <v/>
      </c>
      <c r="J420" s="40" t="str">
        <f t="shared" si="38"/>
        <v/>
      </c>
      <c r="K420" s="24" t="str">
        <f t="shared" si="39"/>
        <v/>
      </c>
      <c r="L420" s="25" t="str">
        <f t="shared" si="35"/>
        <v/>
      </c>
      <c r="M420" s="37"/>
      <c r="N420" s="37"/>
      <c r="O420" s="33" t="str">
        <f t="shared" si="36"/>
        <v/>
      </c>
      <c r="P420" s="33" t="str">
        <f t="shared" si="37"/>
        <v/>
      </c>
      <c r="X420" s="1"/>
    </row>
    <row r="421" spans="7:24">
      <c r="G421" s="21"/>
      <c r="H421" s="23"/>
      <c r="I421" s="23" t="str">
        <f>_xlfn.IFNA(VLOOKUP(A421,A422:$H$3524,8,0),"")</f>
        <v/>
      </c>
      <c r="J421" s="40" t="str">
        <f t="shared" si="38"/>
        <v/>
      </c>
      <c r="K421" s="24" t="str">
        <f t="shared" si="39"/>
        <v/>
      </c>
      <c r="L421" s="25" t="str">
        <f t="shared" si="35"/>
        <v/>
      </c>
      <c r="M421" s="37"/>
      <c r="N421" s="37"/>
      <c r="O421" s="33" t="str">
        <f t="shared" si="36"/>
        <v/>
      </c>
      <c r="P421" s="33" t="str">
        <f t="shared" si="37"/>
        <v/>
      </c>
      <c r="X421" s="1"/>
    </row>
    <row r="422" spans="7:24">
      <c r="G422" s="21"/>
      <c r="H422" s="23"/>
      <c r="I422" s="23" t="str">
        <f>_xlfn.IFNA(VLOOKUP(A422,A423:$H$3524,8,0),"")</f>
        <v/>
      </c>
      <c r="J422" s="40" t="str">
        <f t="shared" si="38"/>
        <v/>
      </c>
      <c r="K422" s="24" t="str">
        <f t="shared" si="39"/>
        <v/>
      </c>
      <c r="L422" s="25" t="str">
        <f t="shared" si="35"/>
        <v/>
      </c>
      <c r="M422" s="37"/>
      <c r="N422" s="37"/>
      <c r="O422" s="33" t="str">
        <f t="shared" si="36"/>
        <v/>
      </c>
      <c r="P422" s="33" t="str">
        <f t="shared" si="37"/>
        <v/>
      </c>
      <c r="X422" s="1"/>
    </row>
    <row r="423" spans="7:24">
      <c r="G423" s="21"/>
      <c r="H423" s="23"/>
      <c r="I423" s="23" t="str">
        <f>_xlfn.IFNA(VLOOKUP(A423,A424:$H$3524,8,0),"")</f>
        <v/>
      </c>
      <c r="J423" s="40" t="str">
        <f t="shared" si="38"/>
        <v/>
      </c>
      <c r="K423" s="24" t="str">
        <f t="shared" si="39"/>
        <v/>
      </c>
      <c r="L423" s="25" t="str">
        <f t="shared" si="35"/>
        <v/>
      </c>
      <c r="M423" s="37"/>
      <c r="N423" s="37"/>
      <c r="O423" s="33" t="str">
        <f t="shared" si="36"/>
        <v/>
      </c>
      <c r="P423" s="33" t="str">
        <f t="shared" si="37"/>
        <v/>
      </c>
      <c r="X423" s="1"/>
    </row>
    <row r="424" spans="7:24">
      <c r="G424" s="21"/>
      <c r="H424" s="23"/>
      <c r="I424" s="23" t="str">
        <f>_xlfn.IFNA(VLOOKUP(A424,A425:$H$3524,8,0),"")</f>
        <v/>
      </c>
      <c r="J424" s="40" t="str">
        <f t="shared" si="38"/>
        <v/>
      </c>
      <c r="K424" s="24" t="str">
        <f t="shared" si="39"/>
        <v/>
      </c>
      <c r="L424" s="25" t="str">
        <f t="shared" si="35"/>
        <v/>
      </c>
      <c r="M424" s="37"/>
      <c r="N424" s="37"/>
      <c r="O424" s="33" t="str">
        <f t="shared" si="36"/>
        <v/>
      </c>
      <c r="P424" s="33" t="str">
        <f t="shared" si="37"/>
        <v/>
      </c>
      <c r="X424" s="1"/>
    </row>
    <row r="425" spans="7:24">
      <c r="G425" s="21"/>
      <c r="H425" s="23"/>
      <c r="I425" s="23" t="str">
        <f>_xlfn.IFNA(VLOOKUP(A425,A426:$H$3524,8,0),"")</f>
        <v/>
      </c>
      <c r="J425" s="40" t="str">
        <f t="shared" si="38"/>
        <v/>
      </c>
      <c r="K425" s="24" t="str">
        <f t="shared" si="39"/>
        <v/>
      </c>
      <c r="L425" s="25" t="str">
        <f t="shared" si="35"/>
        <v/>
      </c>
      <c r="M425" s="37"/>
      <c r="N425" s="37"/>
      <c r="O425" s="33" t="str">
        <f t="shared" si="36"/>
        <v/>
      </c>
      <c r="P425" s="33" t="str">
        <f t="shared" si="37"/>
        <v/>
      </c>
      <c r="X425" s="1"/>
    </row>
    <row r="426" spans="7:24">
      <c r="G426" s="21"/>
      <c r="H426" s="23"/>
      <c r="I426" s="23" t="str">
        <f>_xlfn.IFNA(VLOOKUP(A426,A427:$H$3524,8,0),"")</f>
        <v/>
      </c>
      <c r="J426" s="40" t="str">
        <f t="shared" si="38"/>
        <v/>
      </c>
      <c r="K426" s="24" t="str">
        <f t="shared" si="39"/>
        <v/>
      </c>
      <c r="L426" s="25" t="str">
        <f t="shared" si="35"/>
        <v/>
      </c>
      <c r="M426" s="37"/>
      <c r="N426" s="37"/>
      <c r="O426" s="33" t="str">
        <f t="shared" si="36"/>
        <v/>
      </c>
      <c r="P426" s="33" t="str">
        <f t="shared" si="37"/>
        <v/>
      </c>
      <c r="X426" s="1"/>
    </row>
    <row r="427" spans="7:24">
      <c r="G427" s="21"/>
      <c r="H427" s="23"/>
      <c r="I427" s="23" t="str">
        <f>_xlfn.IFNA(VLOOKUP(A427,A428:$H$3524,8,0),"")</f>
        <v/>
      </c>
      <c r="J427" s="40" t="str">
        <f t="shared" si="38"/>
        <v/>
      </c>
      <c r="K427" s="24" t="str">
        <f t="shared" si="39"/>
        <v/>
      </c>
      <c r="L427" s="25" t="str">
        <f t="shared" si="35"/>
        <v/>
      </c>
      <c r="M427" s="37"/>
      <c r="N427" s="37"/>
      <c r="O427" s="33" t="str">
        <f t="shared" si="36"/>
        <v/>
      </c>
      <c r="P427" s="33" t="str">
        <f t="shared" si="37"/>
        <v/>
      </c>
      <c r="X427" s="1"/>
    </row>
    <row r="428" spans="7:24">
      <c r="G428" s="21"/>
      <c r="H428" s="23"/>
      <c r="I428" s="23" t="str">
        <f>_xlfn.IFNA(VLOOKUP(A428,A429:$H$3524,8,0),"")</f>
        <v/>
      </c>
      <c r="J428" s="40" t="str">
        <f t="shared" si="38"/>
        <v/>
      </c>
      <c r="K428" s="24" t="str">
        <f t="shared" si="39"/>
        <v/>
      </c>
      <c r="L428" s="25" t="str">
        <f t="shared" si="35"/>
        <v/>
      </c>
      <c r="M428" s="37"/>
      <c r="N428" s="37"/>
      <c r="O428" s="33" t="str">
        <f t="shared" si="36"/>
        <v/>
      </c>
      <c r="P428" s="33" t="str">
        <f t="shared" si="37"/>
        <v/>
      </c>
      <c r="X428" s="1"/>
    </row>
    <row r="429" spans="7:24">
      <c r="G429" s="21"/>
      <c r="H429" s="23"/>
      <c r="I429" s="23" t="str">
        <f>_xlfn.IFNA(VLOOKUP(A429,A430:$H$3524,8,0),"")</f>
        <v/>
      </c>
      <c r="J429" s="40" t="str">
        <f t="shared" si="38"/>
        <v/>
      </c>
      <c r="K429" s="24" t="str">
        <f t="shared" si="39"/>
        <v/>
      </c>
      <c r="L429" s="25" t="str">
        <f t="shared" si="35"/>
        <v/>
      </c>
      <c r="M429" s="37"/>
      <c r="N429" s="37"/>
      <c r="O429" s="33" t="str">
        <f t="shared" si="36"/>
        <v/>
      </c>
      <c r="P429" s="33" t="str">
        <f t="shared" si="37"/>
        <v/>
      </c>
      <c r="X429" s="1"/>
    </row>
    <row r="430" spans="7:24">
      <c r="G430" s="21"/>
      <c r="H430" s="23"/>
      <c r="I430" s="23" t="str">
        <f>_xlfn.IFNA(VLOOKUP(A430,A431:$H$3524,8,0),"")</f>
        <v/>
      </c>
      <c r="J430" s="40" t="str">
        <f t="shared" si="38"/>
        <v/>
      </c>
      <c r="K430" s="24" t="str">
        <f t="shared" si="39"/>
        <v/>
      </c>
      <c r="L430" s="25" t="str">
        <f t="shared" si="35"/>
        <v/>
      </c>
      <c r="M430" s="37"/>
      <c r="N430" s="37"/>
      <c r="O430" s="33" t="str">
        <f t="shared" si="36"/>
        <v/>
      </c>
      <c r="P430" s="33" t="str">
        <f t="shared" si="37"/>
        <v/>
      </c>
      <c r="X430" s="1"/>
    </row>
    <row r="431" spans="7:24">
      <c r="G431" s="21"/>
      <c r="H431" s="23"/>
      <c r="I431" s="23" t="str">
        <f>_xlfn.IFNA(VLOOKUP(A431,A432:$H$3524,8,0),"")</f>
        <v/>
      </c>
      <c r="J431" s="40" t="str">
        <f t="shared" si="38"/>
        <v/>
      </c>
      <c r="K431" s="24" t="str">
        <f t="shared" si="39"/>
        <v/>
      </c>
      <c r="L431" s="25" t="str">
        <f t="shared" si="35"/>
        <v/>
      </c>
      <c r="M431" s="37"/>
      <c r="N431" s="37"/>
      <c r="O431" s="33" t="str">
        <f t="shared" si="36"/>
        <v/>
      </c>
      <c r="P431" s="33" t="str">
        <f t="shared" si="37"/>
        <v/>
      </c>
      <c r="X431" s="1"/>
    </row>
    <row r="432" spans="7:24">
      <c r="G432" s="21"/>
      <c r="H432" s="23"/>
      <c r="I432" s="23" t="str">
        <f>_xlfn.IFNA(VLOOKUP(A432,A433:$H$3524,8,0),"")</f>
        <v/>
      </c>
      <c r="J432" s="40" t="str">
        <f t="shared" si="38"/>
        <v/>
      </c>
      <c r="K432" s="24" t="str">
        <f t="shared" si="39"/>
        <v/>
      </c>
      <c r="L432" s="25" t="str">
        <f t="shared" si="35"/>
        <v/>
      </c>
      <c r="M432" s="37"/>
      <c r="N432" s="37"/>
      <c r="O432" s="33" t="str">
        <f t="shared" si="36"/>
        <v/>
      </c>
      <c r="P432" s="33" t="str">
        <f t="shared" si="37"/>
        <v/>
      </c>
      <c r="X432" s="1"/>
    </row>
    <row r="433" spans="7:24">
      <c r="G433" s="21"/>
      <c r="H433" s="23"/>
      <c r="I433" s="23" t="str">
        <f>_xlfn.IFNA(VLOOKUP(A433,A434:$H$3524,8,0),"")</f>
        <v/>
      </c>
      <c r="J433" s="40" t="str">
        <f t="shared" si="38"/>
        <v/>
      </c>
      <c r="K433" s="24" t="str">
        <f t="shared" si="39"/>
        <v/>
      </c>
      <c r="L433" s="25" t="str">
        <f t="shared" si="35"/>
        <v/>
      </c>
      <c r="M433" s="37"/>
      <c r="N433" s="37"/>
      <c r="O433" s="33" t="str">
        <f t="shared" si="36"/>
        <v/>
      </c>
      <c r="P433" s="33" t="str">
        <f t="shared" si="37"/>
        <v/>
      </c>
      <c r="X433" s="1"/>
    </row>
    <row r="434" spans="7:24">
      <c r="G434" s="21"/>
      <c r="H434" s="23"/>
      <c r="I434" s="23" t="str">
        <f>_xlfn.IFNA(VLOOKUP(A434,A435:$H$3524,8,0),"")</f>
        <v/>
      </c>
      <c r="J434" s="40" t="str">
        <f t="shared" si="38"/>
        <v/>
      </c>
      <c r="K434" s="24" t="str">
        <f t="shared" si="39"/>
        <v/>
      </c>
      <c r="L434" s="25" t="str">
        <f t="shared" si="35"/>
        <v/>
      </c>
      <c r="M434" s="37"/>
      <c r="N434" s="37"/>
      <c r="O434" s="33" t="str">
        <f t="shared" si="36"/>
        <v/>
      </c>
      <c r="P434" s="33" t="str">
        <f t="shared" si="37"/>
        <v/>
      </c>
      <c r="X434" s="1"/>
    </row>
    <row r="435" spans="7:24">
      <c r="G435" s="21"/>
      <c r="H435" s="23"/>
      <c r="I435" s="23" t="str">
        <f>_xlfn.IFNA(VLOOKUP(A435,A436:$H$3524,8,0),"")</f>
        <v/>
      </c>
      <c r="J435" s="40" t="str">
        <f t="shared" si="38"/>
        <v/>
      </c>
      <c r="K435" s="24" t="str">
        <f t="shared" si="39"/>
        <v/>
      </c>
      <c r="L435" s="25" t="str">
        <f t="shared" si="35"/>
        <v/>
      </c>
      <c r="M435" s="37"/>
      <c r="N435" s="37"/>
      <c r="O435" s="33" t="str">
        <f t="shared" si="36"/>
        <v/>
      </c>
      <c r="P435" s="33" t="str">
        <f t="shared" si="37"/>
        <v/>
      </c>
      <c r="X435" s="1"/>
    </row>
    <row r="436" spans="7:24">
      <c r="G436" s="21"/>
      <c r="H436" s="23"/>
      <c r="I436" s="23" t="str">
        <f>_xlfn.IFNA(VLOOKUP(A436,A437:$H$3524,8,0),"")</f>
        <v/>
      </c>
      <c r="J436" s="40" t="str">
        <f t="shared" si="38"/>
        <v/>
      </c>
      <c r="K436" s="24" t="str">
        <f t="shared" si="39"/>
        <v/>
      </c>
      <c r="L436" s="25" t="str">
        <f t="shared" si="35"/>
        <v/>
      </c>
      <c r="M436" s="37"/>
      <c r="N436" s="37"/>
      <c r="O436" s="33" t="str">
        <f t="shared" si="36"/>
        <v/>
      </c>
      <c r="P436" s="33" t="str">
        <f t="shared" si="37"/>
        <v/>
      </c>
      <c r="X436" s="1"/>
    </row>
    <row r="437" spans="7:24">
      <c r="G437" s="21"/>
      <c r="H437" s="23"/>
      <c r="I437" s="23" t="str">
        <f>_xlfn.IFNA(VLOOKUP(A437,A438:$H$3524,8,0),"")</f>
        <v/>
      </c>
      <c r="J437" s="40" t="str">
        <f t="shared" si="38"/>
        <v/>
      </c>
      <c r="K437" s="24" t="str">
        <f t="shared" si="39"/>
        <v/>
      </c>
      <c r="L437" s="25" t="str">
        <f t="shared" si="35"/>
        <v/>
      </c>
      <c r="M437" s="37"/>
      <c r="N437" s="37"/>
      <c r="O437" s="33" t="str">
        <f t="shared" si="36"/>
        <v/>
      </c>
      <c r="P437" s="33" t="str">
        <f t="shared" si="37"/>
        <v/>
      </c>
      <c r="X437" s="1"/>
    </row>
    <row r="438" spans="7:24">
      <c r="G438" s="21"/>
      <c r="H438" s="23"/>
      <c r="I438" s="23" t="str">
        <f>_xlfn.IFNA(VLOOKUP(A438,A439:$H$3524,8,0),"")</f>
        <v/>
      </c>
      <c r="J438" s="40" t="str">
        <f t="shared" si="38"/>
        <v/>
      </c>
      <c r="K438" s="24" t="str">
        <f t="shared" si="39"/>
        <v/>
      </c>
      <c r="L438" s="25" t="str">
        <f t="shared" si="35"/>
        <v/>
      </c>
      <c r="M438" s="37"/>
      <c r="N438" s="37"/>
      <c r="O438" s="33" t="str">
        <f t="shared" si="36"/>
        <v/>
      </c>
      <c r="P438" s="33" t="str">
        <f t="shared" si="37"/>
        <v/>
      </c>
      <c r="X438" s="1"/>
    </row>
    <row r="439" spans="7:24">
      <c r="G439" s="21"/>
      <c r="H439" s="23"/>
      <c r="I439" s="23" t="str">
        <f>_xlfn.IFNA(VLOOKUP(A439,A440:$H$3524,8,0),"")</f>
        <v/>
      </c>
      <c r="J439" s="40" t="str">
        <f t="shared" si="38"/>
        <v/>
      </c>
      <c r="K439" s="24" t="str">
        <f t="shared" si="39"/>
        <v/>
      </c>
      <c r="L439" s="25" t="str">
        <f t="shared" ref="L439:L502" si="40">IF(K439="","",IF(B439="Break","Break",IF(K439&lt;&gt;0,"Work Finished",IF(B439="OFF","Work Finished",IF(I439="","Working","Work Finished")))))</f>
        <v/>
      </c>
      <c r="M439" s="37"/>
      <c r="N439" s="37"/>
      <c r="O439" s="33" t="str">
        <f t="shared" ref="O439:O502" si="41">IF(AND(J439="",M439="",N439=""),"",J439-M439-N439)</f>
        <v/>
      </c>
      <c r="P439" s="33" t="str">
        <f t="shared" ref="P439:P502" si="42">IF(HOUR(H439)=0,"",HOUR(H439))</f>
        <v/>
      </c>
      <c r="X439" s="1"/>
    </row>
    <row r="440" spans="7:24">
      <c r="G440" s="21"/>
      <c r="H440" s="23"/>
      <c r="I440" s="23" t="str">
        <f>_xlfn.IFNA(VLOOKUP(A440,A441:$H$3524,8,0),"")</f>
        <v/>
      </c>
      <c r="J440" s="40" t="str">
        <f t="shared" si="38"/>
        <v/>
      </c>
      <c r="K440" s="24" t="str">
        <f t="shared" si="39"/>
        <v/>
      </c>
      <c r="L440" s="25" t="str">
        <f t="shared" si="40"/>
        <v/>
      </c>
      <c r="M440" s="37"/>
      <c r="N440" s="37"/>
      <c r="O440" s="33" t="str">
        <f t="shared" si="41"/>
        <v/>
      </c>
      <c r="P440" s="33" t="str">
        <f t="shared" si="42"/>
        <v/>
      </c>
      <c r="X440" s="1"/>
    </row>
    <row r="441" spans="7:24">
      <c r="G441" s="21"/>
      <c r="H441" s="23"/>
      <c r="I441" s="23" t="str">
        <f>_xlfn.IFNA(VLOOKUP(A441,A442:$H$3524,8,0),"")</f>
        <v/>
      </c>
      <c r="J441" s="40" t="str">
        <f t="shared" si="38"/>
        <v/>
      </c>
      <c r="K441" s="24" t="str">
        <f t="shared" si="39"/>
        <v/>
      </c>
      <c r="L441" s="25" t="str">
        <f t="shared" si="40"/>
        <v/>
      </c>
      <c r="M441" s="37"/>
      <c r="N441" s="37"/>
      <c r="O441" s="33" t="str">
        <f t="shared" si="41"/>
        <v/>
      </c>
      <c r="P441" s="33" t="str">
        <f t="shared" si="42"/>
        <v/>
      </c>
      <c r="X441" s="1"/>
    </row>
    <row r="442" spans="7:24">
      <c r="G442" s="21"/>
      <c r="H442" s="23"/>
      <c r="I442" s="23" t="str">
        <f>_xlfn.IFNA(VLOOKUP(A442,A443:$H$3524,8,0),"")</f>
        <v/>
      </c>
      <c r="J442" s="40" t="str">
        <f t="shared" si="38"/>
        <v/>
      </c>
      <c r="K442" s="24" t="str">
        <f t="shared" si="39"/>
        <v/>
      </c>
      <c r="L442" s="25" t="str">
        <f t="shared" si="40"/>
        <v/>
      </c>
      <c r="M442" s="37"/>
      <c r="N442" s="37"/>
      <c r="O442" s="33" t="str">
        <f t="shared" si="41"/>
        <v/>
      </c>
      <c r="P442" s="33" t="str">
        <f t="shared" si="42"/>
        <v/>
      </c>
      <c r="X442" s="1"/>
    </row>
    <row r="443" spans="7:24">
      <c r="G443" s="21"/>
      <c r="H443" s="23"/>
      <c r="I443" s="23" t="str">
        <f>_xlfn.IFNA(VLOOKUP(A443,A444:$H$3524,8,0),"")</f>
        <v/>
      </c>
      <c r="J443" s="40" t="str">
        <f t="shared" si="38"/>
        <v/>
      </c>
      <c r="K443" s="24" t="str">
        <f t="shared" si="39"/>
        <v/>
      </c>
      <c r="L443" s="25" t="str">
        <f t="shared" si="40"/>
        <v/>
      </c>
      <c r="M443" s="37"/>
      <c r="N443" s="37"/>
      <c r="O443" s="33" t="str">
        <f t="shared" si="41"/>
        <v/>
      </c>
      <c r="P443" s="33" t="str">
        <f t="shared" si="42"/>
        <v/>
      </c>
      <c r="X443" s="1"/>
    </row>
    <row r="444" spans="7:24">
      <c r="G444" s="21"/>
      <c r="H444" s="23"/>
      <c r="I444" s="23" t="str">
        <f>_xlfn.IFNA(VLOOKUP(A444,A445:$H$3524,8,0),"")</f>
        <v/>
      </c>
      <c r="J444" s="40" t="str">
        <f t="shared" si="38"/>
        <v/>
      </c>
      <c r="K444" s="24" t="str">
        <f t="shared" si="39"/>
        <v/>
      </c>
      <c r="L444" s="25" t="str">
        <f t="shared" si="40"/>
        <v/>
      </c>
      <c r="M444" s="37"/>
      <c r="N444" s="37"/>
      <c r="O444" s="33" t="str">
        <f t="shared" si="41"/>
        <v/>
      </c>
      <c r="P444" s="33" t="str">
        <f t="shared" si="42"/>
        <v/>
      </c>
      <c r="X444" s="1"/>
    </row>
    <row r="445" spans="7:24">
      <c r="G445" s="21"/>
      <c r="H445" s="23"/>
      <c r="I445" s="23" t="str">
        <f>_xlfn.IFNA(VLOOKUP(A445,A446:$H$3524,8,0),"")</f>
        <v/>
      </c>
      <c r="J445" s="40" t="str">
        <f t="shared" si="38"/>
        <v/>
      </c>
      <c r="K445" s="24" t="str">
        <f t="shared" si="39"/>
        <v/>
      </c>
      <c r="L445" s="25" t="str">
        <f t="shared" si="40"/>
        <v/>
      </c>
      <c r="M445" s="37"/>
      <c r="N445" s="37"/>
      <c r="O445" s="33" t="str">
        <f t="shared" si="41"/>
        <v/>
      </c>
      <c r="P445" s="33" t="str">
        <f t="shared" si="42"/>
        <v/>
      </c>
      <c r="X445" s="1"/>
    </row>
    <row r="446" spans="7:24">
      <c r="G446" s="21"/>
      <c r="H446" s="23"/>
      <c r="I446" s="23" t="str">
        <f>_xlfn.IFNA(VLOOKUP(A446,A447:$H$3524,8,0),"")</f>
        <v/>
      </c>
      <c r="J446" s="40" t="str">
        <f t="shared" si="38"/>
        <v/>
      </c>
      <c r="K446" s="24" t="str">
        <f t="shared" si="39"/>
        <v/>
      </c>
      <c r="L446" s="25" t="str">
        <f t="shared" si="40"/>
        <v/>
      </c>
      <c r="M446" s="37"/>
      <c r="N446" s="37"/>
      <c r="O446" s="33" t="str">
        <f t="shared" si="41"/>
        <v/>
      </c>
      <c r="P446" s="33" t="str">
        <f t="shared" si="42"/>
        <v/>
      </c>
      <c r="X446" s="1"/>
    </row>
    <row r="447" spans="7:24">
      <c r="G447" s="21"/>
      <c r="H447" s="23"/>
      <c r="I447" s="23" t="str">
        <f>_xlfn.IFNA(VLOOKUP(A447,A448:$H$3524,8,0),"")</f>
        <v/>
      </c>
      <c r="J447" s="40" t="str">
        <f t="shared" si="38"/>
        <v/>
      </c>
      <c r="K447" s="24" t="str">
        <f t="shared" si="39"/>
        <v/>
      </c>
      <c r="L447" s="25" t="str">
        <f t="shared" si="40"/>
        <v/>
      </c>
      <c r="M447" s="37"/>
      <c r="N447" s="37"/>
      <c r="O447" s="33" t="str">
        <f t="shared" si="41"/>
        <v/>
      </c>
      <c r="P447" s="33" t="str">
        <f t="shared" si="42"/>
        <v/>
      </c>
      <c r="X447" s="1"/>
    </row>
    <row r="448" spans="7:24">
      <c r="G448" s="21"/>
      <c r="H448" s="23"/>
      <c r="I448" s="23" t="str">
        <f>_xlfn.IFNA(VLOOKUP(A448,A449:$H$3524,8,0),"")</f>
        <v/>
      </c>
      <c r="J448" s="40" t="str">
        <f t="shared" si="38"/>
        <v/>
      </c>
      <c r="K448" s="24" t="str">
        <f t="shared" si="39"/>
        <v/>
      </c>
      <c r="L448" s="25" t="str">
        <f t="shared" si="40"/>
        <v/>
      </c>
      <c r="M448" s="37"/>
      <c r="N448" s="37"/>
      <c r="O448" s="33" t="str">
        <f t="shared" si="41"/>
        <v/>
      </c>
      <c r="P448" s="33" t="str">
        <f t="shared" si="42"/>
        <v/>
      </c>
      <c r="X448" s="1"/>
    </row>
    <row r="449" spans="7:24">
      <c r="G449" s="21"/>
      <c r="H449" s="23"/>
      <c r="I449" s="23" t="str">
        <f>_xlfn.IFNA(VLOOKUP(A449,A450:$H$3524,8,0),"")</f>
        <v/>
      </c>
      <c r="J449" s="40" t="str">
        <f t="shared" si="38"/>
        <v/>
      </c>
      <c r="K449" s="24" t="str">
        <f t="shared" si="39"/>
        <v/>
      </c>
      <c r="L449" s="25" t="str">
        <f t="shared" si="40"/>
        <v/>
      </c>
      <c r="M449" s="37"/>
      <c r="N449" s="37"/>
      <c r="O449" s="33" t="str">
        <f t="shared" si="41"/>
        <v/>
      </c>
      <c r="P449" s="33" t="str">
        <f t="shared" si="42"/>
        <v/>
      </c>
      <c r="X449" s="1"/>
    </row>
    <row r="450" spans="7:24">
      <c r="G450" s="21"/>
      <c r="H450" s="23"/>
      <c r="I450" s="23" t="str">
        <f>_xlfn.IFNA(VLOOKUP(A450,A451:$H$3524,8,0),"")</f>
        <v/>
      </c>
      <c r="J450" s="40" t="str">
        <f t="shared" si="38"/>
        <v/>
      </c>
      <c r="K450" s="24" t="str">
        <f t="shared" si="39"/>
        <v/>
      </c>
      <c r="L450" s="25" t="str">
        <f t="shared" si="40"/>
        <v/>
      </c>
      <c r="M450" s="37"/>
      <c r="N450" s="37"/>
      <c r="O450" s="33" t="str">
        <f t="shared" si="41"/>
        <v/>
      </c>
      <c r="P450" s="33" t="str">
        <f t="shared" si="42"/>
        <v/>
      </c>
      <c r="X450" s="1"/>
    </row>
    <row r="451" spans="7:24">
      <c r="G451" s="21"/>
      <c r="H451" s="23"/>
      <c r="I451" s="23" t="str">
        <f>_xlfn.IFNA(VLOOKUP(A451,A452:$H$3524,8,0),"")</f>
        <v/>
      </c>
      <c r="J451" s="40" t="str">
        <f t="shared" si="38"/>
        <v/>
      </c>
      <c r="K451" s="24" t="str">
        <f t="shared" si="39"/>
        <v/>
      </c>
      <c r="L451" s="25" t="str">
        <f t="shared" si="40"/>
        <v/>
      </c>
      <c r="M451" s="37"/>
      <c r="N451" s="37"/>
      <c r="O451" s="33" t="str">
        <f t="shared" si="41"/>
        <v/>
      </c>
      <c r="P451" s="33" t="str">
        <f t="shared" si="42"/>
        <v/>
      </c>
      <c r="X451" s="1"/>
    </row>
    <row r="452" spans="7:24">
      <c r="G452" s="21"/>
      <c r="H452" s="23"/>
      <c r="I452" s="23" t="str">
        <f>_xlfn.IFNA(VLOOKUP(A452,A453:$H$3524,8,0),"")</f>
        <v/>
      </c>
      <c r="J452" s="40" t="str">
        <f t="shared" si="38"/>
        <v/>
      </c>
      <c r="K452" s="24" t="str">
        <f t="shared" si="39"/>
        <v/>
      </c>
      <c r="L452" s="25" t="str">
        <f t="shared" si="40"/>
        <v/>
      </c>
      <c r="M452" s="37"/>
      <c r="N452" s="37"/>
      <c r="O452" s="33" t="str">
        <f t="shared" si="41"/>
        <v/>
      </c>
      <c r="P452" s="33" t="str">
        <f t="shared" si="42"/>
        <v/>
      </c>
      <c r="X452" s="1"/>
    </row>
    <row r="453" spans="7:24">
      <c r="G453" s="21"/>
      <c r="H453" s="23"/>
      <c r="I453" s="23" t="str">
        <f>_xlfn.IFNA(VLOOKUP(A453,A454:$H$3524,8,0),"")</f>
        <v/>
      </c>
      <c r="J453" s="40" t="str">
        <f t="shared" si="38"/>
        <v/>
      </c>
      <c r="K453" s="24" t="str">
        <f t="shared" si="39"/>
        <v/>
      </c>
      <c r="L453" s="25" t="str">
        <f t="shared" si="40"/>
        <v/>
      </c>
      <c r="M453" s="37"/>
      <c r="N453" s="37"/>
      <c r="O453" s="33" t="str">
        <f t="shared" si="41"/>
        <v/>
      </c>
      <c r="P453" s="33" t="str">
        <f t="shared" si="42"/>
        <v/>
      </c>
      <c r="X453" s="1"/>
    </row>
    <row r="454" spans="7:24">
      <c r="G454" s="21"/>
      <c r="H454" s="23"/>
      <c r="I454" s="23" t="str">
        <f>_xlfn.IFNA(VLOOKUP(A454,A455:$H$3524,8,0),"")</f>
        <v/>
      </c>
      <c r="J454" s="40" t="str">
        <f t="shared" ref="J454:J517" si="43">IF(B454="OFF",0,IF(AND(D454&lt;&gt;"",E454&lt;&gt;""),E454-D454+1,""))</f>
        <v/>
      </c>
      <c r="K454" s="24" t="str">
        <f t="shared" si="39"/>
        <v/>
      </c>
      <c r="L454" s="25" t="str">
        <f t="shared" si="40"/>
        <v/>
      </c>
      <c r="M454" s="37"/>
      <c r="N454" s="37"/>
      <c r="O454" s="33" t="str">
        <f t="shared" si="41"/>
        <v/>
      </c>
      <c r="P454" s="33" t="str">
        <f t="shared" si="42"/>
        <v/>
      </c>
      <c r="X454" s="1"/>
    </row>
    <row r="455" spans="7:24">
      <c r="G455" s="21"/>
      <c r="H455" s="23"/>
      <c r="I455" s="23" t="str">
        <f>_xlfn.IFNA(VLOOKUP(A455,A456:$H$3524,8,0),"")</f>
        <v/>
      </c>
      <c r="J455" s="40" t="str">
        <f t="shared" si="43"/>
        <v/>
      </c>
      <c r="K455" s="24" t="str">
        <f t="shared" si="39"/>
        <v/>
      </c>
      <c r="L455" s="25" t="str">
        <f t="shared" si="40"/>
        <v/>
      </c>
      <c r="M455" s="37"/>
      <c r="N455" s="37"/>
      <c r="O455" s="33" t="str">
        <f t="shared" si="41"/>
        <v/>
      </c>
      <c r="P455" s="33" t="str">
        <f t="shared" si="42"/>
        <v/>
      </c>
      <c r="X455" s="1"/>
    </row>
    <row r="456" spans="7:24">
      <c r="G456" s="21"/>
      <c r="H456" s="23"/>
      <c r="I456" s="23" t="str">
        <f>_xlfn.IFNA(VLOOKUP(A456,A457:$H$3524,8,0),"")</f>
        <v/>
      </c>
      <c r="J456" s="40" t="str">
        <f t="shared" si="43"/>
        <v/>
      </c>
      <c r="K456" s="24" t="str">
        <f t="shared" si="39"/>
        <v/>
      </c>
      <c r="L456" s="25" t="str">
        <f t="shared" si="40"/>
        <v/>
      </c>
      <c r="M456" s="37"/>
      <c r="N456" s="37"/>
      <c r="O456" s="33" t="str">
        <f t="shared" si="41"/>
        <v/>
      </c>
      <c r="P456" s="33" t="str">
        <f t="shared" si="42"/>
        <v/>
      </c>
      <c r="X456" s="1"/>
    </row>
    <row r="457" spans="7:24">
      <c r="G457" s="21"/>
      <c r="H457" s="23"/>
      <c r="I457" s="23" t="str">
        <f>_xlfn.IFNA(VLOOKUP(A457,A458:$H$3524,8,0),"")</f>
        <v/>
      </c>
      <c r="J457" s="40" t="str">
        <f t="shared" si="43"/>
        <v/>
      </c>
      <c r="K457" s="24" t="str">
        <f t="shared" si="39"/>
        <v/>
      </c>
      <c r="L457" s="25" t="str">
        <f t="shared" si="40"/>
        <v/>
      </c>
      <c r="M457" s="37"/>
      <c r="N457" s="37"/>
      <c r="O457" s="33" t="str">
        <f t="shared" si="41"/>
        <v/>
      </c>
      <c r="P457" s="33" t="str">
        <f t="shared" si="42"/>
        <v/>
      </c>
      <c r="X457" s="1"/>
    </row>
    <row r="458" spans="7:24">
      <c r="G458" s="21"/>
      <c r="H458" s="23"/>
      <c r="I458" s="23" t="str">
        <f>_xlfn.IFNA(VLOOKUP(A458,A459:$H$3524,8,0),"")</f>
        <v/>
      </c>
      <c r="J458" s="40" t="str">
        <f t="shared" si="43"/>
        <v/>
      </c>
      <c r="K458" s="24" t="str">
        <f t="shared" si="39"/>
        <v/>
      </c>
      <c r="L458" s="25" t="str">
        <f t="shared" si="40"/>
        <v/>
      </c>
      <c r="M458" s="37"/>
      <c r="N458" s="37"/>
      <c r="O458" s="33" t="str">
        <f t="shared" si="41"/>
        <v/>
      </c>
      <c r="P458" s="33" t="str">
        <f t="shared" si="42"/>
        <v/>
      </c>
      <c r="X458" s="1"/>
    </row>
    <row r="459" spans="7:24">
      <c r="G459" s="21"/>
      <c r="H459" s="23"/>
      <c r="I459" s="23" t="str">
        <f>_xlfn.IFNA(VLOOKUP(A459,A460:$H$3524,8,0),"")</f>
        <v/>
      </c>
      <c r="J459" s="40" t="str">
        <f t="shared" si="43"/>
        <v/>
      </c>
      <c r="K459" s="24" t="str">
        <f t="shared" si="39"/>
        <v/>
      </c>
      <c r="L459" s="25" t="str">
        <f t="shared" si="40"/>
        <v/>
      </c>
      <c r="M459" s="37"/>
      <c r="N459" s="37"/>
      <c r="O459" s="33" t="str">
        <f t="shared" si="41"/>
        <v/>
      </c>
      <c r="P459" s="33" t="str">
        <f t="shared" si="42"/>
        <v/>
      </c>
      <c r="X459" s="1"/>
    </row>
    <row r="460" spans="7:24">
      <c r="G460" s="21"/>
      <c r="H460" s="23"/>
      <c r="I460" s="23" t="str">
        <f>_xlfn.IFNA(VLOOKUP(A460,A461:$H$3524,8,0),"")</f>
        <v/>
      </c>
      <c r="J460" s="40" t="str">
        <f t="shared" si="43"/>
        <v/>
      </c>
      <c r="K460" s="24" t="str">
        <f t="shared" si="39"/>
        <v/>
      </c>
      <c r="L460" s="25" t="str">
        <f t="shared" si="40"/>
        <v/>
      </c>
      <c r="M460" s="37"/>
      <c r="N460" s="37"/>
      <c r="O460" s="33" t="str">
        <f t="shared" si="41"/>
        <v/>
      </c>
      <c r="P460" s="33" t="str">
        <f t="shared" si="42"/>
        <v/>
      </c>
      <c r="X460" s="1"/>
    </row>
    <row r="461" spans="7:24">
      <c r="G461" s="21"/>
      <c r="H461" s="23"/>
      <c r="I461" s="23" t="str">
        <f>_xlfn.IFNA(VLOOKUP(A461,A462:$H$3524,8,0),"")</f>
        <v/>
      </c>
      <c r="J461" s="40" t="str">
        <f t="shared" si="43"/>
        <v/>
      </c>
      <c r="K461" s="24" t="str">
        <f t="shared" si="39"/>
        <v/>
      </c>
      <c r="L461" s="25" t="str">
        <f t="shared" si="40"/>
        <v/>
      </c>
      <c r="M461" s="37"/>
      <c r="N461" s="37"/>
      <c r="O461" s="33" t="str">
        <f t="shared" si="41"/>
        <v/>
      </c>
      <c r="P461" s="33" t="str">
        <f t="shared" si="42"/>
        <v/>
      </c>
      <c r="X461" s="1"/>
    </row>
    <row r="462" spans="7:24">
      <c r="G462" s="21"/>
      <c r="H462" s="23"/>
      <c r="I462" s="23" t="str">
        <f>_xlfn.IFNA(VLOOKUP(A462,A463:$H$3524,8,0),"")</f>
        <v/>
      </c>
      <c r="J462" s="40" t="str">
        <f t="shared" si="43"/>
        <v/>
      </c>
      <c r="K462" s="24" t="str">
        <f t="shared" si="39"/>
        <v/>
      </c>
      <c r="L462" s="25" t="str">
        <f t="shared" si="40"/>
        <v/>
      </c>
      <c r="M462" s="37"/>
      <c r="N462" s="37"/>
      <c r="O462" s="33" t="str">
        <f t="shared" si="41"/>
        <v/>
      </c>
      <c r="P462" s="33" t="str">
        <f t="shared" si="42"/>
        <v/>
      </c>
      <c r="X462" s="1"/>
    </row>
    <row r="463" spans="7:24">
      <c r="G463" s="21"/>
      <c r="H463" s="23"/>
      <c r="I463" s="23" t="str">
        <f>_xlfn.IFNA(VLOOKUP(A463,A464:$H$3524,8,0),"")</f>
        <v/>
      </c>
      <c r="J463" s="40" t="str">
        <f t="shared" si="43"/>
        <v/>
      </c>
      <c r="K463" s="24" t="str">
        <f t="shared" si="39"/>
        <v/>
      </c>
      <c r="L463" s="25" t="str">
        <f t="shared" si="40"/>
        <v/>
      </c>
      <c r="M463" s="37"/>
      <c r="N463" s="37"/>
      <c r="O463" s="33" t="str">
        <f t="shared" si="41"/>
        <v/>
      </c>
      <c r="P463" s="33" t="str">
        <f t="shared" si="42"/>
        <v/>
      </c>
      <c r="X463" s="1"/>
    </row>
    <row r="464" spans="7:24">
      <c r="G464" s="21"/>
      <c r="H464" s="23"/>
      <c r="I464" s="23" t="str">
        <f>_xlfn.IFNA(VLOOKUP(A464,A465:$H$3524,8,0),"")</f>
        <v/>
      </c>
      <c r="J464" s="40" t="str">
        <f t="shared" si="43"/>
        <v/>
      </c>
      <c r="K464" s="24" t="str">
        <f t="shared" si="39"/>
        <v/>
      </c>
      <c r="L464" s="25" t="str">
        <f t="shared" si="40"/>
        <v/>
      </c>
      <c r="M464" s="37"/>
      <c r="N464" s="37"/>
      <c r="O464" s="33" t="str">
        <f t="shared" si="41"/>
        <v/>
      </c>
      <c r="P464" s="33" t="str">
        <f t="shared" si="42"/>
        <v/>
      </c>
      <c r="X464" s="1"/>
    </row>
    <row r="465" spans="7:24">
      <c r="G465" s="21"/>
      <c r="H465" s="23"/>
      <c r="I465" s="23" t="str">
        <f>_xlfn.IFNA(VLOOKUP(A465,A466:$H$3524,8,0),"")</f>
        <v/>
      </c>
      <c r="J465" s="40" t="str">
        <f t="shared" si="43"/>
        <v/>
      </c>
      <c r="K465" s="24" t="str">
        <f t="shared" si="39"/>
        <v/>
      </c>
      <c r="L465" s="25" t="str">
        <f t="shared" si="40"/>
        <v/>
      </c>
      <c r="M465" s="37"/>
      <c r="N465" s="37"/>
      <c r="O465" s="33" t="str">
        <f t="shared" si="41"/>
        <v/>
      </c>
      <c r="P465" s="33" t="str">
        <f t="shared" si="42"/>
        <v/>
      </c>
      <c r="X465" s="1"/>
    </row>
    <row r="466" spans="7:24">
      <c r="G466" s="21"/>
      <c r="H466" s="23"/>
      <c r="I466" s="23" t="str">
        <f>_xlfn.IFNA(VLOOKUP(A466,A467:$H$3524,8,0),"")</f>
        <v/>
      </c>
      <c r="J466" s="40" t="str">
        <f t="shared" si="43"/>
        <v/>
      </c>
      <c r="K466" s="24" t="str">
        <f t="shared" si="39"/>
        <v/>
      </c>
      <c r="L466" s="25" t="str">
        <f t="shared" si="40"/>
        <v/>
      </c>
      <c r="M466" s="37"/>
      <c r="N466" s="37"/>
      <c r="O466" s="33" t="str">
        <f t="shared" si="41"/>
        <v/>
      </c>
      <c r="P466" s="33" t="str">
        <f t="shared" si="42"/>
        <v/>
      </c>
      <c r="X466" s="1"/>
    </row>
    <row r="467" spans="7:24">
      <c r="G467" s="21"/>
      <c r="H467" s="23"/>
      <c r="I467" s="23" t="str">
        <f>_xlfn.IFNA(VLOOKUP(A467,A468:$H$3524,8,0),"")</f>
        <v/>
      </c>
      <c r="J467" s="40" t="str">
        <f t="shared" si="43"/>
        <v/>
      </c>
      <c r="K467" s="24" t="str">
        <f t="shared" si="39"/>
        <v/>
      </c>
      <c r="L467" s="25" t="str">
        <f t="shared" si="40"/>
        <v/>
      </c>
      <c r="M467" s="37"/>
      <c r="N467" s="37"/>
      <c r="O467" s="33" t="str">
        <f t="shared" si="41"/>
        <v/>
      </c>
      <c r="P467" s="33" t="str">
        <f t="shared" si="42"/>
        <v/>
      </c>
      <c r="X467" s="1"/>
    </row>
    <row r="468" spans="7:24">
      <c r="G468" s="21"/>
      <c r="H468" s="23"/>
      <c r="I468" s="23" t="str">
        <f>_xlfn.IFNA(VLOOKUP(A468,A469:$H$3524,8,0),"")</f>
        <v/>
      </c>
      <c r="J468" s="40" t="str">
        <f t="shared" si="43"/>
        <v/>
      </c>
      <c r="K468" s="24" t="str">
        <f t="shared" ref="K468:K531" si="44">IF(H468="","",IFERROR((I468-H468)*24,0))</f>
        <v/>
      </c>
      <c r="L468" s="25" t="str">
        <f t="shared" si="40"/>
        <v/>
      </c>
      <c r="M468" s="37"/>
      <c r="N468" s="37"/>
      <c r="O468" s="33" t="str">
        <f t="shared" si="41"/>
        <v/>
      </c>
      <c r="P468" s="33" t="str">
        <f t="shared" si="42"/>
        <v/>
      </c>
      <c r="X468" s="1"/>
    </row>
    <row r="469" spans="7:24">
      <c r="G469" s="21"/>
      <c r="H469" s="23"/>
      <c r="I469" s="23" t="str">
        <f>_xlfn.IFNA(VLOOKUP(A469,A470:$H$3524,8,0),"")</f>
        <v/>
      </c>
      <c r="J469" s="40" t="str">
        <f t="shared" si="43"/>
        <v/>
      </c>
      <c r="K469" s="24" t="str">
        <f t="shared" si="44"/>
        <v/>
      </c>
      <c r="L469" s="25" t="str">
        <f t="shared" si="40"/>
        <v/>
      </c>
      <c r="M469" s="37"/>
      <c r="N469" s="37"/>
      <c r="O469" s="33" t="str">
        <f t="shared" si="41"/>
        <v/>
      </c>
      <c r="P469" s="33" t="str">
        <f t="shared" si="42"/>
        <v/>
      </c>
      <c r="X469" s="1"/>
    </row>
    <row r="470" spans="7:24">
      <c r="G470" s="21"/>
      <c r="H470" s="23"/>
      <c r="I470" s="23" t="str">
        <f>_xlfn.IFNA(VLOOKUP(A470,A471:$H$3524,8,0),"")</f>
        <v/>
      </c>
      <c r="J470" s="40" t="str">
        <f t="shared" si="43"/>
        <v/>
      </c>
      <c r="K470" s="24" t="str">
        <f t="shared" si="44"/>
        <v/>
      </c>
      <c r="L470" s="25" t="str">
        <f t="shared" si="40"/>
        <v/>
      </c>
      <c r="M470" s="37"/>
      <c r="N470" s="37"/>
      <c r="O470" s="33" t="str">
        <f t="shared" si="41"/>
        <v/>
      </c>
      <c r="P470" s="33" t="str">
        <f t="shared" si="42"/>
        <v/>
      </c>
      <c r="X470" s="1"/>
    </row>
    <row r="471" spans="7:24">
      <c r="G471" s="21"/>
      <c r="H471" s="23"/>
      <c r="I471" s="23" t="str">
        <f>_xlfn.IFNA(VLOOKUP(A471,A472:$H$3524,8,0),"")</f>
        <v/>
      </c>
      <c r="J471" s="40" t="str">
        <f t="shared" si="43"/>
        <v/>
      </c>
      <c r="K471" s="24" t="str">
        <f t="shared" si="44"/>
        <v/>
      </c>
      <c r="L471" s="25" t="str">
        <f t="shared" si="40"/>
        <v/>
      </c>
      <c r="M471" s="37"/>
      <c r="N471" s="37"/>
      <c r="O471" s="33" t="str">
        <f t="shared" si="41"/>
        <v/>
      </c>
      <c r="P471" s="33" t="str">
        <f t="shared" si="42"/>
        <v/>
      </c>
      <c r="X471" s="1"/>
    </row>
    <row r="472" spans="7:24">
      <c r="G472" s="21"/>
      <c r="H472" s="23"/>
      <c r="I472" s="23" t="str">
        <f>_xlfn.IFNA(VLOOKUP(A472,A473:$H$3524,8,0),"")</f>
        <v/>
      </c>
      <c r="J472" s="40" t="str">
        <f t="shared" si="43"/>
        <v/>
      </c>
      <c r="K472" s="24" t="str">
        <f t="shared" si="44"/>
        <v/>
      </c>
      <c r="L472" s="25" t="str">
        <f t="shared" si="40"/>
        <v/>
      </c>
      <c r="M472" s="37"/>
      <c r="N472" s="37"/>
      <c r="O472" s="33" t="str">
        <f t="shared" si="41"/>
        <v/>
      </c>
      <c r="P472" s="33" t="str">
        <f t="shared" si="42"/>
        <v/>
      </c>
      <c r="X472" s="1"/>
    </row>
    <row r="473" spans="7:24">
      <c r="G473" s="21"/>
      <c r="H473" s="23"/>
      <c r="I473" s="23" t="str">
        <f>_xlfn.IFNA(VLOOKUP(A473,A474:$H$3524,8,0),"")</f>
        <v/>
      </c>
      <c r="J473" s="40" t="str">
        <f t="shared" si="43"/>
        <v/>
      </c>
      <c r="K473" s="24" t="str">
        <f t="shared" si="44"/>
        <v/>
      </c>
      <c r="L473" s="25" t="str">
        <f t="shared" si="40"/>
        <v/>
      </c>
      <c r="M473" s="37"/>
      <c r="N473" s="37"/>
      <c r="O473" s="33" t="str">
        <f t="shared" si="41"/>
        <v/>
      </c>
      <c r="P473" s="33" t="str">
        <f t="shared" si="42"/>
        <v/>
      </c>
      <c r="X473" s="1"/>
    </row>
    <row r="474" spans="7:24">
      <c r="G474" s="21"/>
      <c r="H474" s="23"/>
      <c r="I474" s="23" t="str">
        <f>_xlfn.IFNA(VLOOKUP(A474,A475:$H$3524,8,0),"")</f>
        <v/>
      </c>
      <c r="J474" s="40" t="str">
        <f t="shared" si="43"/>
        <v/>
      </c>
      <c r="K474" s="24" t="str">
        <f t="shared" si="44"/>
        <v/>
      </c>
      <c r="L474" s="25" t="str">
        <f t="shared" si="40"/>
        <v/>
      </c>
      <c r="M474" s="37"/>
      <c r="N474" s="37"/>
      <c r="O474" s="33" t="str">
        <f t="shared" si="41"/>
        <v/>
      </c>
      <c r="P474" s="33" t="str">
        <f t="shared" si="42"/>
        <v/>
      </c>
      <c r="X474" s="1"/>
    </row>
    <row r="475" spans="7:24">
      <c r="G475" s="21"/>
      <c r="H475" s="23"/>
      <c r="I475" s="23" t="str">
        <f>_xlfn.IFNA(VLOOKUP(A475,A476:$H$3524,8,0),"")</f>
        <v/>
      </c>
      <c r="J475" s="40" t="str">
        <f t="shared" si="43"/>
        <v/>
      </c>
      <c r="K475" s="24" t="str">
        <f t="shared" si="44"/>
        <v/>
      </c>
      <c r="L475" s="25" t="str">
        <f t="shared" si="40"/>
        <v/>
      </c>
      <c r="M475" s="37"/>
      <c r="N475" s="37"/>
      <c r="O475" s="33" t="str">
        <f t="shared" si="41"/>
        <v/>
      </c>
      <c r="P475" s="33" t="str">
        <f t="shared" si="42"/>
        <v/>
      </c>
      <c r="X475" s="1"/>
    </row>
    <row r="476" spans="7:24">
      <c r="G476" s="21"/>
      <c r="H476" s="23"/>
      <c r="I476" s="23" t="str">
        <f>_xlfn.IFNA(VLOOKUP(A476,A477:$H$3524,8,0),"")</f>
        <v/>
      </c>
      <c r="J476" s="40" t="str">
        <f t="shared" si="43"/>
        <v/>
      </c>
      <c r="K476" s="24" t="str">
        <f t="shared" si="44"/>
        <v/>
      </c>
      <c r="L476" s="25" t="str">
        <f t="shared" si="40"/>
        <v/>
      </c>
      <c r="M476" s="37"/>
      <c r="N476" s="37"/>
      <c r="O476" s="33" t="str">
        <f t="shared" si="41"/>
        <v/>
      </c>
      <c r="P476" s="33" t="str">
        <f t="shared" si="42"/>
        <v/>
      </c>
      <c r="X476" s="1"/>
    </row>
    <row r="477" spans="7:24">
      <c r="G477" s="21"/>
      <c r="H477" s="23"/>
      <c r="I477" s="23" t="str">
        <f>_xlfn.IFNA(VLOOKUP(A477,A478:$H$3524,8,0),"")</f>
        <v/>
      </c>
      <c r="J477" s="40" t="str">
        <f t="shared" si="43"/>
        <v/>
      </c>
      <c r="K477" s="24" t="str">
        <f t="shared" si="44"/>
        <v/>
      </c>
      <c r="L477" s="25" t="str">
        <f t="shared" si="40"/>
        <v/>
      </c>
      <c r="M477" s="37"/>
      <c r="N477" s="37"/>
      <c r="O477" s="33" t="str">
        <f t="shared" si="41"/>
        <v/>
      </c>
      <c r="P477" s="33" t="str">
        <f t="shared" si="42"/>
        <v/>
      </c>
      <c r="X477" s="1"/>
    </row>
    <row r="478" spans="7:24">
      <c r="G478" s="21"/>
      <c r="H478" s="23"/>
      <c r="I478" s="23" t="str">
        <f>_xlfn.IFNA(VLOOKUP(A478,A479:$H$3524,8,0),"")</f>
        <v/>
      </c>
      <c r="J478" s="40" t="str">
        <f t="shared" si="43"/>
        <v/>
      </c>
      <c r="K478" s="24" t="str">
        <f t="shared" si="44"/>
        <v/>
      </c>
      <c r="L478" s="25" t="str">
        <f t="shared" si="40"/>
        <v/>
      </c>
      <c r="M478" s="37"/>
      <c r="N478" s="37"/>
      <c r="O478" s="33" t="str">
        <f t="shared" si="41"/>
        <v/>
      </c>
      <c r="P478" s="33" t="str">
        <f t="shared" si="42"/>
        <v/>
      </c>
      <c r="X478" s="1"/>
    </row>
    <row r="479" spans="7:24">
      <c r="G479" s="21"/>
      <c r="H479" s="23"/>
      <c r="I479" s="23" t="str">
        <f>_xlfn.IFNA(VLOOKUP(A479,A480:$H$3524,8,0),"")</f>
        <v/>
      </c>
      <c r="J479" s="40" t="str">
        <f t="shared" si="43"/>
        <v/>
      </c>
      <c r="K479" s="24" t="str">
        <f t="shared" si="44"/>
        <v/>
      </c>
      <c r="L479" s="25" t="str">
        <f t="shared" si="40"/>
        <v/>
      </c>
      <c r="M479" s="37"/>
      <c r="N479" s="37"/>
      <c r="O479" s="33" t="str">
        <f t="shared" si="41"/>
        <v/>
      </c>
      <c r="P479" s="33" t="str">
        <f t="shared" si="42"/>
        <v/>
      </c>
      <c r="X479" s="1"/>
    </row>
    <row r="480" spans="7:24">
      <c r="G480" s="21"/>
      <c r="H480" s="23"/>
      <c r="I480" s="23" t="str">
        <f>_xlfn.IFNA(VLOOKUP(A480,A481:$H$3524,8,0),"")</f>
        <v/>
      </c>
      <c r="J480" s="40" t="str">
        <f t="shared" si="43"/>
        <v/>
      </c>
      <c r="K480" s="24" t="str">
        <f t="shared" si="44"/>
        <v/>
      </c>
      <c r="L480" s="25" t="str">
        <f t="shared" si="40"/>
        <v/>
      </c>
      <c r="M480" s="37"/>
      <c r="N480" s="37"/>
      <c r="O480" s="33" t="str">
        <f t="shared" si="41"/>
        <v/>
      </c>
      <c r="P480" s="33" t="str">
        <f t="shared" si="42"/>
        <v/>
      </c>
      <c r="X480" s="1"/>
    </row>
    <row r="481" spans="7:24">
      <c r="G481" s="21"/>
      <c r="H481" s="23"/>
      <c r="I481" s="23" t="str">
        <f>_xlfn.IFNA(VLOOKUP(A481,A482:$H$3524,8,0),"")</f>
        <v/>
      </c>
      <c r="J481" s="40" t="str">
        <f t="shared" si="43"/>
        <v/>
      </c>
      <c r="K481" s="24" t="str">
        <f t="shared" si="44"/>
        <v/>
      </c>
      <c r="L481" s="25" t="str">
        <f t="shared" si="40"/>
        <v/>
      </c>
      <c r="M481" s="37"/>
      <c r="N481" s="37"/>
      <c r="O481" s="33" t="str">
        <f t="shared" si="41"/>
        <v/>
      </c>
      <c r="P481" s="33" t="str">
        <f t="shared" si="42"/>
        <v/>
      </c>
      <c r="X481" s="1"/>
    </row>
    <row r="482" spans="7:24">
      <c r="G482" s="21"/>
      <c r="H482" s="23"/>
      <c r="I482" s="23" t="str">
        <f>_xlfn.IFNA(VLOOKUP(A482,A483:$H$3524,8,0),"")</f>
        <v/>
      </c>
      <c r="J482" s="40" t="str">
        <f t="shared" si="43"/>
        <v/>
      </c>
      <c r="K482" s="24" t="str">
        <f t="shared" si="44"/>
        <v/>
      </c>
      <c r="L482" s="25" t="str">
        <f t="shared" si="40"/>
        <v/>
      </c>
      <c r="M482" s="37"/>
      <c r="N482" s="37"/>
      <c r="O482" s="33" t="str">
        <f t="shared" si="41"/>
        <v/>
      </c>
      <c r="P482" s="33" t="str">
        <f t="shared" si="42"/>
        <v/>
      </c>
      <c r="X482" s="1"/>
    </row>
    <row r="483" spans="7:24">
      <c r="G483" s="21"/>
      <c r="H483" s="23"/>
      <c r="I483" s="23" t="str">
        <f>_xlfn.IFNA(VLOOKUP(A483,A484:$H$3524,8,0),"")</f>
        <v/>
      </c>
      <c r="J483" s="40" t="str">
        <f t="shared" si="43"/>
        <v/>
      </c>
      <c r="K483" s="24" t="str">
        <f t="shared" si="44"/>
        <v/>
      </c>
      <c r="L483" s="25" t="str">
        <f t="shared" si="40"/>
        <v/>
      </c>
      <c r="M483" s="37"/>
      <c r="N483" s="37"/>
      <c r="O483" s="33" t="str">
        <f t="shared" si="41"/>
        <v/>
      </c>
      <c r="P483" s="33" t="str">
        <f t="shared" si="42"/>
        <v/>
      </c>
      <c r="X483" s="1"/>
    </row>
    <row r="484" spans="7:24">
      <c r="G484" s="21"/>
      <c r="H484" s="23"/>
      <c r="I484" s="23" t="str">
        <f>_xlfn.IFNA(VLOOKUP(A484,A485:$H$3524,8,0),"")</f>
        <v/>
      </c>
      <c r="J484" s="40" t="str">
        <f t="shared" si="43"/>
        <v/>
      </c>
      <c r="K484" s="24" t="str">
        <f t="shared" si="44"/>
        <v/>
      </c>
      <c r="L484" s="25" t="str">
        <f t="shared" si="40"/>
        <v/>
      </c>
      <c r="M484" s="37"/>
      <c r="N484" s="37"/>
      <c r="O484" s="33" t="str">
        <f t="shared" si="41"/>
        <v/>
      </c>
      <c r="P484" s="33" t="str">
        <f t="shared" si="42"/>
        <v/>
      </c>
      <c r="X484" s="1"/>
    </row>
    <row r="485" spans="7:24">
      <c r="G485" s="21"/>
      <c r="H485" s="23"/>
      <c r="I485" s="23" t="str">
        <f>_xlfn.IFNA(VLOOKUP(A485,A486:$H$3524,8,0),"")</f>
        <v/>
      </c>
      <c r="J485" s="40" t="str">
        <f t="shared" si="43"/>
        <v/>
      </c>
      <c r="K485" s="24" t="str">
        <f t="shared" si="44"/>
        <v/>
      </c>
      <c r="L485" s="25" t="str">
        <f t="shared" si="40"/>
        <v/>
      </c>
      <c r="M485" s="37"/>
      <c r="N485" s="37"/>
      <c r="O485" s="33" t="str">
        <f t="shared" si="41"/>
        <v/>
      </c>
      <c r="P485" s="33" t="str">
        <f t="shared" si="42"/>
        <v/>
      </c>
      <c r="X485" s="1"/>
    </row>
    <row r="486" spans="7:24">
      <c r="G486" s="21"/>
      <c r="H486" s="23"/>
      <c r="I486" s="23" t="str">
        <f>_xlfn.IFNA(VLOOKUP(A486,A487:$H$3524,8,0),"")</f>
        <v/>
      </c>
      <c r="J486" s="40" t="str">
        <f t="shared" si="43"/>
        <v/>
      </c>
      <c r="K486" s="24" t="str">
        <f t="shared" si="44"/>
        <v/>
      </c>
      <c r="L486" s="25" t="str">
        <f t="shared" si="40"/>
        <v/>
      </c>
      <c r="M486" s="37"/>
      <c r="N486" s="37"/>
      <c r="O486" s="33" t="str">
        <f t="shared" si="41"/>
        <v/>
      </c>
      <c r="P486" s="33" t="str">
        <f t="shared" si="42"/>
        <v/>
      </c>
      <c r="X486" s="1"/>
    </row>
    <row r="487" spans="7:24">
      <c r="G487" s="21"/>
      <c r="H487" s="23"/>
      <c r="I487" s="23" t="str">
        <f>_xlfn.IFNA(VLOOKUP(A487,A488:$H$3524,8,0),"")</f>
        <v/>
      </c>
      <c r="J487" s="40" t="str">
        <f t="shared" si="43"/>
        <v/>
      </c>
      <c r="K487" s="24" t="str">
        <f t="shared" si="44"/>
        <v/>
      </c>
      <c r="L487" s="25" t="str">
        <f t="shared" si="40"/>
        <v/>
      </c>
      <c r="M487" s="37"/>
      <c r="N487" s="37"/>
      <c r="O487" s="33" t="str">
        <f t="shared" si="41"/>
        <v/>
      </c>
      <c r="P487" s="33" t="str">
        <f t="shared" si="42"/>
        <v/>
      </c>
      <c r="X487" s="1"/>
    </row>
    <row r="488" spans="7:24">
      <c r="G488" s="21"/>
      <c r="H488" s="23"/>
      <c r="I488" s="23" t="str">
        <f>_xlfn.IFNA(VLOOKUP(A488,A489:$H$3524,8,0),"")</f>
        <v/>
      </c>
      <c r="J488" s="40" t="str">
        <f t="shared" si="43"/>
        <v/>
      </c>
      <c r="K488" s="24" t="str">
        <f t="shared" si="44"/>
        <v/>
      </c>
      <c r="L488" s="25" t="str">
        <f t="shared" si="40"/>
        <v/>
      </c>
      <c r="M488" s="37"/>
      <c r="N488" s="37"/>
      <c r="O488" s="33" t="str">
        <f t="shared" si="41"/>
        <v/>
      </c>
      <c r="P488" s="33" t="str">
        <f t="shared" si="42"/>
        <v/>
      </c>
      <c r="X488" s="1"/>
    </row>
    <row r="489" spans="7:24">
      <c r="G489" s="21"/>
      <c r="H489" s="23"/>
      <c r="I489" s="23" t="str">
        <f>_xlfn.IFNA(VLOOKUP(A489,A490:$H$3524,8,0),"")</f>
        <v/>
      </c>
      <c r="J489" s="40" t="str">
        <f t="shared" si="43"/>
        <v/>
      </c>
      <c r="K489" s="24" t="str">
        <f t="shared" si="44"/>
        <v/>
      </c>
      <c r="L489" s="25" t="str">
        <f t="shared" si="40"/>
        <v/>
      </c>
      <c r="M489" s="37"/>
      <c r="N489" s="37"/>
      <c r="O489" s="33" t="str">
        <f t="shared" si="41"/>
        <v/>
      </c>
      <c r="P489" s="33" t="str">
        <f t="shared" si="42"/>
        <v/>
      </c>
      <c r="X489" s="1"/>
    </row>
    <row r="490" spans="7:24">
      <c r="G490" s="21"/>
      <c r="H490" s="23"/>
      <c r="I490" s="23" t="str">
        <f>_xlfn.IFNA(VLOOKUP(A490,A491:$H$3524,8,0),"")</f>
        <v/>
      </c>
      <c r="J490" s="40" t="str">
        <f t="shared" si="43"/>
        <v/>
      </c>
      <c r="K490" s="24" t="str">
        <f t="shared" si="44"/>
        <v/>
      </c>
      <c r="L490" s="25" t="str">
        <f t="shared" si="40"/>
        <v/>
      </c>
      <c r="M490" s="37"/>
      <c r="N490" s="37"/>
      <c r="O490" s="33" t="str">
        <f t="shared" si="41"/>
        <v/>
      </c>
      <c r="P490" s="33" t="str">
        <f t="shared" si="42"/>
        <v/>
      </c>
      <c r="X490" s="1"/>
    </row>
    <row r="491" spans="7:24">
      <c r="G491" s="21"/>
      <c r="H491" s="23"/>
      <c r="I491" s="23" t="str">
        <f>_xlfn.IFNA(VLOOKUP(A491,A492:$H$3524,8,0),"")</f>
        <v/>
      </c>
      <c r="J491" s="40" t="str">
        <f t="shared" si="43"/>
        <v/>
      </c>
      <c r="K491" s="24" t="str">
        <f t="shared" si="44"/>
        <v/>
      </c>
      <c r="L491" s="25" t="str">
        <f t="shared" si="40"/>
        <v/>
      </c>
      <c r="M491" s="37"/>
      <c r="N491" s="37"/>
      <c r="O491" s="33" t="str">
        <f t="shared" si="41"/>
        <v/>
      </c>
      <c r="P491" s="33" t="str">
        <f t="shared" si="42"/>
        <v/>
      </c>
      <c r="X491" s="1"/>
    </row>
    <row r="492" spans="7:24">
      <c r="G492" s="21"/>
      <c r="H492" s="23"/>
      <c r="I492" s="23" t="str">
        <f>_xlfn.IFNA(VLOOKUP(A492,A493:$H$3524,8,0),"")</f>
        <v/>
      </c>
      <c r="J492" s="40" t="str">
        <f t="shared" si="43"/>
        <v/>
      </c>
      <c r="K492" s="24" t="str">
        <f t="shared" si="44"/>
        <v/>
      </c>
      <c r="L492" s="25" t="str">
        <f t="shared" si="40"/>
        <v/>
      </c>
      <c r="M492" s="37"/>
      <c r="N492" s="37"/>
      <c r="O492" s="33" t="str">
        <f t="shared" si="41"/>
        <v/>
      </c>
      <c r="P492" s="33" t="str">
        <f t="shared" si="42"/>
        <v/>
      </c>
      <c r="X492" s="1"/>
    </row>
    <row r="493" spans="7:24">
      <c r="G493" s="21"/>
      <c r="H493" s="23"/>
      <c r="I493" s="23" t="str">
        <f>_xlfn.IFNA(VLOOKUP(A493,A494:$H$3524,8,0),"")</f>
        <v/>
      </c>
      <c r="J493" s="40" t="str">
        <f t="shared" si="43"/>
        <v/>
      </c>
      <c r="K493" s="24" t="str">
        <f t="shared" si="44"/>
        <v/>
      </c>
      <c r="L493" s="25" t="str">
        <f t="shared" si="40"/>
        <v/>
      </c>
      <c r="M493" s="37"/>
      <c r="N493" s="37"/>
      <c r="O493" s="33" t="str">
        <f t="shared" si="41"/>
        <v/>
      </c>
      <c r="P493" s="33" t="str">
        <f t="shared" si="42"/>
        <v/>
      </c>
      <c r="X493" s="1"/>
    </row>
    <row r="494" spans="7:24">
      <c r="G494" s="21"/>
      <c r="H494" s="23"/>
      <c r="I494" s="23" t="str">
        <f>_xlfn.IFNA(VLOOKUP(A494,A495:$H$3524,8,0),"")</f>
        <v/>
      </c>
      <c r="J494" s="40" t="str">
        <f t="shared" si="43"/>
        <v/>
      </c>
      <c r="K494" s="24" t="str">
        <f t="shared" si="44"/>
        <v/>
      </c>
      <c r="L494" s="25" t="str">
        <f t="shared" si="40"/>
        <v/>
      </c>
      <c r="M494" s="37"/>
      <c r="N494" s="37"/>
      <c r="O494" s="33" t="str">
        <f t="shared" si="41"/>
        <v/>
      </c>
      <c r="P494" s="33" t="str">
        <f t="shared" si="42"/>
        <v/>
      </c>
      <c r="X494" s="1"/>
    </row>
    <row r="495" spans="7:24">
      <c r="G495" s="21"/>
      <c r="H495" s="23"/>
      <c r="I495" s="23" t="str">
        <f>_xlfn.IFNA(VLOOKUP(A495,A496:$H$3524,8,0),"")</f>
        <v/>
      </c>
      <c r="J495" s="40" t="str">
        <f t="shared" si="43"/>
        <v/>
      </c>
      <c r="K495" s="24" t="str">
        <f t="shared" si="44"/>
        <v/>
      </c>
      <c r="L495" s="25" t="str">
        <f t="shared" si="40"/>
        <v/>
      </c>
      <c r="M495" s="37"/>
      <c r="N495" s="37"/>
      <c r="O495" s="33" t="str">
        <f t="shared" si="41"/>
        <v/>
      </c>
      <c r="P495" s="33" t="str">
        <f t="shared" si="42"/>
        <v/>
      </c>
      <c r="X495" s="1"/>
    </row>
    <row r="496" spans="7:24">
      <c r="G496" s="21"/>
      <c r="H496" s="23"/>
      <c r="I496" s="23" t="str">
        <f>_xlfn.IFNA(VLOOKUP(A496,A497:$H$3524,8,0),"")</f>
        <v/>
      </c>
      <c r="J496" s="40" t="str">
        <f t="shared" si="43"/>
        <v/>
      </c>
      <c r="K496" s="24" t="str">
        <f t="shared" si="44"/>
        <v/>
      </c>
      <c r="L496" s="25" t="str">
        <f t="shared" si="40"/>
        <v/>
      </c>
      <c r="M496" s="37"/>
      <c r="N496" s="37"/>
      <c r="O496" s="33" t="str">
        <f t="shared" si="41"/>
        <v/>
      </c>
      <c r="P496" s="33" t="str">
        <f t="shared" si="42"/>
        <v/>
      </c>
      <c r="X496" s="1"/>
    </row>
    <row r="497" spans="7:24">
      <c r="G497" s="21"/>
      <c r="H497" s="23"/>
      <c r="I497" s="23" t="str">
        <f>_xlfn.IFNA(VLOOKUP(A497,A498:$H$3524,8,0),"")</f>
        <v/>
      </c>
      <c r="J497" s="40" t="str">
        <f t="shared" si="43"/>
        <v/>
      </c>
      <c r="K497" s="24" t="str">
        <f t="shared" si="44"/>
        <v/>
      </c>
      <c r="L497" s="25" t="str">
        <f t="shared" si="40"/>
        <v/>
      </c>
      <c r="M497" s="37"/>
      <c r="N497" s="37"/>
      <c r="O497" s="33" t="str">
        <f t="shared" si="41"/>
        <v/>
      </c>
      <c r="P497" s="33" t="str">
        <f t="shared" si="42"/>
        <v/>
      </c>
      <c r="X497" s="1"/>
    </row>
    <row r="498" spans="7:24">
      <c r="G498" s="21"/>
      <c r="H498" s="23"/>
      <c r="I498" s="23" t="str">
        <f>_xlfn.IFNA(VLOOKUP(A498,A499:$H$3524,8,0),"")</f>
        <v/>
      </c>
      <c r="J498" s="40" t="str">
        <f t="shared" si="43"/>
        <v/>
      </c>
      <c r="K498" s="24" t="str">
        <f t="shared" si="44"/>
        <v/>
      </c>
      <c r="L498" s="25" t="str">
        <f t="shared" si="40"/>
        <v/>
      </c>
      <c r="M498" s="37"/>
      <c r="N498" s="37"/>
      <c r="O498" s="33" t="str">
        <f t="shared" si="41"/>
        <v/>
      </c>
      <c r="P498" s="33" t="str">
        <f t="shared" si="42"/>
        <v/>
      </c>
      <c r="X498" s="1"/>
    </row>
    <row r="499" spans="7:24">
      <c r="G499" s="21"/>
      <c r="H499" s="23"/>
      <c r="I499" s="23" t="str">
        <f>_xlfn.IFNA(VLOOKUP(A499,A500:$H$3524,8,0),"")</f>
        <v/>
      </c>
      <c r="J499" s="40" t="str">
        <f t="shared" si="43"/>
        <v/>
      </c>
      <c r="K499" s="24" t="str">
        <f t="shared" si="44"/>
        <v/>
      </c>
      <c r="L499" s="25" t="str">
        <f t="shared" si="40"/>
        <v/>
      </c>
      <c r="M499" s="37"/>
      <c r="N499" s="37"/>
      <c r="O499" s="33" t="str">
        <f t="shared" si="41"/>
        <v/>
      </c>
      <c r="P499" s="33" t="str">
        <f t="shared" si="42"/>
        <v/>
      </c>
      <c r="X499" s="1"/>
    </row>
    <row r="500" spans="7:24">
      <c r="G500" s="21"/>
      <c r="H500" s="23"/>
      <c r="I500" s="23" t="str">
        <f>_xlfn.IFNA(VLOOKUP(A500,A501:$H$3524,8,0),"")</f>
        <v/>
      </c>
      <c r="J500" s="40" t="str">
        <f t="shared" si="43"/>
        <v/>
      </c>
      <c r="K500" s="24" t="str">
        <f t="shared" si="44"/>
        <v/>
      </c>
      <c r="L500" s="25" t="str">
        <f t="shared" si="40"/>
        <v/>
      </c>
      <c r="M500" s="37"/>
      <c r="N500" s="37"/>
      <c r="O500" s="33" t="str">
        <f t="shared" si="41"/>
        <v/>
      </c>
      <c r="P500" s="33" t="str">
        <f t="shared" si="42"/>
        <v/>
      </c>
      <c r="X500" s="1"/>
    </row>
    <row r="501" spans="7:24">
      <c r="G501" s="21"/>
      <c r="H501" s="23"/>
      <c r="I501" s="23" t="str">
        <f>_xlfn.IFNA(VLOOKUP(A501,A502:$H$3524,8,0),"")</f>
        <v/>
      </c>
      <c r="J501" s="40" t="str">
        <f t="shared" si="43"/>
        <v/>
      </c>
      <c r="K501" s="24" t="str">
        <f t="shared" si="44"/>
        <v/>
      </c>
      <c r="L501" s="25" t="str">
        <f t="shared" si="40"/>
        <v/>
      </c>
      <c r="M501" s="37"/>
      <c r="N501" s="37"/>
      <c r="O501" s="33" t="str">
        <f t="shared" si="41"/>
        <v/>
      </c>
      <c r="P501" s="33" t="str">
        <f t="shared" si="42"/>
        <v/>
      </c>
      <c r="X501" s="1"/>
    </row>
    <row r="502" spans="7:24">
      <c r="G502" s="21"/>
      <c r="H502" s="23"/>
      <c r="I502" s="23" t="str">
        <f>_xlfn.IFNA(VLOOKUP(A502,A503:$H$3524,8,0),"")</f>
        <v/>
      </c>
      <c r="J502" s="40" t="str">
        <f t="shared" si="43"/>
        <v/>
      </c>
      <c r="K502" s="24" t="str">
        <f t="shared" si="44"/>
        <v/>
      </c>
      <c r="L502" s="25" t="str">
        <f t="shared" si="40"/>
        <v/>
      </c>
      <c r="M502" s="37"/>
      <c r="N502" s="37"/>
      <c r="O502" s="33" t="str">
        <f t="shared" si="41"/>
        <v/>
      </c>
      <c r="P502" s="33" t="str">
        <f t="shared" si="42"/>
        <v/>
      </c>
      <c r="X502" s="1"/>
    </row>
    <row r="503" spans="7:24">
      <c r="G503" s="21"/>
      <c r="H503" s="23"/>
      <c r="I503" s="23" t="str">
        <f>_xlfn.IFNA(VLOOKUP(A503,A504:$H$3524,8,0),"")</f>
        <v/>
      </c>
      <c r="J503" s="40" t="str">
        <f t="shared" si="43"/>
        <v/>
      </c>
      <c r="K503" s="24" t="str">
        <f t="shared" si="44"/>
        <v/>
      </c>
      <c r="L503" s="25" t="str">
        <f t="shared" ref="L503:L566" si="45">IF(K503="","",IF(B503="Break","Break",IF(K503&lt;&gt;0,"Work Finished",IF(B503="OFF","Work Finished",IF(I503="","Working","Work Finished")))))</f>
        <v/>
      </c>
      <c r="M503" s="37"/>
      <c r="N503" s="37"/>
      <c r="O503" s="33" t="str">
        <f t="shared" ref="O503:O566" si="46">IF(AND(J503="",M503="",N503=""),"",J503-M503-N503)</f>
        <v/>
      </c>
      <c r="P503" s="33" t="str">
        <f t="shared" ref="P503:P566" si="47">IF(HOUR(H503)=0,"",HOUR(H503))</f>
        <v/>
      </c>
      <c r="X503" s="1"/>
    </row>
    <row r="504" spans="7:24">
      <c r="G504" s="21"/>
      <c r="H504" s="23"/>
      <c r="I504" s="23" t="str">
        <f>_xlfn.IFNA(VLOOKUP(A504,A505:$H$3524,8,0),"")</f>
        <v/>
      </c>
      <c r="J504" s="40" t="str">
        <f t="shared" si="43"/>
        <v/>
      </c>
      <c r="K504" s="24" t="str">
        <f t="shared" si="44"/>
        <v/>
      </c>
      <c r="L504" s="25" t="str">
        <f t="shared" si="45"/>
        <v/>
      </c>
      <c r="M504" s="37"/>
      <c r="N504" s="37"/>
      <c r="O504" s="33" t="str">
        <f t="shared" si="46"/>
        <v/>
      </c>
      <c r="P504" s="33" t="str">
        <f t="shared" si="47"/>
        <v/>
      </c>
      <c r="X504" s="1"/>
    </row>
    <row r="505" spans="7:24">
      <c r="G505" s="21"/>
      <c r="H505" s="23"/>
      <c r="I505" s="23" t="str">
        <f>_xlfn.IFNA(VLOOKUP(A505,A506:$H$3524,8,0),"")</f>
        <v/>
      </c>
      <c r="J505" s="40" t="str">
        <f t="shared" si="43"/>
        <v/>
      </c>
      <c r="K505" s="24" t="str">
        <f t="shared" si="44"/>
        <v/>
      </c>
      <c r="L505" s="25" t="str">
        <f t="shared" si="45"/>
        <v/>
      </c>
      <c r="M505" s="37"/>
      <c r="N505" s="37"/>
      <c r="O505" s="33" t="str">
        <f t="shared" si="46"/>
        <v/>
      </c>
      <c r="P505" s="33" t="str">
        <f t="shared" si="47"/>
        <v/>
      </c>
      <c r="X505" s="1"/>
    </row>
    <row r="506" spans="7:24">
      <c r="G506" s="21"/>
      <c r="H506" s="23"/>
      <c r="I506" s="23" t="str">
        <f>_xlfn.IFNA(VLOOKUP(A506,A507:$H$3524,8,0),"")</f>
        <v/>
      </c>
      <c r="J506" s="40" t="str">
        <f t="shared" si="43"/>
        <v/>
      </c>
      <c r="K506" s="24" t="str">
        <f t="shared" si="44"/>
        <v/>
      </c>
      <c r="L506" s="25" t="str">
        <f t="shared" si="45"/>
        <v/>
      </c>
      <c r="M506" s="37"/>
      <c r="N506" s="37"/>
      <c r="O506" s="33" t="str">
        <f t="shared" si="46"/>
        <v/>
      </c>
      <c r="P506" s="33" t="str">
        <f t="shared" si="47"/>
        <v/>
      </c>
      <c r="X506" s="1"/>
    </row>
    <row r="507" spans="7:24">
      <c r="G507" s="21"/>
      <c r="H507" s="23"/>
      <c r="I507" s="23" t="str">
        <f>_xlfn.IFNA(VLOOKUP(A507,A508:$H$3524,8,0),"")</f>
        <v/>
      </c>
      <c r="J507" s="40" t="str">
        <f t="shared" si="43"/>
        <v/>
      </c>
      <c r="K507" s="24" t="str">
        <f t="shared" si="44"/>
        <v/>
      </c>
      <c r="L507" s="25" t="str">
        <f t="shared" si="45"/>
        <v/>
      </c>
      <c r="M507" s="37"/>
      <c r="N507" s="37"/>
      <c r="O507" s="33" t="str">
        <f t="shared" si="46"/>
        <v/>
      </c>
      <c r="P507" s="33" t="str">
        <f t="shared" si="47"/>
        <v/>
      </c>
      <c r="X507" s="1"/>
    </row>
    <row r="508" spans="7:24">
      <c r="G508" s="21"/>
      <c r="H508" s="23"/>
      <c r="I508" s="23" t="str">
        <f>_xlfn.IFNA(VLOOKUP(A508,A509:$H$3524,8,0),"")</f>
        <v/>
      </c>
      <c r="J508" s="40" t="str">
        <f t="shared" si="43"/>
        <v/>
      </c>
      <c r="K508" s="24" t="str">
        <f t="shared" si="44"/>
        <v/>
      </c>
      <c r="L508" s="25" t="str">
        <f t="shared" si="45"/>
        <v/>
      </c>
      <c r="M508" s="37"/>
      <c r="N508" s="37"/>
      <c r="O508" s="33" t="str">
        <f t="shared" si="46"/>
        <v/>
      </c>
      <c r="P508" s="33" t="str">
        <f t="shared" si="47"/>
        <v/>
      </c>
      <c r="X508" s="1"/>
    </row>
    <row r="509" spans="7:24">
      <c r="G509" s="21"/>
      <c r="H509" s="23"/>
      <c r="I509" s="23" t="str">
        <f>_xlfn.IFNA(VLOOKUP(A509,A510:$H$3524,8,0),"")</f>
        <v/>
      </c>
      <c r="J509" s="40" t="str">
        <f t="shared" si="43"/>
        <v/>
      </c>
      <c r="K509" s="24" t="str">
        <f t="shared" si="44"/>
        <v/>
      </c>
      <c r="L509" s="25" t="str">
        <f t="shared" si="45"/>
        <v/>
      </c>
      <c r="M509" s="37"/>
      <c r="N509" s="37"/>
      <c r="O509" s="33" t="str">
        <f t="shared" si="46"/>
        <v/>
      </c>
      <c r="P509" s="33" t="str">
        <f t="shared" si="47"/>
        <v/>
      </c>
      <c r="X509" s="1"/>
    </row>
    <row r="510" spans="7:24">
      <c r="G510" s="21"/>
      <c r="H510" s="23"/>
      <c r="I510" s="23" t="str">
        <f>_xlfn.IFNA(VLOOKUP(A510,A511:$H$3524,8,0),"")</f>
        <v/>
      </c>
      <c r="J510" s="40" t="str">
        <f t="shared" si="43"/>
        <v/>
      </c>
      <c r="K510" s="24" t="str">
        <f t="shared" si="44"/>
        <v/>
      </c>
      <c r="L510" s="25" t="str">
        <f t="shared" si="45"/>
        <v/>
      </c>
      <c r="M510" s="37"/>
      <c r="N510" s="37"/>
      <c r="O510" s="33" t="str">
        <f t="shared" si="46"/>
        <v/>
      </c>
      <c r="P510" s="33" t="str">
        <f t="shared" si="47"/>
        <v/>
      </c>
      <c r="X510" s="1"/>
    </row>
    <row r="511" spans="7:24">
      <c r="G511" s="21"/>
      <c r="H511" s="23"/>
      <c r="I511" s="23" t="str">
        <f>_xlfn.IFNA(VLOOKUP(A511,A512:$H$3524,8,0),"")</f>
        <v/>
      </c>
      <c r="J511" s="40" t="str">
        <f t="shared" si="43"/>
        <v/>
      </c>
      <c r="K511" s="24" t="str">
        <f t="shared" si="44"/>
        <v/>
      </c>
      <c r="L511" s="25" t="str">
        <f t="shared" si="45"/>
        <v/>
      </c>
      <c r="M511" s="37"/>
      <c r="N511" s="37"/>
      <c r="O511" s="33" t="str">
        <f t="shared" si="46"/>
        <v/>
      </c>
      <c r="P511" s="33" t="str">
        <f t="shared" si="47"/>
        <v/>
      </c>
      <c r="X511" s="1"/>
    </row>
    <row r="512" spans="7:24">
      <c r="G512" s="21"/>
      <c r="H512" s="23"/>
      <c r="I512" s="23" t="str">
        <f>_xlfn.IFNA(VLOOKUP(A512,A513:$H$3524,8,0),"")</f>
        <v/>
      </c>
      <c r="J512" s="40" t="str">
        <f t="shared" si="43"/>
        <v/>
      </c>
      <c r="K512" s="24" t="str">
        <f t="shared" si="44"/>
        <v/>
      </c>
      <c r="L512" s="25" t="str">
        <f t="shared" si="45"/>
        <v/>
      </c>
      <c r="M512" s="37"/>
      <c r="N512" s="37"/>
      <c r="O512" s="33" t="str">
        <f t="shared" si="46"/>
        <v/>
      </c>
      <c r="P512" s="33" t="str">
        <f t="shared" si="47"/>
        <v/>
      </c>
      <c r="X512" s="1"/>
    </row>
    <row r="513" spans="7:24">
      <c r="G513" s="21"/>
      <c r="H513" s="23"/>
      <c r="I513" s="23" t="str">
        <f>_xlfn.IFNA(VLOOKUP(A513,A514:$H$3524,8,0),"")</f>
        <v/>
      </c>
      <c r="J513" s="40" t="str">
        <f t="shared" si="43"/>
        <v/>
      </c>
      <c r="K513" s="24" t="str">
        <f t="shared" si="44"/>
        <v/>
      </c>
      <c r="L513" s="25" t="str">
        <f t="shared" si="45"/>
        <v/>
      </c>
      <c r="M513" s="37"/>
      <c r="N513" s="37"/>
      <c r="O513" s="33" t="str">
        <f t="shared" si="46"/>
        <v/>
      </c>
      <c r="P513" s="33" t="str">
        <f t="shared" si="47"/>
        <v/>
      </c>
      <c r="X513" s="1"/>
    </row>
    <row r="514" spans="7:24">
      <c r="G514" s="21"/>
      <c r="H514" s="23"/>
      <c r="I514" s="23" t="str">
        <f>_xlfn.IFNA(VLOOKUP(A514,A515:$H$3524,8,0),"")</f>
        <v/>
      </c>
      <c r="J514" s="40" t="str">
        <f t="shared" si="43"/>
        <v/>
      </c>
      <c r="K514" s="24" t="str">
        <f t="shared" si="44"/>
        <v/>
      </c>
      <c r="L514" s="25" t="str">
        <f t="shared" si="45"/>
        <v/>
      </c>
      <c r="M514" s="37"/>
      <c r="N514" s="37"/>
      <c r="O514" s="33" t="str">
        <f t="shared" si="46"/>
        <v/>
      </c>
      <c r="P514" s="33" t="str">
        <f t="shared" si="47"/>
        <v/>
      </c>
      <c r="X514" s="1"/>
    </row>
    <row r="515" spans="7:24">
      <c r="G515" s="21"/>
      <c r="H515" s="23"/>
      <c r="I515" s="23" t="str">
        <f>_xlfn.IFNA(VLOOKUP(A515,A516:$H$3524,8,0),"")</f>
        <v/>
      </c>
      <c r="J515" s="40" t="str">
        <f t="shared" si="43"/>
        <v/>
      </c>
      <c r="K515" s="24" t="str">
        <f t="shared" si="44"/>
        <v/>
      </c>
      <c r="L515" s="25" t="str">
        <f t="shared" si="45"/>
        <v/>
      </c>
      <c r="M515" s="37"/>
      <c r="N515" s="37"/>
      <c r="O515" s="33" t="str">
        <f t="shared" si="46"/>
        <v/>
      </c>
      <c r="P515" s="33" t="str">
        <f t="shared" si="47"/>
        <v/>
      </c>
      <c r="X515" s="1"/>
    </row>
    <row r="516" spans="7:24">
      <c r="G516" s="21"/>
      <c r="H516" s="23"/>
      <c r="I516" s="23" t="str">
        <f>_xlfn.IFNA(VLOOKUP(A516,A517:$H$3524,8,0),"")</f>
        <v/>
      </c>
      <c r="J516" s="40" t="str">
        <f t="shared" si="43"/>
        <v/>
      </c>
      <c r="K516" s="24" t="str">
        <f t="shared" si="44"/>
        <v/>
      </c>
      <c r="L516" s="25" t="str">
        <f t="shared" si="45"/>
        <v/>
      </c>
      <c r="M516" s="37"/>
      <c r="N516" s="37"/>
      <c r="O516" s="33" t="str">
        <f t="shared" si="46"/>
        <v/>
      </c>
      <c r="P516" s="33" t="str">
        <f t="shared" si="47"/>
        <v/>
      </c>
      <c r="X516" s="1"/>
    </row>
    <row r="517" spans="7:24">
      <c r="G517" s="21"/>
      <c r="H517" s="23"/>
      <c r="I517" s="23" t="str">
        <f>_xlfn.IFNA(VLOOKUP(A517,A518:$H$3524,8,0),"")</f>
        <v/>
      </c>
      <c r="J517" s="40" t="str">
        <f t="shared" si="43"/>
        <v/>
      </c>
      <c r="K517" s="24" t="str">
        <f t="shared" si="44"/>
        <v/>
      </c>
      <c r="L517" s="25" t="str">
        <f t="shared" si="45"/>
        <v/>
      </c>
      <c r="M517" s="37"/>
      <c r="N517" s="37"/>
      <c r="O517" s="33" t="str">
        <f t="shared" si="46"/>
        <v/>
      </c>
      <c r="P517" s="33" t="str">
        <f t="shared" si="47"/>
        <v/>
      </c>
      <c r="X517" s="1"/>
    </row>
    <row r="518" spans="7:24">
      <c r="G518" s="21"/>
      <c r="H518" s="23"/>
      <c r="I518" s="23" t="str">
        <f>_xlfn.IFNA(VLOOKUP(A518,A519:$H$3524,8,0),"")</f>
        <v/>
      </c>
      <c r="J518" s="40" t="str">
        <f t="shared" ref="J518:J581" si="48">IF(B518="OFF",0,IF(AND(D518&lt;&gt;"",E518&lt;&gt;""),E518-D518+1,""))</f>
        <v/>
      </c>
      <c r="K518" s="24" t="str">
        <f t="shared" si="44"/>
        <v/>
      </c>
      <c r="L518" s="25" t="str">
        <f t="shared" si="45"/>
        <v/>
      </c>
      <c r="M518" s="37"/>
      <c r="N518" s="37"/>
      <c r="O518" s="33" t="str">
        <f t="shared" si="46"/>
        <v/>
      </c>
      <c r="P518" s="33" t="str">
        <f t="shared" si="47"/>
        <v/>
      </c>
      <c r="X518" s="1"/>
    </row>
    <row r="519" spans="7:24">
      <c r="G519" s="21"/>
      <c r="H519" s="23"/>
      <c r="I519" s="23" t="str">
        <f>_xlfn.IFNA(VLOOKUP(A519,A520:$H$3524,8,0),"")</f>
        <v/>
      </c>
      <c r="J519" s="40" t="str">
        <f t="shared" si="48"/>
        <v/>
      </c>
      <c r="K519" s="24" t="str">
        <f t="shared" si="44"/>
        <v/>
      </c>
      <c r="L519" s="25" t="str">
        <f t="shared" si="45"/>
        <v/>
      </c>
      <c r="M519" s="37"/>
      <c r="N519" s="37"/>
      <c r="O519" s="33" t="str">
        <f t="shared" si="46"/>
        <v/>
      </c>
      <c r="P519" s="33" t="str">
        <f t="shared" si="47"/>
        <v/>
      </c>
      <c r="X519" s="1"/>
    </row>
    <row r="520" spans="7:24">
      <c r="G520" s="21"/>
      <c r="H520" s="23"/>
      <c r="I520" s="23" t="str">
        <f>_xlfn.IFNA(VLOOKUP(A520,A521:$H$3524,8,0),"")</f>
        <v/>
      </c>
      <c r="J520" s="40" t="str">
        <f t="shared" si="48"/>
        <v/>
      </c>
      <c r="K520" s="24" t="str">
        <f t="shared" si="44"/>
        <v/>
      </c>
      <c r="L520" s="25" t="str">
        <f t="shared" si="45"/>
        <v/>
      </c>
      <c r="M520" s="37"/>
      <c r="N520" s="37"/>
      <c r="O520" s="33" t="str">
        <f t="shared" si="46"/>
        <v/>
      </c>
      <c r="P520" s="33" t="str">
        <f t="shared" si="47"/>
        <v/>
      </c>
      <c r="X520" s="1"/>
    </row>
    <row r="521" spans="7:24">
      <c r="G521" s="21"/>
      <c r="H521" s="23"/>
      <c r="I521" s="23" t="str">
        <f>_xlfn.IFNA(VLOOKUP(A521,A522:$H$3524,8,0),"")</f>
        <v/>
      </c>
      <c r="J521" s="40" t="str">
        <f t="shared" si="48"/>
        <v/>
      </c>
      <c r="K521" s="24" t="str">
        <f t="shared" si="44"/>
        <v/>
      </c>
      <c r="L521" s="25" t="str">
        <f t="shared" si="45"/>
        <v/>
      </c>
      <c r="M521" s="37"/>
      <c r="N521" s="37"/>
      <c r="O521" s="33" t="str">
        <f t="shared" si="46"/>
        <v/>
      </c>
      <c r="P521" s="33" t="str">
        <f t="shared" si="47"/>
        <v/>
      </c>
      <c r="X521" s="1"/>
    </row>
    <row r="522" spans="7:24">
      <c r="G522" s="21"/>
      <c r="H522" s="23"/>
      <c r="I522" s="23" t="str">
        <f>_xlfn.IFNA(VLOOKUP(A522,A523:$H$3524,8,0),"")</f>
        <v/>
      </c>
      <c r="J522" s="40" t="str">
        <f t="shared" si="48"/>
        <v/>
      </c>
      <c r="K522" s="24" t="str">
        <f t="shared" si="44"/>
        <v/>
      </c>
      <c r="L522" s="25" t="str">
        <f t="shared" si="45"/>
        <v/>
      </c>
      <c r="M522" s="37"/>
      <c r="N522" s="37"/>
      <c r="O522" s="33" t="str">
        <f t="shared" si="46"/>
        <v/>
      </c>
      <c r="P522" s="33" t="str">
        <f t="shared" si="47"/>
        <v/>
      </c>
      <c r="X522" s="1"/>
    </row>
    <row r="523" spans="7:24">
      <c r="G523" s="21"/>
      <c r="H523" s="23"/>
      <c r="I523" s="23" t="str">
        <f>_xlfn.IFNA(VLOOKUP(A523,A524:$H$3524,8,0),"")</f>
        <v/>
      </c>
      <c r="J523" s="40" t="str">
        <f t="shared" si="48"/>
        <v/>
      </c>
      <c r="K523" s="24" t="str">
        <f t="shared" si="44"/>
        <v/>
      </c>
      <c r="L523" s="25" t="str">
        <f t="shared" si="45"/>
        <v/>
      </c>
      <c r="M523" s="37"/>
      <c r="N523" s="37"/>
      <c r="O523" s="33" t="str">
        <f t="shared" si="46"/>
        <v/>
      </c>
      <c r="P523" s="33" t="str">
        <f t="shared" si="47"/>
        <v/>
      </c>
      <c r="X523" s="1"/>
    </row>
    <row r="524" spans="7:24">
      <c r="G524" s="21"/>
      <c r="H524" s="23"/>
      <c r="I524" s="23" t="str">
        <f>_xlfn.IFNA(VLOOKUP(A524,A525:$H$3524,8,0),"")</f>
        <v/>
      </c>
      <c r="J524" s="40" t="str">
        <f t="shared" si="48"/>
        <v/>
      </c>
      <c r="K524" s="24" t="str">
        <f t="shared" si="44"/>
        <v/>
      </c>
      <c r="L524" s="25" t="str">
        <f t="shared" si="45"/>
        <v/>
      </c>
      <c r="M524" s="37"/>
      <c r="N524" s="37"/>
      <c r="O524" s="33" t="str">
        <f t="shared" si="46"/>
        <v/>
      </c>
      <c r="P524" s="33" t="str">
        <f t="shared" si="47"/>
        <v/>
      </c>
      <c r="X524" s="1"/>
    </row>
    <row r="525" spans="7:24">
      <c r="G525" s="21"/>
      <c r="H525" s="23"/>
      <c r="I525" s="23" t="str">
        <f>_xlfn.IFNA(VLOOKUP(A525,A526:$H$3524,8,0),"")</f>
        <v/>
      </c>
      <c r="J525" s="40" t="str">
        <f t="shared" si="48"/>
        <v/>
      </c>
      <c r="K525" s="24" t="str">
        <f t="shared" si="44"/>
        <v/>
      </c>
      <c r="L525" s="25" t="str">
        <f t="shared" si="45"/>
        <v/>
      </c>
      <c r="M525" s="37"/>
      <c r="N525" s="37"/>
      <c r="O525" s="33" t="str">
        <f t="shared" si="46"/>
        <v/>
      </c>
      <c r="P525" s="33" t="str">
        <f t="shared" si="47"/>
        <v/>
      </c>
      <c r="X525" s="1"/>
    </row>
    <row r="526" spans="7:24">
      <c r="G526" s="21"/>
      <c r="H526" s="23"/>
      <c r="I526" s="23" t="str">
        <f>_xlfn.IFNA(VLOOKUP(A526,A527:$H$3524,8,0),"")</f>
        <v/>
      </c>
      <c r="J526" s="40" t="str">
        <f t="shared" si="48"/>
        <v/>
      </c>
      <c r="K526" s="24" t="str">
        <f t="shared" si="44"/>
        <v/>
      </c>
      <c r="L526" s="25" t="str">
        <f t="shared" si="45"/>
        <v/>
      </c>
      <c r="M526" s="37"/>
      <c r="N526" s="37"/>
      <c r="O526" s="33" t="str">
        <f t="shared" si="46"/>
        <v/>
      </c>
      <c r="P526" s="33" t="str">
        <f t="shared" si="47"/>
        <v/>
      </c>
      <c r="X526" s="1"/>
    </row>
    <row r="527" spans="7:24">
      <c r="G527" s="21"/>
      <c r="H527" s="23"/>
      <c r="I527" s="23" t="str">
        <f>_xlfn.IFNA(VLOOKUP(A527,A528:$H$3524,8,0),"")</f>
        <v/>
      </c>
      <c r="J527" s="40" t="str">
        <f t="shared" si="48"/>
        <v/>
      </c>
      <c r="K527" s="24" t="str">
        <f t="shared" si="44"/>
        <v/>
      </c>
      <c r="L527" s="25" t="str">
        <f t="shared" si="45"/>
        <v/>
      </c>
      <c r="M527" s="37"/>
      <c r="N527" s="37"/>
      <c r="O527" s="33" t="str">
        <f t="shared" si="46"/>
        <v/>
      </c>
      <c r="P527" s="33" t="str">
        <f t="shared" si="47"/>
        <v/>
      </c>
      <c r="X527" s="1"/>
    </row>
    <row r="528" spans="7:24">
      <c r="G528" s="21"/>
      <c r="H528" s="23"/>
      <c r="I528" s="23" t="str">
        <f>_xlfn.IFNA(VLOOKUP(A528,A529:$H$3524,8,0),"")</f>
        <v/>
      </c>
      <c r="J528" s="40" t="str">
        <f t="shared" si="48"/>
        <v/>
      </c>
      <c r="K528" s="24" t="str">
        <f t="shared" si="44"/>
        <v/>
      </c>
      <c r="L528" s="25" t="str">
        <f t="shared" si="45"/>
        <v/>
      </c>
      <c r="M528" s="37"/>
      <c r="N528" s="37"/>
      <c r="O528" s="33" t="str">
        <f t="shared" si="46"/>
        <v/>
      </c>
      <c r="P528" s="33" t="str">
        <f t="shared" si="47"/>
        <v/>
      </c>
      <c r="X528" s="1"/>
    </row>
    <row r="529" spans="7:24">
      <c r="G529" s="21"/>
      <c r="H529" s="23"/>
      <c r="I529" s="23" t="str">
        <f>_xlfn.IFNA(VLOOKUP(A529,A530:$H$3524,8,0),"")</f>
        <v/>
      </c>
      <c r="J529" s="40" t="str">
        <f t="shared" si="48"/>
        <v/>
      </c>
      <c r="K529" s="24" t="str">
        <f t="shared" si="44"/>
        <v/>
      </c>
      <c r="L529" s="25" t="str">
        <f t="shared" si="45"/>
        <v/>
      </c>
      <c r="M529" s="37"/>
      <c r="N529" s="37"/>
      <c r="O529" s="33" t="str">
        <f t="shared" si="46"/>
        <v/>
      </c>
      <c r="P529" s="33" t="str">
        <f t="shared" si="47"/>
        <v/>
      </c>
      <c r="X529" s="1"/>
    </row>
    <row r="530" spans="7:24">
      <c r="G530" s="21"/>
      <c r="H530" s="23"/>
      <c r="I530" s="23" t="str">
        <f>_xlfn.IFNA(VLOOKUP(A530,A531:$H$3524,8,0),"")</f>
        <v/>
      </c>
      <c r="J530" s="40" t="str">
        <f t="shared" si="48"/>
        <v/>
      </c>
      <c r="K530" s="24" t="str">
        <f t="shared" si="44"/>
        <v/>
      </c>
      <c r="L530" s="25" t="str">
        <f t="shared" si="45"/>
        <v/>
      </c>
      <c r="M530" s="37"/>
      <c r="N530" s="37"/>
      <c r="O530" s="33" t="str">
        <f t="shared" si="46"/>
        <v/>
      </c>
      <c r="P530" s="33" t="str">
        <f t="shared" si="47"/>
        <v/>
      </c>
      <c r="X530" s="1"/>
    </row>
    <row r="531" spans="7:24">
      <c r="G531" s="21"/>
      <c r="H531" s="23"/>
      <c r="I531" s="23" t="str">
        <f>_xlfn.IFNA(VLOOKUP(A531,A532:$H$3524,8,0),"")</f>
        <v/>
      </c>
      <c r="J531" s="40" t="str">
        <f t="shared" si="48"/>
        <v/>
      </c>
      <c r="K531" s="24" t="str">
        <f t="shared" si="44"/>
        <v/>
      </c>
      <c r="L531" s="25" t="str">
        <f t="shared" si="45"/>
        <v/>
      </c>
      <c r="M531" s="37"/>
      <c r="N531" s="37"/>
      <c r="O531" s="33" t="str">
        <f t="shared" si="46"/>
        <v/>
      </c>
      <c r="P531" s="33" t="str">
        <f t="shared" si="47"/>
        <v/>
      </c>
      <c r="X531" s="1"/>
    </row>
    <row r="532" spans="7:24">
      <c r="G532" s="21"/>
      <c r="H532" s="23"/>
      <c r="I532" s="23" t="str">
        <f>_xlfn.IFNA(VLOOKUP(A532,A533:$H$3524,8,0),"")</f>
        <v/>
      </c>
      <c r="J532" s="40" t="str">
        <f t="shared" si="48"/>
        <v/>
      </c>
      <c r="K532" s="24" t="str">
        <f t="shared" ref="K532:K595" si="49">IF(H532="","",IFERROR((I532-H532)*24,0))</f>
        <v/>
      </c>
      <c r="L532" s="25" t="str">
        <f t="shared" si="45"/>
        <v/>
      </c>
      <c r="M532" s="37"/>
      <c r="N532" s="37"/>
      <c r="O532" s="33" t="str">
        <f t="shared" si="46"/>
        <v/>
      </c>
      <c r="P532" s="33" t="str">
        <f t="shared" si="47"/>
        <v/>
      </c>
      <c r="X532" s="1"/>
    </row>
    <row r="533" spans="7:24">
      <c r="G533" s="21"/>
      <c r="H533" s="23"/>
      <c r="I533" s="23" t="str">
        <f>_xlfn.IFNA(VLOOKUP(A533,A534:$H$3524,8,0),"")</f>
        <v/>
      </c>
      <c r="J533" s="40" t="str">
        <f t="shared" si="48"/>
        <v/>
      </c>
      <c r="K533" s="24" t="str">
        <f t="shared" si="49"/>
        <v/>
      </c>
      <c r="L533" s="25" t="str">
        <f t="shared" si="45"/>
        <v/>
      </c>
      <c r="M533" s="37"/>
      <c r="N533" s="37"/>
      <c r="O533" s="33" t="str">
        <f t="shared" si="46"/>
        <v/>
      </c>
      <c r="P533" s="33" t="str">
        <f t="shared" si="47"/>
        <v/>
      </c>
      <c r="X533" s="1"/>
    </row>
    <row r="534" spans="7:24">
      <c r="G534" s="21"/>
      <c r="H534" s="23"/>
      <c r="I534" s="23" t="str">
        <f>_xlfn.IFNA(VLOOKUP(A534,A535:$H$3524,8,0),"")</f>
        <v/>
      </c>
      <c r="J534" s="40" t="str">
        <f t="shared" si="48"/>
        <v/>
      </c>
      <c r="K534" s="24" t="str">
        <f t="shared" si="49"/>
        <v/>
      </c>
      <c r="L534" s="25" t="str">
        <f t="shared" si="45"/>
        <v/>
      </c>
      <c r="M534" s="37"/>
      <c r="N534" s="37"/>
      <c r="O534" s="33" t="str">
        <f t="shared" si="46"/>
        <v/>
      </c>
      <c r="P534" s="33" t="str">
        <f t="shared" si="47"/>
        <v/>
      </c>
      <c r="X534" s="1"/>
    </row>
    <row r="535" spans="7:24">
      <c r="G535" s="21"/>
      <c r="H535" s="23"/>
      <c r="I535" s="23" t="str">
        <f>_xlfn.IFNA(VLOOKUP(A535,A536:$H$3524,8,0),"")</f>
        <v/>
      </c>
      <c r="J535" s="40" t="str">
        <f t="shared" si="48"/>
        <v/>
      </c>
      <c r="K535" s="24" t="str">
        <f t="shared" si="49"/>
        <v/>
      </c>
      <c r="L535" s="25" t="str">
        <f t="shared" si="45"/>
        <v/>
      </c>
      <c r="M535" s="37"/>
      <c r="N535" s="37"/>
      <c r="O535" s="33" t="str">
        <f t="shared" si="46"/>
        <v/>
      </c>
      <c r="P535" s="33" t="str">
        <f t="shared" si="47"/>
        <v/>
      </c>
      <c r="X535" s="1"/>
    </row>
    <row r="536" spans="7:24">
      <c r="G536" s="21"/>
      <c r="H536" s="23"/>
      <c r="I536" s="23" t="str">
        <f>_xlfn.IFNA(VLOOKUP(A536,A537:$H$3524,8,0),"")</f>
        <v/>
      </c>
      <c r="J536" s="40" t="str">
        <f t="shared" si="48"/>
        <v/>
      </c>
      <c r="K536" s="24" t="str">
        <f t="shared" si="49"/>
        <v/>
      </c>
      <c r="L536" s="25" t="str">
        <f t="shared" si="45"/>
        <v/>
      </c>
      <c r="M536" s="37"/>
      <c r="N536" s="37"/>
      <c r="O536" s="33" t="str">
        <f t="shared" si="46"/>
        <v/>
      </c>
      <c r="P536" s="33" t="str">
        <f t="shared" si="47"/>
        <v/>
      </c>
      <c r="X536" s="1"/>
    </row>
    <row r="537" spans="7:24">
      <c r="G537" s="21"/>
      <c r="H537" s="23"/>
      <c r="I537" s="23" t="str">
        <f>_xlfn.IFNA(VLOOKUP(A537,A538:$H$3524,8,0),"")</f>
        <v/>
      </c>
      <c r="J537" s="40" t="str">
        <f t="shared" si="48"/>
        <v/>
      </c>
      <c r="K537" s="24" t="str">
        <f t="shared" si="49"/>
        <v/>
      </c>
      <c r="L537" s="25" t="str">
        <f t="shared" si="45"/>
        <v/>
      </c>
      <c r="M537" s="37"/>
      <c r="N537" s="37"/>
      <c r="O537" s="33" t="str">
        <f t="shared" si="46"/>
        <v/>
      </c>
      <c r="P537" s="33" t="str">
        <f t="shared" si="47"/>
        <v/>
      </c>
      <c r="X537" s="1"/>
    </row>
    <row r="538" spans="7:24">
      <c r="G538" s="21"/>
      <c r="H538" s="23"/>
      <c r="I538" s="23" t="str">
        <f>_xlfn.IFNA(VLOOKUP(A538,A539:$H$3524,8,0),"")</f>
        <v/>
      </c>
      <c r="J538" s="40" t="str">
        <f t="shared" si="48"/>
        <v/>
      </c>
      <c r="K538" s="24" t="str">
        <f t="shared" si="49"/>
        <v/>
      </c>
      <c r="L538" s="25" t="str">
        <f t="shared" si="45"/>
        <v/>
      </c>
      <c r="M538" s="37"/>
      <c r="N538" s="37"/>
      <c r="O538" s="33" t="str">
        <f t="shared" si="46"/>
        <v/>
      </c>
      <c r="P538" s="33" t="str">
        <f t="shared" si="47"/>
        <v/>
      </c>
      <c r="X538" s="1"/>
    </row>
    <row r="539" spans="7:24">
      <c r="G539" s="21"/>
      <c r="H539" s="23"/>
      <c r="I539" s="23" t="str">
        <f>_xlfn.IFNA(VLOOKUP(A539,A540:$H$3524,8,0),"")</f>
        <v/>
      </c>
      <c r="J539" s="40" t="str">
        <f t="shared" si="48"/>
        <v/>
      </c>
      <c r="K539" s="24" t="str">
        <f t="shared" si="49"/>
        <v/>
      </c>
      <c r="L539" s="25" t="str">
        <f t="shared" si="45"/>
        <v/>
      </c>
      <c r="M539" s="37"/>
      <c r="N539" s="37"/>
      <c r="O539" s="33" t="str">
        <f t="shared" si="46"/>
        <v/>
      </c>
      <c r="P539" s="33" t="str">
        <f t="shared" si="47"/>
        <v/>
      </c>
      <c r="X539" s="1"/>
    </row>
    <row r="540" spans="7:24">
      <c r="G540" s="21"/>
      <c r="H540" s="23"/>
      <c r="I540" s="23" t="str">
        <f>_xlfn.IFNA(VLOOKUP(A540,A541:$H$3524,8,0),"")</f>
        <v/>
      </c>
      <c r="J540" s="40" t="str">
        <f t="shared" si="48"/>
        <v/>
      </c>
      <c r="K540" s="24" t="str">
        <f t="shared" si="49"/>
        <v/>
      </c>
      <c r="L540" s="25" t="str">
        <f t="shared" si="45"/>
        <v/>
      </c>
      <c r="M540" s="37"/>
      <c r="N540" s="37"/>
      <c r="O540" s="33" t="str">
        <f t="shared" si="46"/>
        <v/>
      </c>
      <c r="P540" s="33" t="str">
        <f t="shared" si="47"/>
        <v/>
      </c>
      <c r="X540" s="1"/>
    </row>
    <row r="541" spans="7:24">
      <c r="G541" s="21"/>
      <c r="H541" s="23"/>
      <c r="I541" s="23" t="str">
        <f>_xlfn.IFNA(VLOOKUP(A541,A542:$H$3524,8,0),"")</f>
        <v/>
      </c>
      <c r="J541" s="40" t="str">
        <f t="shared" si="48"/>
        <v/>
      </c>
      <c r="K541" s="24" t="str">
        <f t="shared" si="49"/>
        <v/>
      </c>
      <c r="L541" s="25" t="str">
        <f t="shared" si="45"/>
        <v/>
      </c>
      <c r="M541" s="37"/>
      <c r="N541" s="37"/>
      <c r="O541" s="33" t="str">
        <f t="shared" si="46"/>
        <v/>
      </c>
      <c r="P541" s="33" t="str">
        <f t="shared" si="47"/>
        <v/>
      </c>
      <c r="X541" s="1"/>
    </row>
    <row r="542" spans="7:24">
      <c r="G542" s="21"/>
      <c r="H542" s="23"/>
      <c r="I542" s="23" t="str">
        <f>_xlfn.IFNA(VLOOKUP(A542,A543:$H$3524,8,0),"")</f>
        <v/>
      </c>
      <c r="J542" s="40" t="str">
        <f t="shared" si="48"/>
        <v/>
      </c>
      <c r="K542" s="24" t="str">
        <f t="shared" si="49"/>
        <v/>
      </c>
      <c r="L542" s="25" t="str">
        <f t="shared" si="45"/>
        <v/>
      </c>
      <c r="M542" s="37"/>
      <c r="N542" s="37"/>
      <c r="O542" s="33" t="str">
        <f t="shared" si="46"/>
        <v/>
      </c>
      <c r="P542" s="33" t="str">
        <f t="shared" si="47"/>
        <v/>
      </c>
      <c r="X542" s="1"/>
    </row>
    <row r="543" spans="7:24">
      <c r="G543" s="21"/>
      <c r="H543" s="23"/>
      <c r="I543" s="23" t="str">
        <f>_xlfn.IFNA(VLOOKUP(A543,A544:$H$3524,8,0),"")</f>
        <v/>
      </c>
      <c r="J543" s="40" t="str">
        <f t="shared" si="48"/>
        <v/>
      </c>
      <c r="K543" s="24" t="str">
        <f t="shared" si="49"/>
        <v/>
      </c>
      <c r="L543" s="25" t="str">
        <f t="shared" si="45"/>
        <v/>
      </c>
      <c r="M543" s="37"/>
      <c r="N543" s="37"/>
      <c r="O543" s="33" t="str">
        <f t="shared" si="46"/>
        <v/>
      </c>
      <c r="P543" s="33" t="str">
        <f t="shared" si="47"/>
        <v/>
      </c>
      <c r="X543" s="1"/>
    </row>
    <row r="544" spans="7:24">
      <c r="G544" s="21"/>
      <c r="H544" s="23"/>
      <c r="I544" s="23" t="str">
        <f>_xlfn.IFNA(VLOOKUP(A544,A545:$H$3524,8,0),"")</f>
        <v/>
      </c>
      <c r="J544" s="40" t="str">
        <f t="shared" si="48"/>
        <v/>
      </c>
      <c r="K544" s="24" t="str">
        <f t="shared" si="49"/>
        <v/>
      </c>
      <c r="L544" s="25" t="str">
        <f t="shared" si="45"/>
        <v/>
      </c>
      <c r="M544" s="37"/>
      <c r="N544" s="37"/>
      <c r="O544" s="33" t="str">
        <f t="shared" si="46"/>
        <v/>
      </c>
      <c r="P544" s="33" t="str">
        <f t="shared" si="47"/>
        <v/>
      </c>
      <c r="X544" s="1"/>
    </row>
    <row r="545" spans="7:24">
      <c r="G545" s="21"/>
      <c r="H545" s="23"/>
      <c r="I545" s="23" t="str">
        <f>_xlfn.IFNA(VLOOKUP(A545,A546:$H$3524,8,0),"")</f>
        <v/>
      </c>
      <c r="J545" s="40" t="str">
        <f t="shared" si="48"/>
        <v/>
      </c>
      <c r="K545" s="24" t="str">
        <f t="shared" si="49"/>
        <v/>
      </c>
      <c r="L545" s="25" t="str">
        <f t="shared" si="45"/>
        <v/>
      </c>
      <c r="M545" s="37"/>
      <c r="N545" s="37"/>
      <c r="O545" s="33" t="str">
        <f t="shared" si="46"/>
        <v/>
      </c>
      <c r="P545" s="33" t="str">
        <f t="shared" si="47"/>
        <v/>
      </c>
      <c r="X545" s="1"/>
    </row>
    <row r="546" spans="7:24">
      <c r="G546" s="21"/>
      <c r="H546" s="23"/>
      <c r="I546" s="23" t="str">
        <f>_xlfn.IFNA(VLOOKUP(A546,A547:$H$3524,8,0),"")</f>
        <v/>
      </c>
      <c r="J546" s="40" t="str">
        <f t="shared" si="48"/>
        <v/>
      </c>
      <c r="K546" s="24" t="str">
        <f t="shared" si="49"/>
        <v/>
      </c>
      <c r="L546" s="25" t="str">
        <f t="shared" si="45"/>
        <v/>
      </c>
      <c r="M546" s="37"/>
      <c r="N546" s="37"/>
      <c r="O546" s="33" t="str">
        <f t="shared" si="46"/>
        <v/>
      </c>
      <c r="P546" s="33" t="str">
        <f t="shared" si="47"/>
        <v/>
      </c>
      <c r="X546" s="1"/>
    </row>
    <row r="547" spans="7:24">
      <c r="G547" s="21"/>
      <c r="H547" s="23"/>
      <c r="I547" s="23" t="str">
        <f>_xlfn.IFNA(VLOOKUP(A547,A548:$H$3524,8,0),"")</f>
        <v/>
      </c>
      <c r="J547" s="40" t="str">
        <f t="shared" si="48"/>
        <v/>
      </c>
      <c r="K547" s="24" t="str">
        <f t="shared" si="49"/>
        <v/>
      </c>
      <c r="L547" s="25" t="str">
        <f t="shared" si="45"/>
        <v/>
      </c>
      <c r="M547" s="37"/>
      <c r="N547" s="37"/>
      <c r="O547" s="33" t="str">
        <f t="shared" si="46"/>
        <v/>
      </c>
      <c r="P547" s="33" t="str">
        <f t="shared" si="47"/>
        <v/>
      </c>
      <c r="X547" s="1"/>
    </row>
    <row r="548" spans="7:24">
      <c r="G548" s="21"/>
      <c r="H548" s="23"/>
      <c r="I548" s="23" t="str">
        <f>_xlfn.IFNA(VLOOKUP(A548,A549:$H$3524,8,0),"")</f>
        <v/>
      </c>
      <c r="J548" s="40" t="str">
        <f t="shared" si="48"/>
        <v/>
      </c>
      <c r="K548" s="24" t="str">
        <f t="shared" si="49"/>
        <v/>
      </c>
      <c r="L548" s="25" t="str">
        <f t="shared" si="45"/>
        <v/>
      </c>
      <c r="M548" s="37"/>
      <c r="N548" s="37"/>
      <c r="O548" s="33" t="str">
        <f t="shared" si="46"/>
        <v/>
      </c>
      <c r="P548" s="33" t="str">
        <f t="shared" si="47"/>
        <v/>
      </c>
      <c r="X548" s="1"/>
    </row>
    <row r="549" spans="7:24">
      <c r="G549" s="21"/>
      <c r="H549" s="23"/>
      <c r="I549" s="23" t="str">
        <f>_xlfn.IFNA(VLOOKUP(A549,A550:$H$3524,8,0),"")</f>
        <v/>
      </c>
      <c r="J549" s="40" t="str">
        <f t="shared" si="48"/>
        <v/>
      </c>
      <c r="K549" s="24" t="str">
        <f t="shared" si="49"/>
        <v/>
      </c>
      <c r="L549" s="25" t="str">
        <f t="shared" si="45"/>
        <v/>
      </c>
      <c r="M549" s="37"/>
      <c r="N549" s="37"/>
      <c r="O549" s="33" t="str">
        <f t="shared" si="46"/>
        <v/>
      </c>
      <c r="P549" s="33" t="str">
        <f t="shared" si="47"/>
        <v/>
      </c>
      <c r="X549" s="1"/>
    </row>
    <row r="550" spans="7:24">
      <c r="G550" s="21"/>
      <c r="H550" s="23"/>
      <c r="I550" s="23" t="str">
        <f>_xlfn.IFNA(VLOOKUP(A550,A551:$H$3524,8,0),"")</f>
        <v/>
      </c>
      <c r="J550" s="40" t="str">
        <f t="shared" si="48"/>
        <v/>
      </c>
      <c r="K550" s="24" t="str">
        <f t="shared" si="49"/>
        <v/>
      </c>
      <c r="L550" s="25" t="str">
        <f t="shared" si="45"/>
        <v/>
      </c>
      <c r="M550" s="37"/>
      <c r="N550" s="37"/>
      <c r="O550" s="33" t="str">
        <f t="shared" si="46"/>
        <v/>
      </c>
      <c r="P550" s="33" t="str">
        <f t="shared" si="47"/>
        <v/>
      </c>
      <c r="X550" s="1"/>
    </row>
    <row r="551" spans="7:24">
      <c r="G551" s="21"/>
      <c r="H551" s="23"/>
      <c r="I551" s="23" t="str">
        <f>_xlfn.IFNA(VLOOKUP(A551,A552:$H$3524,8,0),"")</f>
        <v/>
      </c>
      <c r="J551" s="40" t="str">
        <f t="shared" si="48"/>
        <v/>
      </c>
      <c r="K551" s="24" t="str">
        <f t="shared" si="49"/>
        <v/>
      </c>
      <c r="L551" s="25" t="str">
        <f t="shared" si="45"/>
        <v/>
      </c>
      <c r="M551" s="37"/>
      <c r="N551" s="37"/>
      <c r="O551" s="33" t="str">
        <f t="shared" si="46"/>
        <v/>
      </c>
      <c r="P551" s="33" t="str">
        <f t="shared" si="47"/>
        <v/>
      </c>
      <c r="X551" s="1"/>
    </row>
    <row r="552" spans="7:24">
      <c r="G552" s="21"/>
      <c r="H552" s="23"/>
      <c r="I552" s="23" t="str">
        <f>_xlfn.IFNA(VLOOKUP(A552,A553:$H$3524,8,0),"")</f>
        <v/>
      </c>
      <c r="J552" s="40" t="str">
        <f t="shared" si="48"/>
        <v/>
      </c>
      <c r="K552" s="24" t="str">
        <f t="shared" si="49"/>
        <v/>
      </c>
      <c r="L552" s="25" t="str">
        <f t="shared" si="45"/>
        <v/>
      </c>
      <c r="M552" s="37"/>
      <c r="N552" s="37"/>
      <c r="O552" s="33" t="str">
        <f t="shared" si="46"/>
        <v/>
      </c>
      <c r="P552" s="33" t="str">
        <f t="shared" si="47"/>
        <v/>
      </c>
      <c r="X552" s="1"/>
    </row>
    <row r="553" spans="7:24">
      <c r="G553" s="21"/>
      <c r="H553" s="23"/>
      <c r="I553" s="23" t="str">
        <f>_xlfn.IFNA(VLOOKUP(A553,A554:$H$3524,8,0),"")</f>
        <v/>
      </c>
      <c r="J553" s="40" t="str">
        <f t="shared" si="48"/>
        <v/>
      </c>
      <c r="K553" s="24" t="str">
        <f t="shared" si="49"/>
        <v/>
      </c>
      <c r="L553" s="25" t="str">
        <f t="shared" si="45"/>
        <v/>
      </c>
      <c r="M553" s="37"/>
      <c r="N553" s="37"/>
      <c r="O553" s="33" t="str">
        <f t="shared" si="46"/>
        <v/>
      </c>
      <c r="P553" s="33" t="str">
        <f t="shared" si="47"/>
        <v/>
      </c>
      <c r="X553" s="1"/>
    </row>
    <row r="554" spans="7:24">
      <c r="G554" s="21"/>
      <c r="H554" s="23"/>
      <c r="I554" s="23" t="str">
        <f>_xlfn.IFNA(VLOOKUP(A554,A555:$H$3524,8,0),"")</f>
        <v/>
      </c>
      <c r="J554" s="40" t="str">
        <f t="shared" si="48"/>
        <v/>
      </c>
      <c r="K554" s="24" t="str">
        <f t="shared" si="49"/>
        <v/>
      </c>
      <c r="L554" s="25" t="str">
        <f t="shared" si="45"/>
        <v/>
      </c>
      <c r="M554" s="37"/>
      <c r="N554" s="37"/>
      <c r="O554" s="33" t="str">
        <f t="shared" si="46"/>
        <v/>
      </c>
      <c r="P554" s="33" t="str">
        <f t="shared" si="47"/>
        <v/>
      </c>
      <c r="X554" s="1"/>
    </row>
    <row r="555" spans="7:24">
      <c r="G555" s="21"/>
      <c r="H555" s="23"/>
      <c r="I555" s="23" t="str">
        <f>_xlfn.IFNA(VLOOKUP(A555,A556:$H$3524,8,0),"")</f>
        <v/>
      </c>
      <c r="J555" s="40" t="str">
        <f t="shared" si="48"/>
        <v/>
      </c>
      <c r="K555" s="24" t="str">
        <f t="shared" si="49"/>
        <v/>
      </c>
      <c r="L555" s="25" t="str">
        <f t="shared" si="45"/>
        <v/>
      </c>
      <c r="M555" s="37"/>
      <c r="N555" s="37"/>
      <c r="O555" s="33" t="str">
        <f t="shared" si="46"/>
        <v/>
      </c>
      <c r="P555" s="33" t="str">
        <f t="shared" si="47"/>
        <v/>
      </c>
      <c r="X555" s="1"/>
    </row>
    <row r="556" spans="7:24">
      <c r="G556" s="21"/>
      <c r="H556" s="23"/>
      <c r="I556" s="23" t="str">
        <f>_xlfn.IFNA(VLOOKUP(A556,A557:$H$3524,8,0),"")</f>
        <v/>
      </c>
      <c r="J556" s="40" t="str">
        <f t="shared" si="48"/>
        <v/>
      </c>
      <c r="K556" s="24" t="str">
        <f t="shared" si="49"/>
        <v/>
      </c>
      <c r="L556" s="25" t="str">
        <f t="shared" si="45"/>
        <v/>
      </c>
      <c r="M556" s="37"/>
      <c r="N556" s="37"/>
      <c r="O556" s="33" t="str">
        <f t="shared" si="46"/>
        <v/>
      </c>
      <c r="P556" s="33" t="str">
        <f t="shared" si="47"/>
        <v/>
      </c>
      <c r="X556" s="1"/>
    </row>
    <row r="557" spans="7:24">
      <c r="G557" s="21"/>
      <c r="H557" s="23"/>
      <c r="I557" s="23" t="str">
        <f>_xlfn.IFNA(VLOOKUP(A557,A558:$H$3524,8,0),"")</f>
        <v/>
      </c>
      <c r="J557" s="40" t="str">
        <f t="shared" si="48"/>
        <v/>
      </c>
      <c r="K557" s="24" t="str">
        <f t="shared" si="49"/>
        <v/>
      </c>
      <c r="L557" s="25" t="str">
        <f t="shared" si="45"/>
        <v/>
      </c>
      <c r="M557" s="37"/>
      <c r="N557" s="37"/>
      <c r="O557" s="33" t="str">
        <f t="shared" si="46"/>
        <v/>
      </c>
      <c r="P557" s="33" t="str">
        <f t="shared" si="47"/>
        <v/>
      </c>
      <c r="X557" s="1"/>
    </row>
    <row r="558" spans="7:24">
      <c r="G558" s="21"/>
      <c r="H558" s="23"/>
      <c r="I558" s="23" t="str">
        <f>_xlfn.IFNA(VLOOKUP(A558,A559:$H$3524,8,0),"")</f>
        <v/>
      </c>
      <c r="J558" s="40" t="str">
        <f t="shared" si="48"/>
        <v/>
      </c>
      <c r="K558" s="24" t="str">
        <f t="shared" si="49"/>
        <v/>
      </c>
      <c r="L558" s="25" t="str">
        <f t="shared" si="45"/>
        <v/>
      </c>
      <c r="M558" s="37"/>
      <c r="N558" s="37"/>
      <c r="O558" s="33" t="str">
        <f t="shared" si="46"/>
        <v/>
      </c>
      <c r="P558" s="33" t="str">
        <f t="shared" si="47"/>
        <v/>
      </c>
      <c r="X558" s="1"/>
    </row>
    <row r="559" spans="7:24">
      <c r="G559" s="21"/>
      <c r="H559" s="23"/>
      <c r="I559" s="23" t="str">
        <f>_xlfn.IFNA(VLOOKUP(A559,A560:$H$3524,8,0),"")</f>
        <v/>
      </c>
      <c r="J559" s="40" t="str">
        <f t="shared" si="48"/>
        <v/>
      </c>
      <c r="K559" s="24" t="str">
        <f t="shared" si="49"/>
        <v/>
      </c>
      <c r="L559" s="25" t="str">
        <f t="shared" si="45"/>
        <v/>
      </c>
      <c r="M559" s="37"/>
      <c r="N559" s="37"/>
      <c r="O559" s="33" t="str">
        <f t="shared" si="46"/>
        <v/>
      </c>
      <c r="P559" s="33" t="str">
        <f t="shared" si="47"/>
        <v/>
      </c>
      <c r="X559" s="1"/>
    </row>
    <row r="560" spans="7:24">
      <c r="G560" s="21"/>
      <c r="H560" s="23"/>
      <c r="I560" s="23" t="str">
        <f>_xlfn.IFNA(VLOOKUP(A560,A561:$H$3524,8,0),"")</f>
        <v/>
      </c>
      <c r="J560" s="40" t="str">
        <f t="shared" si="48"/>
        <v/>
      </c>
      <c r="K560" s="24" t="str">
        <f t="shared" si="49"/>
        <v/>
      </c>
      <c r="L560" s="25" t="str">
        <f t="shared" si="45"/>
        <v/>
      </c>
      <c r="M560" s="37"/>
      <c r="N560" s="37"/>
      <c r="O560" s="33" t="str">
        <f t="shared" si="46"/>
        <v/>
      </c>
      <c r="P560" s="33" t="str">
        <f t="shared" si="47"/>
        <v/>
      </c>
      <c r="X560" s="1"/>
    </row>
    <row r="561" spans="7:24">
      <c r="G561" s="21"/>
      <c r="H561" s="23"/>
      <c r="I561" s="23" t="str">
        <f>_xlfn.IFNA(VLOOKUP(A561,A562:$H$3524,8,0),"")</f>
        <v/>
      </c>
      <c r="J561" s="40" t="str">
        <f t="shared" si="48"/>
        <v/>
      </c>
      <c r="K561" s="24" t="str">
        <f t="shared" si="49"/>
        <v/>
      </c>
      <c r="L561" s="25" t="str">
        <f t="shared" si="45"/>
        <v/>
      </c>
      <c r="M561" s="37"/>
      <c r="N561" s="37"/>
      <c r="O561" s="33" t="str">
        <f t="shared" si="46"/>
        <v/>
      </c>
      <c r="P561" s="33" t="str">
        <f t="shared" si="47"/>
        <v/>
      </c>
      <c r="X561" s="1"/>
    </row>
    <row r="562" spans="7:24">
      <c r="G562" s="21"/>
      <c r="H562" s="23"/>
      <c r="I562" s="23" t="str">
        <f>_xlfn.IFNA(VLOOKUP(A562,A563:$H$3524,8,0),"")</f>
        <v/>
      </c>
      <c r="J562" s="40" t="str">
        <f t="shared" si="48"/>
        <v/>
      </c>
      <c r="K562" s="24" t="str">
        <f t="shared" si="49"/>
        <v/>
      </c>
      <c r="L562" s="25" t="str">
        <f t="shared" si="45"/>
        <v/>
      </c>
      <c r="M562" s="37"/>
      <c r="N562" s="37"/>
      <c r="O562" s="33" t="str">
        <f t="shared" si="46"/>
        <v/>
      </c>
      <c r="P562" s="33" t="str">
        <f t="shared" si="47"/>
        <v/>
      </c>
      <c r="X562" s="1"/>
    </row>
    <row r="563" spans="7:24">
      <c r="G563" s="21"/>
      <c r="H563" s="23"/>
      <c r="I563" s="23" t="str">
        <f>_xlfn.IFNA(VLOOKUP(A563,A564:$H$3524,8,0),"")</f>
        <v/>
      </c>
      <c r="J563" s="40" t="str">
        <f t="shared" si="48"/>
        <v/>
      </c>
      <c r="K563" s="24" t="str">
        <f t="shared" si="49"/>
        <v/>
      </c>
      <c r="L563" s="25" t="str">
        <f t="shared" si="45"/>
        <v/>
      </c>
      <c r="M563" s="37"/>
      <c r="N563" s="37"/>
      <c r="O563" s="33" t="str">
        <f t="shared" si="46"/>
        <v/>
      </c>
      <c r="P563" s="33" t="str">
        <f t="shared" si="47"/>
        <v/>
      </c>
      <c r="X563" s="1"/>
    </row>
    <row r="564" spans="7:24">
      <c r="G564" s="21"/>
      <c r="H564" s="23"/>
      <c r="I564" s="23" t="str">
        <f>_xlfn.IFNA(VLOOKUP(A564,A565:$H$3524,8,0),"")</f>
        <v/>
      </c>
      <c r="J564" s="40" t="str">
        <f t="shared" si="48"/>
        <v/>
      </c>
      <c r="K564" s="24" t="str">
        <f t="shared" si="49"/>
        <v/>
      </c>
      <c r="L564" s="25" t="str">
        <f t="shared" si="45"/>
        <v/>
      </c>
      <c r="M564" s="37"/>
      <c r="N564" s="37"/>
      <c r="O564" s="33" t="str">
        <f t="shared" si="46"/>
        <v/>
      </c>
      <c r="P564" s="33" t="str">
        <f t="shared" si="47"/>
        <v/>
      </c>
      <c r="X564" s="1"/>
    </row>
    <row r="565" spans="7:24">
      <c r="G565" s="21"/>
      <c r="H565" s="23"/>
      <c r="I565" s="23" t="str">
        <f>_xlfn.IFNA(VLOOKUP(A565,A566:$H$3524,8,0),"")</f>
        <v/>
      </c>
      <c r="J565" s="40" t="str">
        <f t="shared" si="48"/>
        <v/>
      </c>
      <c r="K565" s="24" t="str">
        <f t="shared" si="49"/>
        <v/>
      </c>
      <c r="L565" s="25" t="str">
        <f t="shared" si="45"/>
        <v/>
      </c>
      <c r="M565" s="37"/>
      <c r="N565" s="37"/>
      <c r="O565" s="33" t="str">
        <f t="shared" si="46"/>
        <v/>
      </c>
      <c r="P565" s="33" t="str">
        <f t="shared" si="47"/>
        <v/>
      </c>
      <c r="X565" s="1"/>
    </row>
    <row r="566" spans="7:24">
      <c r="G566" s="21"/>
      <c r="H566" s="23"/>
      <c r="I566" s="23" t="str">
        <f>_xlfn.IFNA(VLOOKUP(A566,A567:$H$3524,8,0),"")</f>
        <v/>
      </c>
      <c r="J566" s="40" t="str">
        <f t="shared" si="48"/>
        <v/>
      </c>
      <c r="K566" s="24" t="str">
        <f t="shared" si="49"/>
        <v/>
      </c>
      <c r="L566" s="25" t="str">
        <f t="shared" si="45"/>
        <v/>
      </c>
      <c r="M566" s="37"/>
      <c r="N566" s="37"/>
      <c r="O566" s="33" t="str">
        <f t="shared" si="46"/>
        <v/>
      </c>
      <c r="P566" s="33" t="str">
        <f t="shared" si="47"/>
        <v/>
      </c>
      <c r="X566" s="1"/>
    </row>
    <row r="567" spans="7:24">
      <c r="G567" s="21"/>
      <c r="H567" s="23"/>
      <c r="I567" s="23" t="str">
        <f>_xlfn.IFNA(VLOOKUP(A567,A568:$H$3524,8,0),"")</f>
        <v/>
      </c>
      <c r="J567" s="40" t="str">
        <f t="shared" si="48"/>
        <v/>
      </c>
      <c r="K567" s="24" t="str">
        <f t="shared" si="49"/>
        <v/>
      </c>
      <c r="L567" s="25" t="str">
        <f t="shared" ref="L567:L630" si="50">IF(K567="","",IF(B567="Break","Break",IF(K567&lt;&gt;0,"Work Finished",IF(B567="OFF","Work Finished",IF(I567="","Working","Work Finished")))))</f>
        <v/>
      </c>
      <c r="M567" s="37"/>
      <c r="N567" s="37"/>
      <c r="O567" s="33" t="str">
        <f t="shared" ref="O567:O630" si="51">IF(AND(J567="",M567="",N567=""),"",J567-M567-N567)</f>
        <v/>
      </c>
      <c r="P567" s="33" t="str">
        <f t="shared" ref="P567:P630" si="52">IF(HOUR(H567)=0,"",HOUR(H567))</f>
        <v/>
      </c>
      <c r="X567" s="1"/>
    </row>
    <row r="568" spans="7:24">
      <c r="G568" s="21"/>
      <c r="H568" s="23"/>
      <c r="I568" s="23" t="str">
        <f>_xlfn.IFNA(VLOOKUP(A568,A569:$H$3524,8,0),"")</f>
        <v/>
      </c>
      <c r="J568" s="40" t="str">
        <f t="shared" si="48"/>
        <v/>
      </c>
      <c r="K568" s="24" t="str">
        <f t="shared" si="49"/>
        <v/>
      </c>
      <c r="L568" s="25" t="str">
        <f t="shared" si="50"/>
        <v/>
      </c>
      <c r="M568" s="37"/>
      <c r="N568" s="37"/>
      <c r="O568" s="33" t="str">
        <f t="shared" si="51"/>
        <v/>
      </c>
      <c r="P568" s="33" t="str">
        <f t="shared" si="52"/>
        <v/>
      </c>
      <c r="X568" s="1"/>
    </row>
    <row r="569" spans="7:24">
      <c r="G569" s="21"/>
      <c r="H569" s="23"/>
      <c r="I569" s="23" t="str">
        <f>_xlfn.IFNA(VLOOKUP(A569,A570:$H$3524,8,0),"")</f>
        <v/>
      </c>
      <c r="J569" s="40" t="str">
        <f t="shared" si="48"/>
        <v/>
      </c>
      <c r="K569" s="24" t="str">
        <f t="shared" si="49"/>
        <v/>
      </c>
      <c r="L569" s="25" t="str">
        <f t="shared" si="50"/>
        <v/>
      </c>
      <c r="M569" s="37"/>
      <c r="N569" s="37"/>
      <c r="O569" s="33" t="str">
        <f t="shared" si="51"/>
        <v/>
      </c>
      <c r="P569" s="33" t="str">
        <f t="shared" si="52"/>
        <v/>
      </c>
      <c r="X569" s="1"/>
    </row>
    <row r="570" spans="7:24">
      <c r="G570" s="21"/>
      <c r="H570" s="23"/>
      <c r="I570" s="23" t="str">
        <f>_xlfn.IFNA(VLOOKUP(A570,A571:$H$3524,8,0),"")</f>
        <v/>
      </c>
      <c r="J570" s="40" t="str">
        <f t="shared" si="48"/>
        <v/>
      </c>
      <c r="K570" s="24" t="str">
        <f t="shared" si="49"/>
        <v/>
      </c>
      <c r="L570" s="25" t="str">
        <f t="shared" si="50"/>
        <v/>
      </c>
      <c r="M570" s="37"/>
      <c r="N570" s="37"/>
      <c r="O570" s="33" t="str">
        <f t="shared" si="51"/>
        <v/>
      </c>
      <c r="P570" s="33" t="str">
        <f t="shared" si="52"/>
        <v/>
      </c>
      <c r="X570" s="1"/>
    </row>
    <row r="571" spans="7:24">
      <c r="G571" s="21"/>
      <c r="H571" s="23"/>
      <c r="I571" s="23" t="str">
        <f>_xlfn.IFNA(VLOOKUP(A571,A572:$H$3524,8,0),"")</f>
        <v/>
      </c>
      <c r="J571" s="40" t="str">
        <f t="shared" si="48"/>
        <v/>
      </c>
      <c r="K571" s="24" t="str">
        <f t="shared" si="49"/>
        <v/>
      </c>
      <c r="L571" s="25" t="str">
        <f t="shared" si="50"/>
        <v/>
      </c>
      <c r="M571" s="37"/>
      <c r="N571" s="37"/>
      <c r="O571" s="33" t="str">
        <f t="shared" si="51"/>
        <v/>
      </c>
      <c r="P571" s="33" t="str">
        <f t="shared" si="52"/>
        <v/>
      </c>
      <c r="X571" s="1"/>
    </row>
    <row r="572" spans="7:24">
      <c r="G572" s="21"/>
      <c r="H572" s="23"/>
      <c r="I572" s="23" t="str">
        <f>_xlfn.IFNA(VLOOKUP(A572,A573:$H$3524,8,0),"")</f>
        <v/>
      </c>
      <c r="J572" s="40" t="str">
        <f t="shared" si="48"/>
        <v/>
      </c>
      <c r="K572" s="24" t="str">
        <f t="shared" si="49"/>
        <v/>
      </c>
      <c r="L572" s="25" t="str">
        <f t="shared" si="50"/>
        <v/>
      </c>
      <c r="M572" s="37"/>
      <c r="N572" s="37"/>
      <c r="O572" s="33" t="str">
        <f t="shared" si="51"/>
        <v/>
      </c>
      <c r="P572" s="33" t="str">
        <f t="shared" si="52"/>
        <v/>
      </c>
      <c r="X572" s="1"/>
    </row>
    <row r="573" spans="7:24">
      <c r="G573" s="21"/>
      <c r="H573" s="23"/>
      <c r="I573" s="23" t="str">
        <f>_xlfn.IFNA(VLOOKUP(A573,A574:$H$3524,8,0),"")</f>
        <v/>
      </c>
      <c r="J573" s="40" t="str">
        <f t="shared" si="48"/>
        <v/>
      </c>
      <c r="K573" s="24" t="str">
        <f t="shared" si="49"/>
        <v/>
      </c>
      <c r="L573" s="25" t="str">
        <f t="shared" si="50"/>
        <v/>
      </c>
      <c r="M573" s="37"/>
      <c r="N573" s="37"/>
      <c r="O573" s="33" t="str">
        <f t="shared" si="51"/>
        <v/>
      </c>
      <c r="P573" s="33" t="str">
        <f t="shared" si="52"/>
        <v/>
      </c>
      <c r="X573" s="1"/>
    </row>
    <row r="574" spans="7:24">
      <c r="G574" s="21"/>
      <c r="H574" s="23"/>
      <c r="I574" s="23" t="str">
        <f>_xlfn.IFNA(VLOOKUP(A574,A575:$H$3524,8,0),"")</f>
        <v/>
      </c>
      <c r="J574" s="40" t="str">
        <f t="shared" si="48"/>
        <v/>
      </c>
      <c r="K574" s="24" t="str">
        <f t="shared" si="49"/>
        <v/>
      </c>
      <c r="L574" s="25" t="str">
        <f t="shared" si="50"/>
        <v/>
      </c>
      <c r="M574" s="37"/>
      <c r="N574" s="37"/>
      <c r="O574" s="33" t="str">
        <f t="shared" si="51"/>
        <v/>
      </c>
      <c r="P574" s="33" t="str">
        <f t="shared" si="52"/>
        <v/>
      </c>
      <c r="X574" s="1"/>
    </row>
    <row r="575" spans="7:24">
      <c r="G575" s="21"/>
      <c r="H575" s="23"/>
      <c r="I575" s="23" t="str">
        <f>_xlfn.IFNA(VLOOKUP(A575,A576:$H$3524,8,0),"")</f>
        <v/>
      </c>
      <c r="J575" s="40" t="str">
        <f t="shared" si="48"/>
        <v/>
      </c>
      <c r="K575" s="24" t="str">
        <f t="shared" si="49"/>
        <v/>
      </c>
      <c r="L575" s="25" t="str">
        <f t="shared" si="50"/>
        <v/>
      </c>
      <c r="M575" s="37"/>
      <c r="N575" s="37"/>
      <c r="O575" s="33" t="str">
        <f t="shared" si="51"/>
        <v/>
      </c>
      <c r="P575" s="33" t="str">
        <f t="shared" si="52"/>
        <v/>
      </c>
      <c r="X575" s="1"/>
    </row>
    <row r="576" spans="7:24">
      <c r="G576" s="21"/>
      <c r="H576" s="23"/>
      <c r="I576" s="23" t="str">
        <f>_xlfn.IFNA(VLOOKUP(A576,A577:$H$3524,8,0),"")</f>
        <v/>
      </c>
      <c r="J576" s="40" t="str">
        <f t="shared" si="48"/>
        <v/>
      </c>
      <c r="K576" s="24" t="str">
        <f t="shared" si="49"/>
        <v/>
      </c>
      <c r="L576" s="25" t="str">
        <f t="shared" si="50"/>
        <v/>
      </c>
      <c r="M576" s="37"/>
      <c r="N576" s="37"/>
      <c r="O576" s="33" t="str">
        <f t="shared" si="51"/>
        <v/>
      </c>
      <c r="P576" s="33" t="str">
        <f t="shared" si="52"/>
        <v/>
      </c>
      <c r="X576" s="1"/>
    </row>
    <row r="577" spans="7:24">
      <c r="G577" s="21"/>
      <c r="H577" s="23"/>
      <c r="I577" s="23" t="str">
        <f>_xlfn.IFNA(VLOOKUP(A577,A578:$H$3524,8,0),"")</f>
        <v/>
      </c>
      <c r="J577" s="40" t="str">
        <f t="shared" si="48"/>
        <v/>
      </c>
      <c r="K577" s="24" t="str">
        <f t="shared" si="49"/>
        <v/>
      </c>
      <c r="L577" s="25" t="str">
        <f t="shared" si="50"/>
        <v/>
      </c>
      <c r="M577" s="37"/>
      <c r="N577" s="37"/>
      <c r="O577" s="33" t="str">
        <f t="shared" si="51"/>
        <v/>
      </c>
      <c r="P577" s="33" t="str">
        <f t="shared" si="52"/>
        <v/>
      </c>
      <c r="X577" s="1"/>
    </row>
    <row r="578" spans="7:24">
      <c r="G578" s="21"/>
      <c r="H578" s="23"/>
      <c r="I578" s="23" t="str">
        <f>_xlfn.IFNA(VLOOKUP(A578,A579:$H$3524,8,0),"")</f>
        <v/>
      </c>
      <c r="J578" s="40" t="str">
        <f t="shared" si="48"/>
        <v/>
      </c>
      <c r="K578" s="24" t="str">
        <f t="shared" si="49"/>
        <v/>
      </c>
      <c r="L578" s="25" t="str">
        <f t="shared" si="50"/>
        <v/>
      </c>
      <c r="M578" s="37"/>
      <c r="N578" s="37"/>
      <c r="O578" s="33" t="str">
        <f t="shared" si="51"/>
        <v/>
      </c>
      <c r="P578" s="33" t="str">
        <f t="shared" si="52"/>
        <v/>
      </c>
      <c r="X578" s="1"/>
    </row>
    <row r="579" spans="7:24">
      <c r="G579" s="21"/>
      <c r="H579" s="23"/>
      <c r="I579" s="23" t="str">
        <f>_xlfn.IFNA(VLOOKUP(A579,A580:$H$3524,8,0),"")</f>
        <v/>
      </c>
      <c r="J579" s="40" t="str">
        <f t="shared" si="48"/>
        <v/>
      </c>
      <c r="K579" s="24" t="str">
        <f t="shared" si="49"/>
        <v/>
      </c>
      <c r="L579" s="25" t="str">
        <f t="shared" si="50"/>
        <v/>
      </c>
      <c r="M579" s="37"/>
      <c r="N579" s="37"/>
      <c r="O579" s="33" t="str">
        <f t="shared" si="51"/>
        <v/>
      </c>
      <c r="P579" s="33" t="str">
        <f t="shared" si="52"/>
        <v/>
      </c>
      <c r="X579" s="1"/>
    </row>
    <row r="580" spans="7:24">
      <c r="G580" s="21"/>
      <c r="H580" s="23"/>
      <c r="I580" s="23" t="str">
        <f>_xlfn.IFNA(VLOOKUP(A580,A581:$H$3524,8,0),"")</f>
        <v/>
      </c>
      <c r="J580" s="40" t="str">
        <f t="shared" si="48"/>
        <v/>
      </c>
      <c r="K580" s="24" t="str">
        <f t="shared" si="49"/>
        <v/>
      </c>
      <c r="L580" s="25" t="str">
        <f t="shared" si="50"/>
        <v/>
      </c>
      <c r="M580" s="37"/>
      <c r="N580" s="37"/>
      <c r="O580" s="33" t="str">
        <f t="shared" si="51"/>
        <v/>
      </c>
      <c r="P580" s="33" t="str">
        <f t="shared" si="52"/>
        <v/>
      </c>
      <c r="X580" s="1"/>
    </row>
    <row r="581" spans="7:24">
      <c r="G581" s="21"/>
      <c r="H581" s="23"/>
      <c r="I581" s="23" t="str">
        <f>_xlfn.IFNA(VLOOKUP(A581,A582:$H$3524,8,0),"")</f>
        <v/>
      </c>
      <c r="J581" s="40" t="str">
        <f t="shared" si="48"/>
        <v/>
      </c>
      <c r="K581" s="24" t="str">
        <f t="shared" si="49"/>
        <v/>
      </c>
      <c r="L581" s="25" t="str">
        <f t="shared" si="50"/>
        <v/>
      </c>
      <c r="M581" s="37"/>
      <c r="N581" s="37"/>
      <c r="O581" s="33" t="str">
        <f t="shared" si="51"/>
        <v/>
      </c>
      <c r="P581" s="33" t="str">
        <f t="shared" si="52"/>
        <v/>
      </c>
      <c r="X581" s="1"/>
    </row>
    <row r="582" spans="7:24">
      <c r="G582" s="21"/>
      <c r="H582" s="23"/>
      <c r="I582" s="23" t="str">
        <f>_xlfn.IFNA(VLOOKUP(A582,A583:$H$3524,8,0),"")</f>
        <v/>
      </c>
      <c r="J582" s="40" t="str">
        <f t="shared" ref="J582:J645" si="53">IF(B582="OFF",0,IF(AND(D582&lt;&gt;"",E582&lt;&gt;""),E582-D582+1,""))</f>
        <v/>
      </c>
      <c r="K582" s="24" t="str">
        <f t="shared" si="49"/>
        <v/>
      </c>
      <c r="L582" s="25" t="str">
        <f t="shared" si="50"/>
        <v/>
      </c>
      <c r="M582" s="37"/>
      <c r="N582" s="37"/>
      <c r="O582" s="33" t="str">
        <f t="shared" si="51"/>
        <v/>
      </c>
      <c r="P582" s="33" t="str">
        <f t="shared" si="52"/>
        <v/>
      </c>
      <c r="X582" s="1"/>
    </row>
    <row r="583" spans="7:24">
      <c r="G583" s="21"/>
      <c r="H583" s="23"/>
      <c r="I583" s="23" t="str">
        <f>_xlfn.IFNA(VLOOKUP(A583,A584:$H$3524,8,0),"")</f>
        <v/>
      </c>
      <c r="J583" s="40" t="str">
        <f t="shared" si="53"/>
        <v/>
      </c>
      <c r="K583" s="24" t="str">
        <f t="shared" si="49"/>
        <v/>
      </c>
      <c r="L583" s="25" t="str">
        <f t="shared" si="50"/>
        <v/>
      </c>
      <c r="M583" s="37"/>
      <c r="N583" s="37"/>
      <c r="O583" s="33" t="str">
        <f t="shared" si="51"/>
        <v/>
      </c>
      <c r="P583" s="33" t="str">
        <f t="shared" si="52"/>
        <v/>
      </c>
      <c r="X583" s="1"/>
    </row>
    <row r="584" spans="7:24">
      <c r="G584" s="21"/>
      <c r="H584" s="23"/>
      <c r="I584" s="23" t="str">
        <f>_xlfn.IFNA(VLOOKUP(A584,A585:$H$3524,8,0),"")</f>
        <v/>
      </c>
      <c r="J584" s="40" t="str">
        <f t="shared" si="53"/>
        <v/>
      </c>
      <c r="K584" s="24" t="str">
        <f t="shared" si="49"/>
        <v/>
      </c>
      <c r="L584" s="25" t="str">
        <f t="shared" si="50"/>
        <v/>
      </c>
      <c r="M584" s="37"/>
      <c r="N584" s="37"/>
      <c r="O584" s="33" t="str">
        <f t="shared" si="51"/>
        <v/>
      </c>
      <c r="P584" s="33" t="str">
        <f t="shared" si="52"/>
        <v/>
      </c>
      <c r="X584" s="1"/>
    </row>
    <row r="585" spans="7:24">
      <c r="G585" s="21"/>
      <c r="H585" s="23"/>
      <c r="I585" s="23" t="str">
        <f>_xlfn.IFNA(VLOOKUP(A585,A586:$H$3524,8,0),"")</f>
        <v/>
      </c>
      <c r="J585" s="40" t="str">
        <f t="shared" si="53"/>
        <v/>
      </c>
      <c r="K585" s="24" t="str">
        <f t="shared" si="49"/>
        <v/>
      </c>
      <c r="L585" s="25" t="str">
        <f t="shared" si="50"/>
        <v/>
      </c>
      <c r="M585" s="37"/>
      <c r="N585" s="37"/>
      <c r="O585" s="33" t="str">
        <f t="shared" si="51"/>
        <v/>
      </c>
      <c r="P585" s="33" t="str">
        <f t="shared" si="52"/>
        <v/>
      </c>
      <c r="X585" s="1"/>
    </row>
    <row r="586" spans="7:24">
      <c r="G586" s="21"/>
      <c r="H586" s="23"/>
      <c r="I586" s="23" t="str">
        <f>_xlfn.IFNA(VLOOKUP(A586,A587:$H$3524,8,0),"")</f>
        <v/>
      </c>
      <c r="J586" s="40" t="str">
        <f t="shared" si="53"/>
        <v/>
      </c>
      <c r="K586" s="24" t="str">
        <f t="shared" si="49"/>
        <v/>
      </c>
      <c r="L586" s="25" t="str">
        <f t="shared" si="50"/>
        <v/>
      </c>
      <c r="M586" s="37"/>
      <c r="N586" s="37"/>
      <c r="O586" s="33" t="str">
        <f t="shared" si="51"/>
        <v/>
      </c>
      <c r="P586" s="33" t="str">
        <f t="shared" si="52"/>
        <v/>
      </c>
      <c r="X586" s="1"/>
    </row>
    <row r="587" spans="7:24">
      <c r="G587" s="21"/>
      <c r="H587" s="23"/>
      <c r="I587" s="23" t="str">
        <f>_xlfn.IFNA(VLOOKUP(A587,A588:$H$3524,8,0),"")</f>
        <v/>
      </c>
      <c r="J587" s="40" t="str">
        <f t="shared" si="53"/>
        <v/>
      </c>
      <c r="K587" s="24" t="str">
        <f t="shared" si="49"/>
        <v/>
      </c>
      <c r="L587" s="25" t="str">
        <f t="shared" si="50"/>
        <v/>
      </c>
      <c r="M587" s="37"/>
      <c r="N587" s="37"/>
      <c r="O587" s="33" t="str">
        <f t="shared" si="51"/>
        <v/>
      </c>
      <c r="P587" s="33" t="str">
        <f t="shared" si="52"/>
        <v/>
      </c>
      <c r="X587" s="1"/>
    </row>
    <row r="588" spans="7:24">
      <c r="G588" s="21"/>
      <c r="H588" s="23"/>
      <c r="I588" s="23" t="str">
        <f>_xlfn.IFNA(VLOOKUP(A588,A589:$H$3524,8,0),"")</f>
        <v/>
      </c>
      <c r="J588" s="40" t="str">
        <f t="shared" si="53"/>
        <v/>
      </c>
      <c r="K588" s="24" t="str">
        <f t="shared" si="49"/>
        <v/>
      </c>
      <c r="L588" s="25" t="str">
        <f t="shared" si="50"/>
        <v/>
      </c>
      <c r="M588" s="37"/>
      <c r="N588" s="37"/>
      <c r="O588" s="33" t="str">
        <f t="shared" si="51"/>
        <v/>
      </c>
      <c r="P588" s="33" t="str">
        <f t="shared" si="52"/>
        <v/>
      </c>
      <c r="X588" s="1"/>
    </row>
    <row r="589" spans="7:24">
      <c r="G589" s="21"/>
      <c r="H589" s="23"/>
      <c r="I589" s="23" t="str">
        <f>_xlfn.IFNA(VLOOKUP(A589,A590:$H$3524,8,0),"")</f>
        <v/>
      </c>
      <c r="J589" s="40" t="str">
        <f t="shared" si="53"/>
        <v/>
      </c>
      <c r="K589" s="24" t="str">
        <f t="shared" si="49"/>
        <v/>
      </c>
      <c r="L589" s="25" t="str">
        <f t="shared" si="50"/>
        <v/>
      </c>
      <c r="M589" s="37"/>
      <c r="N589" s="37"/>
      <c r="O589" s="33" t="str">
        <f t="shared" si="51"/>
        <v/>
      </c>
      <c r="P589" s="33" t="str">
        <f t="shared" si="52"/>
        <v/>
      </c>
      <c r="X589" s="1"/>
    </row>
    <row r="590" spans="7:24">
      <c r="G590" s="21"/>
      <c r="H590" s="23"/>
      <c r="I590" s="23" t="str">
        <f>_xlfn.IFNA(VLOOKUP(A590,A591:$H$3524,8,0),"")</f>
        <v/>
      </c>
      <c r="J590" s="40" t="str">
        <f t="shared" si="53"/>
        <v/>
      </c>
      <c r="K590" s="24" t="str">
        <f t="shared" si="49"/>
        <v/>
      </c>
      <c r="L590" s="25" t="str">
        <f t="shared" si="50"/>
        <v/>
      </c>
      <c r="M590" s="37"/>
      <c r="N590" s="37"/>
      <c r="O590" s="33" t="str">
        <f t="shared" si="51"/>
        <v/>
      </c>
      <c r="P590" s="33" t="str">
        <f t="shared" si="52"/>
        <v/>
      </c>
      <c r="X590" s="1"/>
    </row>
    <row r="591" spans="7:24">
      <c r="G591" s="21"/>
      <c r="H591" s="23"/>
      <c r="I591" s="23" t="str">
        <f>_xlfn.IFNA(VLOOKUP(A591,A592:$H$3524,8,0),"")</f>
        <v/>
      </c>
      <c r="J591" s="40" t="str">
        <f t="shared" si="53"/>
        <v/>
      </c>
      <c r="K591" s="24" t="str">
        <f t="shared" si="49"/>
        <v/>
      </c>
      <c r="L591" s="25" t="str">
        <f t="shared" si="50"/>
        <v/>
      </c>
      <c r="M591" s="37"/>
      <c r="N591" s="37"/>
      <c r="O591" s="33" t="str">
        <f t="shared" si="51"/>
        <v/>
      </c>
      <c r="P591" s="33" t="str">
        <f t="shared" si="52"/>
        <v/>
      </c>
      <c r="X591" s="1"/>
    </row>
    <row r="592" spans="7:24">
      <c r="G592" s="21"/>
      <c r="H592" s="23"/>
      <c r="I592" s="23" t="str">
        <f>_xlfn.IFNA(VLOOKUP(A592,A593:$H$3524,8,0),"")</f>
        <v/>
      </c>
      <c r="J592" s="40" t="str">
        <f t="shared" si="53"/>
        <v/>
      </c>
      <c r="K592" s="24" t="str">
        <f t="shared" si="49"/>
        <v/>
      </c>
      <c r="L592" s="25" t="str">
        <f t="shared" si="50"/>
        <v/>
      </c>
      <c r="M592" s="37"/>
      <c r="N592" s="37"/>
      <c r="O592" s="33" t="str">
        <f t="shared" si="51"/>
        <v/>
      </c>
      <c r="P592" s="33" t="str">
        <f t="shared" si="52"/>
        <v/>
      </c>
      <c r="X592" s="1"/>
    </row>
    <row r="593" spans="7:24">
      <c r="G593" s="21"/>
      <c r="H593" s="23"/>
      <c r="I593" s="23" t="str">
        <f>_xlfn.IFNA(VLOOKUP(A593,A594:$H$3524,8,0),"")</f>
        <v/>
      </c>
      <c r="J593" s="40" t="str">
        <f t="shared" si="53"/>
        <v/>
      </c>
      <c r="K593" s="24" t="str">
        <f t="shared" si="49"/>
        <v/>
      </c>
      <c r="L593" s="25" t="str">
        <f t="shared" si="50"/>
        <v/>
      </c>
      <c r="M593" s="37"/>
      <c r="N593" s="37"/>
      <c r="O593" s="33" t="str">
        <f t="shared" si="51"/>
        <v/>
      </c>
      <c r="P593" s="33" t="str">
        <f t="shared" si="52"/>
        <v/>
      </c>
      <c r="X593" s="1"/>
    </row>
    <row r="594" spans="7:24">
      <c r="G594" s="21"/>
      <c r="H594" s="23"/>
      <c r="I594" s="23" t="str">
        <f>_xlfn.IFNA(VLOOKUP(A594,A595:$H$3524,8,0),"")</f>
        <v/>
      </c>
      <c r="J594" s="40" t="str">
        <f t="shared" si="53"/>
        <v/>
      </c>
      <c r="K594" s="24" t="str">
        <f t="shared" si="49"/>
        <v/>
      </c>
      <c r="L594" s="25" t="str">
        <f t="shared" si="50"/>
        <v/>
      </c>
      <c r="M594" s="37"/>
      <c r="N594" s="37"/>
      <c r="O594" s="33" t="str">
        <f t="shared" si="51"/>
        <v/>
      </c>
      <c r="P594" s="33" t="str">
        <f t="shared" si="52"/>
        <v/>
      </c>
      <c r="X594" s="1"/>
    </row>
    <row r="595" spans="7:24">
      <c r="G595" s="21"/>
      <c r="H595" s="23"/>
      <c r="I595" s="23" t="str">
        <f>_xlfn.IFNA(VLOOKUP(A595,A596:$H$3524,8,0),"")</f>
        <v/>
      </c>
      <c r="J595" s="40" t="str">
        <f t="shared" si="53"/>
        <v/>
      </c>
      <c r="K595" s="24" t="str">
        <f t="shared" si="49"/>
        <v/>
      </c>
      <c r="L595" s="25" t="str">
        <f t="shared" si="50"/>
        <v/>
      </c>
      <c r="M595" s="37"/>
      <c r="N595" s="37"/>
      <c r="O595" s="33" t="str">
        <f t="shared" si="51"/>
        <v/>
      </c>
      <c r="P595" s="33" t="str">
        <f t="shared" si="52"/>
        <v/>
      </c>
      <c r="X595" s="1"/>
    </row>
    <row r="596" spans="7:24">
      <c r="G596" s="21"/>
      <c r="H596" s="23"/>
      <c r="I596" s="23" t="str">
        <f>_xlfn.IFNA(VLOOKUP(A596,A597:$H$3524,8,0),"")</f>
        <v/>
      </c>
      <c r="J596" s="40" t="str">
        <f t="shared" si="53"/>
        <v/>
      </c>
      <c r="K596" s="24" t="str">
        <f t="shared" ref="K596:K611" si="54">IF(H596="","",IFERROR((I596-H596)*24,0))</f>
        <v/>
      </c>
      <c r="L596" s="25" t="str">
        <f t="shared" si="50"/>
        <v/>
      </c>
      <c r="M596" s="37"/>
      <c r="N596" s="37"/>
      <c r="O596" s="33" t="str">
        <f t="shared" si="51"/>
        <v/>
      </c>
      <c r="P596" s="33" t="str">
        <f t="shared" si="52"/>
        <v/>
      </c>
      <c r="X596" s="1"/>
    </row>
    <row r="597" spans="7:24">
      <c r="G597" s="21"/>
      <c r="H597" s="23"/>
      <c r="I597" s="23" t="str">
        <f>_xlfn.IFNA(VLOOKUP(A597,A598:$H$3524,8,0),"")</f>
        <v/>
      </c>
      <c r="J597" s="40" t="str">
        <f t="shared" si="53"/>
        <v/>
      </c>
      <c r="K597" s="24" t="str">
        <f t="shared" si="54"/>
        <v/>
      </c>
      <c r="L597" s="25" t="str">
        <f t="shared" si="50"/>
        <v/>
      </c>
      <c r="M597" s="37"/>
      <c r="N597" s="37"/>
      <c r="O597" s="33" t="str">
        <f t="shared" si="51"/>
        <v/>
      </c>
      <c r="P597" s="33" t="str">
        <f t="shared" si="52"/>
        <v/>
      </c>
      <c r="X597" s="1"/>
    </row>
    <row r="598" spans="7:24">
      <c r="G598" s="21"/>
      <c r="H598" s="23"/>
      <c r="I598" s="23" t="str">
        <f>_xlfn.IFNA(VLOOKUP(A598,A599:$H$3524,8,0),"")</f>
        <v/>
      </c>
      <c r="J598" s="40" t="str">
        <f t="shared" si="53"/>
        <v/>
      </c>
      <c r="K598" s="24" t="str">
        <f t="shared" si="54"/>
        <v/>
      </c>
      <c r="L598" s="25" t="str">
        <f t="shared" si="50"/>
        <v/>
      </c>
      <c r="M598" s="37"/>
      <c r="N598" s="37"/>
      <c r="O598" s="33" t="str">
        <f t="shared" si="51"/>
        <v/>
      </c>
      <c r="P598" s="33" t="str">
        <f t="shared" si="52"/>
        <v/>
      </c>
      <c r="X598" s="1"/>
    </row>
    <row r="599" spans="7:24">
      <c r="G599" s="21"/>
      <c r="H599" s="23"/>
      <c r="I599" s="23" t="str">
        <f>_xlfn.IFNA(VLOOKUP(A599,A600:$H$3524,8,0),"")</f>
        <v/>
      </c>
      <c r="J599" s="40" t="str">
        <f t="shared" si="53"/>
        <v/>
      </c>
      <c r="K599" s="24" t="str">
        <f t="shared" si="54"/>
        <v/>
      </c>
      <c r="L599" s="25" t="str">
        <f t="shared" si="50"/>
        <v/>
      </c>
      <c r="M599" s="37"/>
      <c r="N599" s="37"/>
      <c r="O599" s="33" t="str">
        <f t="shared" si="51"/>
        <v/>
      </c>
      <c r="P599" s="33" t="str">
        <f t="shared" si="52"/>
        <v/>
      </c>
      <c r="X599" s="1"/>
    </row>
    <row r="600" spans="7:24">
      <c r="G600" s="21"/>
      <c r="H600" s="23"/>
      <c r="I600" s="23" t="str">
        <f>_xlfn.IFNA(VLOOKUP(A600,A601:$H$3524,8,0),"")</f>
        <v/>
      </c>
      <c r="J600" s="40" t="str">
        <f t="shared" si="53"/>
        <v/>
      </c>
      <c r="K600" s="24" t="str">
        <f t="shared" si="54"/>
        <v/>
      </c>
      <c r="L600" s="25" t="str">
        <f t="shared" si="50"/>
        <v/>
      </c>
      <c r="M600" s="37"/>
      <c r="N600" s="37"/>
      <c r="O600" s="33" t="str">
        <f t="shared" si="51"/>
        <v/>
      </c>
      <c r="P600" s="33" t="str">
        <f t="shared" si="52"/>
        <v/>
      </c>
      <c r="X600" s="1"/>
    </row>
    <row r="601" spans="7:24">
      <c r="G601" s="21"/>
      <c r="H601" s="23"/>
      <c r="I601" s="23" t="str">
        <f>_xlfn.IFNA(VLOOKUP(A601,A602:$H$3524,8,0),"")</f>
        <v/>
      </c>
      <c r="J601" s="40" t="str">
        <f t="shared" si="53"/>
        <v/>
      </c>
      <c r="K601" s="24" t="str">
        <f t="shared" si="54"/>
        <v/>
      </c>
      <c r="L601" s="25" t="str">
        <f t="shared" si="50"/>
        <v/>
      </c>
      <c r="M601" s="37"/>
      <c r="N601" s="37"/>
      <c r="O601" s="33" t="str">
        <f t="shared" si="51"/>
        <v/>
      </c>
      <c r="P601" s="33" t="str">
        <f t="shared" si="52"/>
        <v/>
      </c>
      <c r="X601" s="1"/>
    </row>
    <row r="602" spans="7:24">
      <c r="G602" s="21"/>
      <c r="H602" s="23"/>
      <c r="I602" s="23" t="str">
        <f>_xlfn.IFNA(VLOOKUP(A602,A603:$H$3524,8,0),"")</f>
        <v/>
      </c>
      <c r="J602" s="40" t="str">
        <f t="shared" si="53"/>
        <v/>
      </c>
      <c r="K602" s="24" t="str">
        <f t="shared" si="54"/>
        <v/>
      </c>
      <c r="L602" s="25" t="str">
        <f t="shared" si="50"/>
        <v/>
      </c>
      <c r="M602" s="37"/>
      <c r="N602" s="37"/>
      <c r="O602" s="33" t="str">
        <f t="shared" si="51"/>
        <v/>
      </c>
      <c r="P602" s="33" t="str">
        <f t="shared" si="52"/>
        <v/>
      </c>
      <c r="X602" s="1"/>
    </row>
    <row r="603" spans="7:24">
      <c r="G603" s="21"/>
      <c r="H603" s="23"/>
      <c r="I603" s="23" t="str">
        <f>_xlfn.IFNA(VLOOKUP(A603,A604:$H$3524,8,0),"")</f>
        <v/>
      </c>
      <c r="J603" s="40" t="str">
        <f t="shared" si="53"/>
        <v/>
      </c>
      <c r="K603" s="24" t="str">
        <f t="shared" si="54"/>
        <v/>
      </c>
      <c r="L603" s="25" t="str">
        <f t="shared" si="50"/>
        <v/>
      </c>
      <c r="M603" s="37"/>
      <c r="N603" s="37"/>
      <c r="O603" s="33" t="str">
        <f t="shared" si="51"/>
        <v/>
      </c>
      <c r="P603" s="33" t="str">
        <f t="shared" si="52"/>
        <v/>
      </c>
      <c r="X603" s="1"/>
    </row>
    <row r="604" spans="7:24">
      <c r="G604" s="21"/>
      <c r="H604" s="23"/>
      <c r="I604" s="23" t="str">
        <f>_xlfn.IFNA(VLOOKUP(A604,A605:$H$3524,8,0),"")</f>
        <v/>
      </c>
      <c r="J604" s="40" t="str">
        <f t="shared" si="53"/>
        <v/>
      </c>
      <c r="K604" s="24" t="str">
        <f t="shared" si="54"/>
        <v/>
      </c>
      <c r="L604" s="25" t="str">
        <f t="shared" si="50"/>
        <v/>
      </c>
      <c r="M604" s="37"/>
      <c r="N604" s="37"/>
      <c r="O604" s="33" t="str">
        <f t="shared" si="51"/>
        <v/>
      </c>
      <c r="P604" s="33" t="str">
        <f t="shared" si="52"/>
        <v/>
      </c>
      <c r="X604" s="1"/>
    </row>
    <row r="605" spans="7:24">
      <c r="G605" s="21"/>
      <c r="H605" s="23"/>
      <c r="I605" s="23" t="str">
        <f>_xlfn.IFNA(VLOOKUP(A605,A606:$H$3524,8,0),"")</f>
        <v/>
      </c>
      <c r="J605" s="40" t="str">
        <f t="shared" si="53"/>
        <v/>
      </c>
      <c r="K605" s="24" t="str">
        <f t="shared" si="54"/>
        <v/>
      </c>
      <c r="L605" s="25" t="str">
        <f t="shared" si="50"/>
        <v/>
      </c>
      <c r="M605" s="37"/>
      <c r="N605" s="37"/>
      <c r="O605" s="33" t="str">
        <f t="shared" si="51"/>
        <v/>
      </c>
      <c r="P605" s="33" t="str">
        <f t="shared" si="52"/>
        <v/>
      </c>
      <c r="X605" s="1"/>
    </row>
    <row r="606" spans="7:24">
      <c r="G606" s="21"/>
      <c r="H606" s="23"/>
      <c r="I606" s="23" t="str">
        <f>_xlfn.IFNA(VLOOKUP(A606,A607:$H$3524,8,0),"")</f>
        <v/>
      </c>
      <c r="J606" s="40" t="str">
        <f t="shared" si="53"/>
        <v/>
      </c>
      <c r="K606" s="24" t="str">
        <f t="shared" si="54"/>
        <v/>
      </c>
      <c r="L606" s="25" t="str">
        <f t="shared" si="50"/>
        <v/>
      </c>
      <c r="M606" s="37"/>
      <c r="N606" s="37"/>
      <c r="O606" s="33" t="str">
        <f t="shared" si="51"/>
        <v/>
      </c>
      <c r="P606" s="33" t="str">
        <f t="shared" si="52"/>
        <v/>
      </c>
      <c r="X606" s="1"/>
    </row>
    <row r="607" spans="7:24">
      <c r="G607" s="21"/>
      <c r="H607" s="23"/>
      <c r="I607" s="23" t="str">
        <f>_xlfn.IFNA(VLOOKUP(A607,A608:$H$3524,8,0),"")</f>
        <v/>
      </c>
      <c r="J607" s="40" t="str">
        <f t="shared" si="53"/>
        <v/>
      </c>
      <c r="K607" s="24" t="str">
        <f t="shared" si="54"/>
        <v/>
      </c>
      <c r="L607" s="25" t="str">
        <f t="shared" si="50"/>
        <v/>
      </c>
      <c r="M607" s="37"/>
      <c r="N607" s="37"/>
      <c r="O607" s="33" t="str">
        <f t="shared" si="51"/>
        <v/>
      </c>
      <c r="P607" s="33" t="str">
        <f t="shared" si="52"/>
        <v/>
      </c>
      <c r="X607" s="1"/>
    </row>
    <row r="608" spans="7:24">
      <c r="G608" s="21"/>
      <c r="H608" s="23"/>
      <c r="I608" s="23" t="str">
        <f>_xlfn.IFNA(VLOOKUP(A608,A609:$H$3524,8,0),"")</f>
        <v/>
      </c>
      <c r="J608" s="40" t="str">
        <f t="shared" si="53"/>
        <v/>
      </c>
      <c r="K608" s="24" t="str">
        <f t="shared" si="54"/>
        <v/>
      </c>
      <c r="L608" s="25" t="str">
        <f t="shared" si="50"/>
        <v/>
      </c>
      <c r="M608" s="37"/>
      <c r="N608" s="37"/>
      <c r="O608" s="33" t="str">
        <f t="shared" si="51"/>
        <v/>
      </c>
      <c r="P608" s="33" t="str">
        <f t="shared" si="52"/>
        <v/>
      </c>
      <c r="X608" s="1"/>
    </row>
    <row r="609" spans="7:24">
      <c r="G609" s="21"/>
      <c r="H609" s="23"/>
      <c r="I609" s="23" t="str">
        <f>_xlfn.IFNA(VLOOKUP(A609,A610:$H$3524,8,0),"")</f>
        <v/>
      </c>
      <c r="J609" s="40" t="str">
        <f t="shared" si="53"/>
        <v/>
      </c>
      <c r="K609" s="24" t="str">
        <f t="shared" si="54"/>
        <v/>
      </c>
      <c r="L609" s="25" t="str">
        <f t="shared" si="50"/>
        <v/>
      </c>
      <c r="M609" s="37"/>
      <c r="N609" s="37"/>
      <c r="O609" s="33" t="str">
        <f t="shared" si="51"/>
        <v/>
      </c>
      <c r="P609" s="33" t="str">
        <f t="shared" si="52"/>
        <v/>
      </c>
      <c r="X609" s="1"/>
    </row>
    <row r="610" spans="7:24">
      <c r="G610" s="21"/>
      <c r="H610" s="23"/>
      <c r="I610" s="23" t="str">
        <f>_xlfn.IFNA(VLOOKUP(A610,A611:$H$3524,8,0),"")</f>
        <v/>
      </c>
      <c r="J610" s="40" t="str">
        <f t="shared" si="53"/>
        <v/>
      </c>
      <c r="K610" s="24" t="str">
        <f t="shared" si="54"/>
        <v/>
      </c>
      <c r="L610" s="25" t="str">
        <f t="shared" si="50"/>
        <v/>
      </c>
      <c r="M610" s="37"/>
      <c r="N610" s="37"/>
      <c r="O610" s="33" t="str">
        <f t="shared" si="51"/>
        <v/>
      </c>
      <c r="P610" s="33" t="str">
        <f t="shared" si="52"/>
        <v/>
      </c>
      <c r="X610" s="1"/>
    </row>
    <row r="611" spans="7:24">
      <c r="G611" s="21"/>
      <c r="H611" s="23"/>
      <c r="I611" s="23" t="str">
        <f>_xlfn.IFNA(VLOOKUP(A611,A612:$H$3524,8,0),"")</f>
        <v/>
      </c>
      <c r="J611" s="40" t="str">
        <f t="shared" si="53"/>
        <v/>
      </c>
      <c r="K611" s="24" t="str">
        <f t="shared" si="54"/>
        <v/>
      </c>
      <c r="L611" s="25" t="str">
        <f t="shared" si="50"/>
        <v/>
      </c>
      <c r="M611" s="37"/>
      <c r="N611" s="37"/>
      <c r="O611" s="33" t="str">
        <f t="shared" si="51"/>
        <v/>
      </c>
      <c r="P611" s="33" t="str">
        <f t="shared" si="52"/>
        <v/>
      </c>
      <c r="X611" s="1"/>
    </row>
    <row r="612" spans="7:24">
      <c r="G612" s="21"/>
      <c r="H612" s="23"/>
      <c r="I612" s="23" t="str">
        <f>_xlfn.IFNA(VLOOKUP(A612,A613:$H$3524,8,0),"")</f>
        <v/>
      </c>
      <c r="J612" s="40" t="str">
        <f t="shared" si="53"/>
        <v/>
      </c>
      <c r="K612" s="24" t="str">
        <f t="shared" ref="K612:K661" si="55">IF(H612="","",IFERROR((I612-H612)*24,0))</f>
        <v/>
      </c>
      <c r="L612" s="25" t="str">
        <f t="shared" si="50"/>
        <v/>
      </c>
      <c r="M612" s="37"/>
      <c r="N612" s="37"/>
      <c r="O612" s="33" t="str">
        <f t="shared" si="51"/>
        <v/>
      </c>
      <c r="P612" s="33" t="str">
        <f t="shared" si="52"/>
        <v/>
      </c>
      <c r="X612" s="1"/>
    </row>
    <row r="613" spans="7:24">
      <c r="G613" s="21"/>
      <c r="H613" s="23"/>
      <c r="I613" s="23" t="str">
        <f>_xlfn.IFNA(VLOOKUP(A613,A614:$H$3524,8,0),"")</f>
        <v/>
      </c>
      <c r="J613" s="40" t="str">
        <f t="shared" si="53"/>
        <v/>
      </c>
      <c r="K613" s="24" t="str">
        <f t="shared" si="55"/>
        <v/>
      </c>
      <c r="L613" s="25" t="str">
        <f t="shared" si="50"/>
        <v/>
      </c>
      <c r="M613" s="37"/>
      <c r="N613" s="37"/>
      <c r="O613" s="33" t="str">
        <f t="shared" si="51"/>
        <v/>
      </c>
      <c r="P613" s="33" t="str">
        <f t="shared" si="52"/>
        <v/>
      </c>
      <c r="X613" s="1"/>
    </row>
    <row r="614" spans="7:24">
      <c r="G614" s="21"/>
      <c r="H614" s="23"/>
      <c r="I614" s="23" t="str">
        <f>_xlfn.IFNA(VLOOKUP(A614,A615:$H$3524,8,0),"")</f>
        <v/>
      </c>
      <c r="J614" s="40" t="str">
        <f t="shared" si="53"/>
        <v/>
      </c>
      <c r="K614" s="24" t="str">
        <f t="shared" si="55"/>
        <v/>
      </c>
      <c r="L614" s="25" t="str">
        <f t="shared" si="50"/>
        <v/>
      </c>
      <c r="M614" s="37"/>
      <c r="N614" s="37"/>
      <c r="O614" s="33" t="str">
        <f t="shared" si="51"/>
        <v/>
      </c>
      <c r="P614" s="33" t="str">
        <f t="shared" si="52"/>
        <v/>
      </c>
      <c r="X614" s="1"/>
    </row>
    <row r="615" spans="7:24">
      <c r="G615" s="21"/>
      <c r="H615" s="23"/>
      <c r="I615" s="23" t="str">
        <f>_xlfn.IFNA(VLOOKUP(A615,A616:$H$3524,8,0),"")</f>
        <v/>
      </c>
      <c r="J615" s="40" t="str">
        <f t="shared" si="53"/>
        <v/>
      </c>
      <c r="K615" s="24" t="str">
        <f t="shared" si="55"/>
        <v/>
      </c>
      <c r="L615" s="25" t="str">
        <f t="shared" si="50"/>
        <v/>
      </c>
      <c r="M615" s="37"/>
      <c r="N615" s="37"/>
      <c r="O615" s="33" t="str">
        <f t="shared" si="51"/>
        <v/>
      </c>
      <c r="P615" s="33" t="str">
        <f t="shared" si="52"/>
        <v/>
      </c>
      <c r="X615" s="1"/>
    </row>
    <row r="616" spans="7:24">
      <c r="G616" s="21"/>
      <c r="H616" s="23"/>
      <c r="I616" s="23" t="str">
        <f>_xlfn.IFNA(VLOOKUP(A616,A617:$H$3524,8,0),"")</f>
        <v/>
      </c>
      <c r="J616" s="40" t="str">
        <f t="shared" si="53"/>
        <v/>
      </c>
      <c r="K616" s="24" t="str">
        <f t="shared" si="55"/>
        <v/>
      </c>
      <c r="L616" s="25" t="str">
        <f t="shared" si="50"/>
        <v/>
      </c>
      <c r="M616" s="37"/>
      <c r="N616" s="37"/>
      <c r="O616" s="33" t="str">
        <f t="shared" si="51"/>
        <v/>
      </c>
      <c r="P616" s="33" t="str">
        <f t="shared" si="52"/>
        <v/>
      </c>
      <c r="X616" s="1"/>
    </row>
    <row r="617" spans="7:24">
      <c r="G617" s="21"/>
      <c r="H617" s="23"/>
      <c r="I617" s="23" t="str">
        <f>_xlfn.IFNA(VLOOKUP(A617,A618:$H$3524,8,0),"")</f>
        <v/>
      </c>
      <c r="J617" s="40" t="str">
        <f t="shared" si="53"/>
        <v/>
      </c>
      <c r="K617" s="24" t="str">
        <f t="shared" si="55"/>
        <v/>
      </c>
      <c r="L617" s="25" t="str">
        <f t="shared" si="50"/>
        <v/>
      </c>
      <c r="M617" s="37"/>
      <c r="N617" s="37"/>
      <c r="O617" s="33" t="str">
        <f t="shared" si="51"/>
        <v/>
      </c>
      <c r="P617" s="33" t="str">
        <f t="shared" si="52"/>
        <v/>
      </c>
      <c r="X617" s="1"/>
    </row>
    <row r="618" spans="7:24">
      <c r="G618" s="21"/>
      <c r="H618" s="23"/>
      <c r="I618" s="23" t="str">
        <f>_xlfn.IFNA(VLOOKUP(A618,A619:$H$3524,8,0),"")</f>
        <v/>
      </c>
      <c r="J618" s="40" t="str">
        <f t="shared" si="53"/>
        <v/>
      </c>
      <c r="K618" s="24" t="str">
        <f t="shared" si="55"/>
        <v/>
      </c>
      <c r="L618" s="25" t="str">
        <f t="shared" si="50"/>
        <v/>
      </c>
      <c r="M618" s="37"/>
      <c r="N618" s="37"/>
      <c r="O618" s="33" t="str">
        <f t="shared" si="51"/>
        <v/>
      </c>
      <c r="P618" s="33" t="str">
        <f t="shared" si="52"/>
        <v/>
      </c>
      <c r="X618" s="1"/>
    </row>
    <row r="619" spans="7:24">
      <c r="G619" s="21"/>
      <c r="H619" s="23"/>
      <c r="I619" s="23" t="str">
        <f>_xlfn.IFNA(VLOOKUP(A619,A620:$H$3524,8,0),"")</f>
        <v/>
      </c>
      <c r="J619" s="40" t="str">
        <f t="shared" si="53"/>
        <v/>
      </c>
      <c r="K619" s="24" t="str">
        <f t="shared" si="55"/>
        <v/>
      </c>
      <c r="L619" s="25" t="str">
        <f t="shared" si="50"/>
        <v/>
      </c>
      <c r="M619" s="37"/>
      <c r="N619" s="37"/>
      <c r="O619" s="33" t="str">
        <f t="shared" si="51"/>
        <v/>
      </c>
      <c r="P619" s="33" t="str">
        <f t="shared" si="52"/>
        <v/>
      </c>
      <c r="X619" s="1"/>
    </row>
    <row r="620" spans="7:24">
      <c r="G620" s="21"/>
      <c r="H620" s="23"/>
      <c r="I620" s="23" t="str">
        <f>_xlfn.IFNA(VLOOKUP(A620,A621:$H$3524,8,0),"")</f>
        <v/>
      </c>
      <c r="J620" s="40" t="str">
        <f t="shared" si="53"/>
        <v/>
      </c>
      <c r="K620" s="24" t="str">
        <f t="shared" si="55"/>
        <v/>
      </c>
      <c r="L620" s="25" t="str">
        <f t="shared" si="50"/>
        <v/>
      </c>
      <c r="M620" s="37"/>
      <c r="N620" s="37"/>
      <c r="O620" s="33" t="str">
        <f t="shared" si="51"/>
        <v/>
      </c>
      <c r="P620" s="33" t="str">
        <f t="shared" si="52"/>
        <v/>
      </c>
      <c r="X620" s="1"/>
    </row>
    <row r="621" spans="7:24">
      <c r="G621" s="21"/>
      <c r="H621" s="23"/>
      <c r="I621" s="23" t="str">
        <f>_xlfn.IFNA(VLOOKUP(A621,A622:$H$3524,8,0),"")</f>
        <v/>
      </c>
      <c r="J621" s="40" t="str">
        <f t="shared" si="53"/>
        <v/>
      </c>
      <c r="K621" s="24" t="str">
        <f t="shared" si="55"/>
        <v/>
      </c>
      <c r="L621" s="25" t="str">
        <f t="shared" si="50"/>
        <v/>
      </c>
      <c r="M621" s="37"/>
      <c r="N621" s="37"/>
      <c r="O621" s="33" t="str">
        <f t="shared" si="51"/>
        <v/>
      </c>
      <c r="P621" s="33" t="str">
        <f t="shared" si="52"/>
        <v/>
      </c>
      <c r="X621" s="1"/>
    </row>
    <row r="622" spans="7:24">
      <c r="G622" s="21"/>
      <c r="H622" s="23"/>
      <c r="I622" s="23" t="str">
        <f>_xlfn.IFNA(VLOOKUP(A622,A623:$H$3524,8,0),"")</f>
        <v/>
      </c>
      <c r="J622" s="40" t="str">
        <f t="shared" si="53"/>
        <v/>
      </c>
      <c r="K622" s="24" t="str">
        <f t="shared" si="55"/>
        <v/>
      </c>
      <c r="L622" s="25" t="str">
        <f t="shared" si="50"/>
        <v/>
      </c>
      <c r="M622" s="37"/>
      <c r="N622" s="37"/>
      <c r="O622" s="33" t="str">
        <f t="shared" si="51"/>
        <v/>
      </c>
      <c r="P622" s="33" t="str">
        <f t="shared" si="52"/>
        <v/>
      </c>
      <c r="X622" s="1"/>
    </row>
    <row r="623" spans="7:24">
      <c r="G623" s="21"/>
      <c r="H623" s="23"/>
      <c r="I623" s="23" t="str">
        <f>_xlfn.IFNA(VLOOKUP(A623,A624:$H$3524,8,0),"")</f>
        <v/>
      </c>
      <c r="J623" s="40" t="str">
        <f t="shared" si="53"/>
        <v/>
      </c>
      <c r="K623" s="24" t="str">
        <f t="shared" si="55"/>
        <v/>
      </c>
      <c r="L623" s="25" t="str">
        <f t="shared" si="50"/>
        <v/>
      </c>
      <c r="M623" s="37"/>
      <c r="N623" s="37"/>
      <c r="O623" s="33" t="str">
        <f t="shared" si="51"/>
        <v/>
      </c>
      <c r="P623" s="33" t="str">
        <f t="shared" si="52"/>
        <v/>
      </c>
      <c r="X623" s="1"/>
    </row>
    <row r="624" spans="7:24">
      <c r="G624" s="21"/>
      <c r="H624" s="23"/>
      <c r="I624" s="23" t="str">
        <f>_xlfn.IFNA(VLOOKUP(A624,A625:$H$3524,8,0),"")</f>
        <v/>
      </c>
      <c r="J624" s="40" t="str">
        <f t="shared" si="53"/>
        <v/>
      </c>
      <c r="K624" s="24" t="str">
        <f t="shared" si="55"/>
        <v/>
      </c>
      <c r="L624" s="25" t="str">
        <f t="shared" si="50"/>
        <v/>
      </c>
      <c r="M624" s="37"/>
      <c r="N624" s="37"/>
      <c r="O624" s="33" t="str">
        <f t="shared" si="51"/>
        <v/>
      </c>
      <c r="P624" s="33" t="str">
        <f t="shared" si="52"/>
        <v/>
      </c>
      <c r="X624" s="1"/>
    </row>
    <row r="625" spans="7:24">
      <c r="G625" s="21"/>
      <c r="H625" s="23"/>
      <c r="I625" s="23" t="str">
        <f>_xlfn.IFNA(VLOOKUP(A625,A626:$H$3524,8,0),"")</f>
        <v/>
      </c>
      <c r="J625" s="40" t="str">
        <f t="shared" si="53"/>
        <v/>
      </c>
      <c r="K625" s="24" t="str">
        <f t="shared" si="55"/>
        <v/>
      </c>
      <c r="L625" s="25" t="str">
        <f t="shared" si="50"/>
        <v/>
      </c>
      <c r="M625" s="37"/>
      <c r="N625" s="37"/>
      <c r="O625" s="33" t="str">
        <f t="shared" si="51"/>
        <v/>
      </c>
      <c r="P625" s="33" t="str">
        <f t="shared" si="52"/>
        <v/>
      </c>
      <c r="X625" s="1"/>
    </row>
    <row r="626" spans="7:24">
      <c r="G626" s="21"/>
      <c r="H626" s="23"/>
      <c r="I626" s="23" t="str">
        <f>_xlfn.IFNA(VLOOKUP(A626,A627:$H$3524,8,0),"")</f>
        <v/>
      </c>
      <c r="J626" s="40" t="str">
        <f t="shared" si="53"/>
        <v/>
      </c>
      <c r="K626" s="24" t="str">
        <f t="shared" si="55"/>
        <v/>
      </c>
      <c r="L626" s="25" t="str">
        <f t="shared" si="50"/>
        <v/>
      </c>
      <c r="M626" s="37"/>
      <c r="N626" s="37"/>
      <c r="O626" s="33" t="str">
        <f t="shared" si="51"/>
        <v/>
      </c>
      <c r="P626" s="33" t="str">
        <f t="shared" si="52"/>
        <v/>
      </c>
      <c r="X626" s="1"/>
    </row>
    <row r="627" spans="7:24">
      <c r="G627" s="21"/>
      <c r="H627" s="23"/>
      <c r="I627" s="23" t="str">
        <f>_xlfn.IFNA(VLOOKUP(A627,A628:$H$3524,8,0),"")</f>
        <v/>
      </c>
      <c r="J627" s="40" t="str">
        <f t="shared" si="53"/>
        <v/>
      </c>
      <c r="K627" s="24" t="str">
        <f t="shared" si="55"/>
        <v/>
      </c>
      <c r="L627" s="25" t="str">
        <f t="shared" si="50"/>
        <v/>
      </c>
      <c r="M627" s="37"/>
      <c r="N627" s="37"/>
      <c r="O627" s="33" t="str">
        <f t="shared" si="51"/>
        <v/>
      </c>
      <c r="P627" s="33" t="str">
        <f t="shared" si="52"/>
        <v/>
      </c>
      <c r="X627" s="1"/>
    </row>
    <row r="628" spans="7:24">
      <c r="G628" s="21"/>
      <c r="H628" s="23"/>
      <c r="I628" s="23" t="str">
        <f>_xlfn.IFNA(VLOOKUP(A628,A629:$H$3524,8,0),"")</f>
        <v/>
      </c>
      <c r="J628" s="40" t="str">
        <f t="shared" si="53"/>
        <v/>
      </c>
      <c r="K628" s="24" t="str">
        <f t="shared" si="55"/>
        <v/>
      </c>
      <c r="L628" s="25" t="str">
        <f t="shared" si="50"/>
        <v/>
      </c>
      <c r="M628" s="37"/>
      <c r="N628" s="37"/>
      <c r="O628" s="33" t="str">
        <f t="shared" si="51"/>
        <v/>
      </c>
      <c r="P628" s="33" t="str">
        <f t="shared" si="52"/>
        <v/>
      </c>
      <c r="X628" s="1"/>
    </row>
    <row r="629" spans="7:24">
      <c r="G629" s="21"/>
      <c r="H629" s="23"/>
      <c r="I629" s="23" t="str">
        <f>_xlfn.IFNA(VLOOKUP(A629,A630:$H$3524,8,0),"")</f>
        <v/>
      </c>
      <c r="J629" s="40" t="str">
        <f t="shared" si="53"/>
        <v/>
      </c>
      <c r="K629" s="24" t="str">
        <f t="shared" si="55"/>
        <v/>
      </c>
      <c r="L629" s="25" t="str">
        <f t="shared" si="50"/>
        <v/>
      </c>
      <c r="M629" s="37"/>
      <c r="N629" s="37"/>
      <c r="O629" s="33" t="str">
        <f t="shared" si="51"/>
        <v/>
      </c>
      <c r="P629" s="33" t="str">
        <f t="shared" si="52"/>
        <v/>
      </c>
      <c r="X629" s="1"/>
    </row>
    <row r="630" spans="7:24">
      <c r="G630" s="21"/>
      <c r="H630" s="23"/>
      <c r="I630" s="23" t="str">
        <f>_xlfn.IFNA(VLOOKUP(A630,A631:$H$3524,8,0),"")</f>
        <v/>
      </c>
      <c r="J630" s="40" t="str">
        <f t="shared" si="53"/>
        <v/>
      </c>
      <c r="K630" s="24" t="str">
        <f t="shared" si="55"/>
        <v/>
      </c>
      <c r="L630" s="25" t="str">
        <f t="shared" si="50"/>
        <v/>
      </c>
      <c r="M630" s="37"/>
      <c r="N630" s="37"/>
      <c r="O630" s="33" t="str">
        <f t="shared" si="51"/>
        <v/>
      </c>
      <c r="P630" s="33" t="str">
        <f t="shared" si="52"/>
        <v/>
      </c>
      <c r="X630" s="1"/>
    </row>
    <row r="631" spans="7:24">
      <c r="G631" s="21"/>
      <c r="H631" s="23"/>
      <c r="I631" s="23" t="str">
        <f>_xlfn.IFNA(VLOOKUP(A631,A632:$H$3524,8,0),"")</f>
        <v/>
      </c>
      <c r="J631" s="40" t="str">
        <f t="shared" si="53"/>
        <v/>
      </c>
      <c r="K631" s="24" t="str">
        <f t="shared" si="55"/>
        <v/>
      </c>
      <c r="L631" s="25" t="str">
        <f t="shared" ref="L631:L694" si="56">IF(K631="","",IF(B631="Break","Break",IF(K631&lt;&gt;0,"Work Finished",IF(B631="OFF","Work Finished",IF(I631="","Working","Work Finished")))))</f>
        <v/>
      </c>
      <c r="M631" s="37"/>
      <c r="N631" s="37"/>
      <c r="O631" s="33" t="str">
        <f t="shared" ref="O631:O694" si="57">IF(AND(J631="",M631="",N631=""),"",J631-M631-N631)</f>
        <v/>
      </c>
      <c r="P631" s="33" t="str">
        <f t="shared" ref="P631:P694" si="58">IF(HOUR(H631)=0,"",HOUR(H631))</f>
        <v/>
      </c>
      <c r="X631" s="1"/>
    </row>
    <row r="632" spans="7:24">
      <c r="G632" s="21"/>
      <c r="H632" s="23"/>
      <c r="I632" s="23" t="str">
        <f>_xlfn.IFNA(VLOOKUP(A632,A633:$H$3524,8,0),"")</f>
        <v/>
      </c>
      <c r="J632" s="40" t="str">
        <f t="shared" si="53"/>
        <v/>
      </c>
      <c r="K632" s="24" t="str">
        <f t="shared" si="55"/>
        <v/>
      </c>
      <c r="L632" s="25" t="str">
        <f t="shared" si="56"/>
        <v/>
      </c>
      <c r="M632" s="37"/>
      <c r="N632" s="37"/>
      <c r="O632" s="33" t="str">
        <f t="shared" si="57"/>
        <v/>
      </c>
      <c r="P632" s="33" t="str">
        <f t="shared" si="58"/>
        <v/>
      </c>
      <c r="X632" s="1"/>
    </row>
    <row r="633" spans="7:24">
      <c r="G633" s="21"/>
      <c r="H633" s="23"/>
      <c r="I633" s="23" t="str">
        <f>_xlfn.IFNA(VLOOKUP(A633,A634:$H$3524,8,0),"")</f>
        <v/>
      </c>
      <c r="J633" s="40" t="str">
        <f t="shared" si="53"/>
        <v/>
      </c>
      <c r="K633" s="24" t="str">
        <f t="shared" si="55"/>
        <v/>
      </c>
      <c r="L633" s="25" t="str">
        <f t="shared" si="56"/>
        <v/>
      </c>
      <c r="M633" s="37"/>
      <c r="N633" s="37"/>
      <c r="O633" s="33" t="str">
        <f t="shared" si="57"/>
        <v/>
      </c>
      <c r="P633" s="33" t="str">
        <f t="shared" si="58"/>
        <v/>
      </c>
      <c r="X633" s="1"/>
    </row>
    <row r="634" spans="7:24">
      <c r="G634" s="21"/>
      <c r="H634" s="23"/>
      <c r="I634" s="23" t="str">
        <f>_xlfn.IFNA(VLOOKUP(A634,A635:$H$3524,8,0),"")</f>
        <v/>
      </c>
      <c r="J634" s="40" t="str">
        <f t="shared" si="53"/>
        <v/>
      </c>
      <c r="K634" s="24" t="str">
        <f t="shared" si="55"/>
        <v/>
      </c>
      <c r="L634" s="25" t="str">
        <f t="shared" si="56"/>
        <v/>
      </c>
      <c r="M634" s="37"/>
      <c r="N634" s="37"/>
      <c r="O634" s="33" t="str">
        <f t="shared" si="57"/>
        <v/>
      </c>
      <c r="P634" s="33" t="str">
        <f t="shared" si="58"/>
        <v/>
      </c>
      <c r="X634" s="1"/>
    </row>
    <row r="635" spans="7:24">
      <c r="G635" s="21"/>
      <c r="H635" s="23"/>
      <c r="I635" s="23" t="str">
        <f>_xlfn.IFNA(VLOOKUP(A635,A636:$H$3524,8,0),"")</f>
        <v/>
      </c>
      <c r="J635" s="40" t="str">
        <f t="shared" si="53"/>
        <v/>
      </c>
      <c r="K635" s="24" t="str">
        <f t="shared" si="55"/>
        <v/>
      </c>
      <c r="L635" s="25" t="str">
        <f t="shared" si="56"/>
        <v/>
      </c>
      <c r="M635" s="37"/>
      <c r="N635" s="37"/>
      <c r="O635" s="33" t="str">
        <f t="shared" si="57"/>
        <v/>
      </c>
      <c r="P635" s="33" t="str">
        <f t="shared" si="58"/>
        <v/>
      </c>
      <c r="X635" s="1"/>
    </row>
    <row r="636" spans="7:24">
      <c r="G636" s="21"/>
      <c r="H636" s="23"/>
      <c r="I636" s="23" t="str">
        <f>_xlfn.IFNA(VLOOKUP(A636,A637:$H$3524,8,0),"")</f>
        <v/>
      </c>
      <c r="J636" s="40" t="str">
        <f t="shared" si="53"/>
        <v/>
      </c>
      <c r="K636" s="24" t="str">
        <f t="shared" si="55"/>
        <v/>
      </c>
      <c r="L636" s="25" t="str">
        <f t="shared" si="56"/>
        <v/>
      </c>
      <c r="M636" s="37"/>
      <c r="N636" s="37"/>
      <c r="O636" s="33" t="str">
        <f t="shared" si="57"/>
        <v/>
      </c>
      <c r="P636" s="33" t="str">
        <f t="shared" si="58"/>
        <v/>
      </c>
      <c r="X636" s="1"/>
    </row>
    <row r="637" spans="7:24">
      <c r="G637" s="21"/>
      <c r="H637" s="23"/>
      <c r="I637" s="23" t="str">
        <f>_xlfn.IFNA(VLOOKUP(A637,A638:$H$3524,8,0),"")</f>
        <v/>
      </c>
      <c r="J637" s="40" t="str">
        <f t="shared" si="53"/>
        <v/>
      </c>
      <c r="K637" s="24" t="str">
        <f t="shared" si="55"/>
        <v/>
      </c>
      <c r="L637" s="25" t="str">
        <f t="shared" si="56"/>
        <v/>
      </c>
      <c r="M637" s="37"/>
      <c r="N637" s="37"/>
      <c r="O637" s="33" t="str">
        <f t="shared" si="57"/>
        <v/>
      </c>
      <c r="P637" s="33" t="str">
        <f t="shared" si="58"/>
        <v/>
      </c>
      <c r="X637" s="1"/>
    </row>
    <row r="638" spans="7:24">
      <c r="G638" s="21"/>
      <c r="H638" s="23"/>
      <c r="I638" s="23" t="str">
        <f>_xlfn.IFNA(VLOOKUP(A638,A639:$H$3524,8,0),"")</f>
        <v/>
      </c>
      <c r="J638" s="40" t="str">
        <f t="shared" si="53"/>
        <v/>
      </c>
      <c r="K638" s="24" t="str">
        <f t="shared" si="55"/>
        <v/>
      </c>
      <c r="L638" s="25" t="str">
        <f t="shared" si="56"/>
        <v/>
      </c>
      <c r="M638" s="37"/>
      <c r="N638" s="37"/>
      <c r="O638" s="33" t="str">
        <f t="shared" si="57"/>
        <v/>
      </c>
      <c r="P638" s="33" t="str">
        <f t="shared" si="58"/>
        <v/>
      </c>
      <c r="X638" s="1"/>
    </row>
    <row r="639" spans="7:24">
      <c r="G639" s="21"/>
      <c r="H639" s="23"/>
      <c r="I639" s="23" t="str">
        <f>_xlfn.IFNA(VLOOKUP(A639,A640:$H$3524,8,0),"")</f>
        <v/>
      </c>
      <c r="J639" s="40" t="str">
        <f t="shared" si="53"/>
        <v/>
      </c>
      <c r="K639" s="24" t="str">
        <f t="shared" si="55"/>
        <v/>
      </c>
      <c r="L639" s="25" t="str">
        <f t="shared" si="56"/>
        <v/>
      </c>
      <c r="M639" s="37"/>
      <c r="N639" s="37"/>
      <c r="O639" s="33" t="str">
        <f t="shared" si="57"/>
        <v/>
      </c>
      <c r="P639" s="33" t="str">
        <f t="shared" si="58"/>
        <v/>
      </c>
      <c r="X639" s="1"/>
    </row>
    <row r="640" spans="7:24">
      <c r="G640" s="21"/>
      <c r="H640" s="23"/>
      <c r="I640" s="23" t="str">
        <f>_xlfn.IFNA(VLOOKUP(A640,A641:$H$3524,8,0),"")</f>
        <v/>
      </c>
      <c r="J640" s="40" t="str">
        <f t="shared" si="53"/>
        <v/>
      </c>
      <c r="K640" s="24" t="str">
        <f t="shared" si="55"/>
        <v/>
      </c>
      <c r="L640" s="25" t="str">
        <f t="shared" si="56"/>
        <v/>
      </c>
      <c r="M640" s="37"/>
      <c r="N640" s="37"/>
      <c r="O640" s="33" t="str">
        <f t="shared" si="57"/>
        <v/>
      </c>
      <c r="P640" s="33" t="str">
        <f t="shared" si="58"/>
        <v/>
      </c>
      <c r="X640" s="1"/>
    </row>
    <row r="641" spans="7:24">
      <c r="G641" s="21"/>
      <c r="H641" s="23"/>
      <c r="I641" s="23" t="str">
        <f>_xlfn.IFNA(VLOOKUP(A641,A642:$H$3524,8,0),"")</f>
        <v/>
      </c>
      <c r="J641" s="40" t="str">
        <f t="shared" si="53"/>
        <v/>
      </c>
      <c r="K641" s="24" t="str">
        <f t="shared" si="55"/>
        <v/>
      </c>
      <c r="L641" s="25" t="str">
        <f t="shared" si="56"/>
        <v/>
      </c>
      <c r="M641" s="37"/>
      <c r="N641" s="37"/>
      <c r="O641" s="33" t="str">
        <f t="shared" si="57"/>
        <v/>
      </c>
      <c r="P641" s="33" t="str">
        <f t="shared" si="58"/>
        <v/>
      </c>
      <c r="X641" s="1"/>
    </row>
    <row r="642" spans="7:24">
      <c r="G642" s="21"/>
      <c r="H642" s="23"/>
      <c r="I642" s="23" t="str">
        <f>_xlfn.IFNA(VLOOKUP(A642,A643:$H$3524,8,0),"")</f>
        <v/>
      </c>
      <c r="J642" s="40" t="str">
        <f t="shared" si="53"/>
        <v/>
      </c>
      <c r="K642" s="24" t="str">
        <f t="shared" si="55"/>
        <v/>
      </c>
      <c r="L642" s="25" t="str">
        <f t="shared" si="56"/>
        <v/>
      </c>
      <c r="M642" s="37"/>
      <c r="N642" s="37"/>
      <c r="O642" s="33" t="str">
        <f t="shared" si="57"/>
        <v/>
      </c>
      <c r="P642" s="33" t="str">
        <f t="shared" si="58"/>
        <v/>
      </c>
      <c r="X642" s="1"/>
    </row>
    <row r="643" spans="7:24">
      <c r="G643" s="21"/>
      <c r="H643" s="23"/>
      <c r="I643" s="23" t="str">
        <f>_xlfn.IFNA(VLOOKUP(A643,A644:$H$3524,8,0),"")</f>
        <v/>
      </c>
      <c r="J643" s="40" t="str">
        <f t="shared" si="53"/>
        <v/>
      </c>
      <c r="K643" s="24" t="str">
        <f t="shared" si="55"/>
        <v/>
      </c>
      <c r="L643" s="25" t="str">
        <f t="shared" si="56"/>
        <v/>
      </c>
      <c r="M643" s="37"/>
      <c r="N643" s="37"/>
      <c r="O643" s="33" t="str">
        <f t="shared" si="57"/>
        <v/>
      </c>
      <c r="P643" s="33" t="str">
        <f t="shared" si="58"/>
        <v/>
      </c>
      <c r="X643" s="1"/>
    </row>
    <row r="644" spans="7:24">
      <c r="G644" s="21"/>
      <c r="H644" s="23"/>
      <c r="I644" s="23" t="str">
        <f>_xlfn.IFNA(VLOOKUP(A644,A645:$H$3524,8,0),"")</f>
        <v/>
      </c>
      <c r="J644" s="40" t="str">
        <f t="shared" si="53"/>
        <v/>
      </c>
      <c r="K644" s="24" t="str">
        <f t="shared" si="55"/>
        <v/>
      </c>
      <c r="L644" s="25" t="str">
        <f t="shared" si="56"/>
        <v/>
      </c>
      <c r="M644" s="37"/>
      <c r="N644" s="37"/>
      <c r="O644" s="33" t="str">
        <f t="shared" si="57"/>
        <v/>
      </c>
      <c r="P644" s="33" t="str">
        <f t="shared" si="58"/>
        <v/>
      </c>
      <c r="X644" s="1"/>
    </row>
    <row r="645" spans="7:24">
      <c r="G645" s="21"/>
      <c r="H645" s="23"/>
      <c r="I645" s="23" t="str">
        <f>_xlfn.IFNA(VLOOKUP(A645,A646:$H$3524,8,0),"")</f>
        <v/>
      </c>
      <c r="J645" s="40" t="str">
        <f t="shared" si="53"/>
        <v/>
      </c>
      <c r="K645" s="24" t="str">
        <f t="shared" si="55"/>
        <v/>
      </c>
      <c r="L645" s="25" t="str">
        <f t="shared" si="56"/>
        <v/>
      </c>
      <c r="M645" s="37"/>
      <c r="N645" s="37"/>
      <c r="O645" s="33" t="str">
        <f t="shared" si="57"/>
        <v/>
      </c>
      <c r="P645" s="33" t="str">
        <f t="shared" si="58"/>
        <v/>
      </c>
      <c r="X645" s="1"/>
    </row>
    <row r="646" spans="7:24">
      <c r="G646" s="21"/>
      <c r="H646" s="23"/>
      <c r="I646" s="23" t="str">
        <f>_xlfn.IFNA(VLOOKUP(A646,A647:$H$3524,8,0),"")</f>
        <v/>
      </c>
      <c r="J646" s="40" t="str">
        <f t="shared" ref="J646:J709" si="59">IF(B646="OFF",0,IF(AND(D646&lt;&gt;"",E646&lt;&gt;""),E646-D646+1,""))</f>
        <v/>
      </c>
      <c r="K646" s="24" t="str">
        <f t="shared" si="55"/>
        <v/>
      </c>
      <c r="L646" s="25" t="str">
        <f t="shared" si="56"/>
        <v/>
      </c>
      <c r="M646" s="37"/>
      <c r="N646" s="37"/>
      <c r="O646" s="33" t="str">
        <f t="shared" si="57"/>
        <v/>
      </c>
      <c r="P646" s="33" t="str">
        <f t="shared" si="58"/>
        <v/>
      </c>
      <c r="X646" s="1"/>
    </row>
    <row r="647" spans="7:24">
      <c r="G647" s="21"/>
      <c r="H647" s="23"/>
      <c r="I647" s="23" t="str">
        <f>_xlfn.IFNA(VLOOKUP(A647,A648:$H$3524,8,0),"")</f>
        <v/>
      </c>
      <c r="J647" s="40" t="str">
        <f t="shared" si="59"/>
        <v/>
      </c>
      <c r="K647" s="24" t="str">
        <f t="shared" si="55"/>
        <v/>
      </c>
      <c r="L647" s="25" t="str">
        <f t="shared" si="56"/>
        <v/>
      </c>
      <c r="M647" s="37"/>
      <c r="N647" s="37"/>
      <c r="O647" s="33" t="str">
        <f t="shared" si="57"/>
        <v/>
      </c>
      <c r="P647" s="33" t="str">
        <f t="shared" si="58"/>
        <v/>
      </c>
      <c r="X647" s="1"/>
    </row>
    <row r="648" spans="7:24">
      <c r="G648" s="21"/>
      <c r="H648" s="23"/>
      <c r="I648" s="23" t="str">
        <f>_xlfn.IFNA(VLOOKUP(A648,A649:$H$3524,8,0),"")</f>
        <v/>
      </c>
      <c r="J648" s="40" t="str">
        <f t="shared" si="59"/>
        <v/>
      </c>
      <c r="K648" s="24" t="str">
        <f t="shared" si="55"/>
        <v/>
      </c>
      <c r="L648" s="25" t="str">
        <f t="shared" si="56"/>
        <v/>
      </c>
      <c r="M648" s="37"/>
      <c r="N648" s="37"/>
      <c r="O648" s="33" t="str">
        <f t="shared" si="57"/>
        <v/>
      </c>
      <c r="P648" s="33" t="str">
        <f t="shared" si="58"/>
        <v/>
      </c>
      <c r="X648" s="1"/>
    </row>
    <row r="649" spans="7:24">
      <c r="G649" s="21"/>
      <c r="H649" s="23"/>
      <c r="I649" s="23" t="str">
        <f>_xlfn.IFNA(VLOOKUP(A649,A650:$H$3524,8,0),"")</f>
        <v/>
      </c>
      <c r="J649" s="40" t="str">
        <f t="shared" si="59"/>
        <v/>
      </c>
      <c r="K649" s="24" t="str">
        <f t="shared" si="55"/>
        <v/>
      </c>
      <c r="L649" s="25" t="str">
        <f t="shared" si="56"/>
        <v/>
      </c>
      <c r="M649" s="37"/>
      <c r="N649" s="37"/>
      <c r="O649" s="33" t="str">
        <f t="shared" si="57"/>
        <v/>
      </c>
      <c r="P649" s="33" t="str">
        <f t="shared" si="58"/>
        <v/>
      </c>
      <c r="X649" s="1"/>
    </row>
    <row r="650" spans="7:24">
      <c r="G650" s="21"/>
      <c r="H650" s="23"/>
      <c r="I650" s="23" t="str">
        <f>_xlfn.IFNA(VLOOKUP(A650,A651:$H$3524,8,0),"")</f>
        <v/>
      </c>
      <c r="J650" s="40" t="str">
        <f t="shared" si="59"/>
        <v/>
      </c>
      <c r="K650" s="24" t="str">
        <f t="shared" si="55"/>
        <v/>
      </c>
      <c r="L650" s="25" t="str">
        <f t="shared" si="56"/>
        <v/>
      </c>
      <c r="M650" s="37"/>
      <c r="N650" s="37"/>
      <c r="O650" s="33" t="str">
        <f t="shared" si="57"/>
        <v/>
      </c>
      <c r="P650" s="33" t="str">
        <f t="shared" si="58"/>
        <v/>
      </c>
      <c r="X650" s="1"/>
    </row>
    <row r="651" spans="7:24">
      <c r="G651" s="21"/>
      <c r="H651" s="23"/>
      <c r="I651" s="23" t="str">
        <f>_xlfn.IFNA(VLOOKUP(A651,A652:$H$3524,8,0),"")</f>
        <v/>
      </c>
      <c r="J651" s="40" t="str">
        <f t="shared" si="59"/>
        <v/>
      </c>
      <c r="K651" s="24" t="str">
        <f t="shared" si="55"/>
        <v/>
      </c>
      <c r="L651" s="25" t="str">
        <f t="shared" si="56"/>
        <v/>
      </c>
      <c r="M651" s="37"/>
      <c r="N651" s="37"/>
      <c r="O651" s="33" t="str">
        <f t="shared" si="57"/>
        <v/>
      </c>
      <c r="P651" s="33" t="str">
        <f t="shared" si="58"/>
        <v/>
      </c>
      <c r="X651" s="1"/>
    </row>
    <row r="652" spans="7:24">
      <c r="G652" s="21"/>
      <c r="H652" s="23"/>
      <c r="I652" s="23" t="str">
        <f>_xlfn.IFNA(VLOOKUP(A652,A653:$H$3524,8,0),"")</f>
        <v/>
      </c>
      <c r="J652" s="40" t="str">
        <f t="shared" si="59"/>
        <v/>
      </c>
      <c r="K652" s="24" t="str">
        <f t="shared" si="55"/>
        <v/>
      </c>
      <c r="L652" s="25" t="str">
        <f t="shared" si="56"/>
        <v/>
      </c>
      <c r="M652" s="37"/>
      <c r="N652" s="37"/>
      <c r="O652" s="33" t="str">
        <f t="shared" si="57"/>
        <v/>
      </c>
      <c r="P652" s="33" t="str">
        <f t="shared" si="58"/>
        <v/>
      </c>
      <c r="X652" s="1"/>
    </row>
    <row r="653" spans="7:24">
      <c r="G653" s="21"/>
      <c r="H653" s="23"/>
      <c r="I653" s="23" t="str">
        <f>_xlfn.IFNA(VLOOKUP(A653,A654:$H$3524,8,0),"")</f>
        <v/>
      </c>
      <c r="J653" s="40" t="str">
        <f t="shared" si="59"/>
        <v/>
      </c>
      <c r="K653" s="24" t="str">
        <f t="shared" si="55"/>
        <v/>
      </c>
      <c r="L653" s="25" t="str">
        <f t="shared" si="56"/>
        <v/>
      </c>
      <c r="M653" s="37"/>
      <c r="N653" s="37"/>
      <c r="O653" s="33" t="str">
        <f t="shared" si="57"/>
        <v/>
      </c>
      <c r="P653" s="33" t="str">
        <f t="shared" si="58"/>
        <v/>
      </c>
      <c r="X653" s="1"/>
    </row>
    <row r="654" spans="7:24">
      <c r="G654" s="21"/>
      <c r="H654" s="23"/>
      <c r="I654" s="23" t="str">
        <f>_xlfn.IFNA(VLOOKUP(A654,A655:$H$3524,8,0),"")</f>
        <v/>
      </c>
      <c r="J654" s="40" t="str">
        <f t="shared" si="59"/>
        <v/>
      </c>
      <c r="K654" s="24" t="str">
        <f t="shared" si="55"/>
        <v/>
      </c>
      <c r="L654" s="25" t="str">
        <f t="shared" si="56"/>
        <v/>
      </c>
      <c r="M654" s="37"/>
      <c r="N654" s="37"/>
      <c r="O654" s="33" t="str">
        <f t="shared" si="57"/>
        <v/>
      </c>
      <c r="P654" s="33" t="str">
        <f t="shared" si="58"/>
        <v/>
      </c>
      <c r="X654" s="1"/>
    </row>
    <row r="655" spans="7:24">
      <c r="G655" s="21"/>
      <c r="H655" s="23"/>
      <c r="I655" s="23" t="str">
        <f>_xlfn.IFNA(VLOOKUP(A655,A656:$H$3524,8,0),"")</f>
        <v/>
      </c>
      <c r="J655" s="40" t="str">
        <f t="shared" si="59"/>
        <v/>
      </c>
      <c r="K655" s="24" t="str">
        <f t="shared" si="55"/>
        <v/>
      </c>
      <c r="L655" s="25" t="str">
        <f t="shared" si="56"/>
        <v/>
      </c>
      <c r="M655" s="37"/>
      <c r="N655" s="37"/>
      <c r="O655" s="33" t="str">
        <f t="shared" si="57"/>
        <v/>
      </c>
      <c r="P655" s="33" t="str">
        <f t="shared" si="58"/>
        <v/>
      </c>
      <c r="X655" s="1"/>
    </row>
    <row r="656" spans="7:24">
      <c r="G656" s="21"/>
      <c r="H656" s="23"/>
      <c r="I656" s="23" t="str">
        <f>_xlfn.IFNA(VLOOKUP(A656,A657:$H$3524,8,0),"")</f>
        <v/>
      </c>
      <c r="J656" s="40" t="str">
        <f t="shared" si="59"/>
        <v/>
      </c>
      <c r="K656" s="24" t="str">
        <f t="shared" si="55"/>
        <v/>
      </c>
      <c r="L656" s="25" t="str">
        <f t="shared" si="56"/>
        <v/>
      </c>
      <c r="M656" s="37"/>
      <c r="N656" s="37"/>
      <c r="O656" s="33" t="str">
        <f t="shared" si="57"/>
        <v/>
      </c>
      <c r="P656" s="33" t="str">
        <f t="shared" si="58"/>
        <v/>
      </c>
      <c r="X656" s="1"/>
    </row>
    <row r="657" spans="7:24">
      <c r="G657" s="21"/>
      <c r="H657" s="23"/>
      <c r="I657" s="23" t="str">
        <f>_xlfn.IFNA(VLOOKUP(A657,A658:$H$3524,8,0),"")</f>
        <v/>
      </c>
      <c r="J657" s="40" t="str">
        <f t="shared" si="59"/>
        <v/>
      </c>
      <c r="K657" s="24" t="str">
        <f t="shared" si="55"/>
        <v/>
      </c>
      <c r="L657" s="25" t="str">
        <f t="shared" si="56"/>
        <v/>
      </c>
      <c r="M657" s="37"/>
      <c r="N657" s="37"/>
      <c r="O657" s="33" t="str">
        <f t="shared" si="57"/>
        <v/>
      </c>
      <c r="P657" s="33" t="str">
        <f t="shared" si="58"/>
        <v/>
      </c>
      <c r="X657" s="1"/>
    </row>
    <row r="658" spans="7:24">
      <c r="G658" s="21"/>
      <c r="H658" s="23"/>
      <c r="I658" s="23" t="str">
        <f>_xlfn.IFNA(VLOOKUP(A658,A659:$H$3524,8,0),"")</f>
        <v/>
      </c>
      <c r="J658" s="40" t="str">
        <f t="shared" si="59"/>
        <v/>
      </c>
      <c r="K658" s="24" t="str">
        <f t="shared" si="55"/>
        <v/>
      </c>
      <c r="L658" s="25" t="str">
        <f t="shared" si="56"/>
        <v/>
      </c>
      <c r="M658" s="37"/>
      <c r="N658" s="37"/>
      <c r="O658" s="33" t="str">
        <f t="shared" si="57"/>
        <v/>
      </c>
      <c r="P658" s="33" t="str">
        <f t="shared" si="58"/>
        <v/>
      </c>
      <c r="X658" s="1"/>
    </row>
    <row r="659" spans="7:24">
      <c r="G659" s="21"/>
      <c r="H659" s="23"/>
      <c r="I659" s="23" t="str">
        <f>_xlfn.IFNA(VLOOKUP(A659,A660:$H$3524,8,0),"")</f>
        <v/>
      </c>
      <c r="J659" s="40" t="str">
        <f t="shared" si="59"/>
        <v/>
      </c>
      <c r="K659" s="24" t="str">
        <f t="shared" si="55"/>
        <v/>
      </c>
      <c r="L659" s="25" t="str">
        <f t="shared" si="56"/>
        <v/>
      </c>
      <c r="M659" s="37"/>
      <c r="N659" s="37"/>
      <c r="O659" s="33" t="str">
        <f t="shared" si="57"/>
        <v/>
      </c>
      <c r="P659" s="33" t="str">
        <f t="shared" si="58"/>
        <v/>
      </c>
      <c r="X659" s="1"/>
    </row>
    <row r="660" spans="7:24">
      <c r="G660" s="21"/>
      <c r="H660" s="23"/>
      <c r="I660" s="23" t="str">
        <f>_xlfn.IFNA(VLOOKUP(A660,A661:$H$3524,8,0),"")</f>
        <v/>
      </c>
      <c r="J660" s="40" t="str">
        <f t="shared" si="59"/>
        <v/>
      </c>
      <c r="K660" s="24" t="str">
        <f t="shared" si="55"/>
        <v/>
      </c>
      <c r="L660" s="25" t="str">
        <f t="shared" si="56"/>
        <v/>
      </c>
      <c r="M660" s="37"/>
      <c r="N660" s="37"/>
      <c r="O660" s="33" t="str">
        <f t="shared" si="57"/>
        <v/>
      </c>
      <c r="P660" s="33" t="str">
        <f t="shared" si="58"/>
        <v/>
      </c>
      <c r="X660" s="1"/>
    </row>
    <row r="661" spans="7:24">
      <c r="G661" s="21"/>
      <c r="H661" s="23"/>
      <c r="I661" s="23" t="str">
        <f>_xlfn.IFNA(VLOOKUP(A661,A662:$H$3524,8,0),"")</f>
        <v/>
      </c>
      <c r="J661" s="40" t="str">
        <f t="shared" si="59"/>
        <v/>
      </c>
      <c r="K661" s="24" t="str">
        <f t="shared" si="55"/>
        <v/>
      </c>
      <c r="L661" s="25" t="str">
        <f t="shared" si="56"/>
        <v/>
      </c>
      <c r="M661" s="37"/>
      <c r="N661" s="37"/>
      <c r="O661" s="33" t="str">
        <f t="shared" si="57"/>
        <v/>
      </c>
      <c r="P661" s="33" t="str">
        <f t="shared" si="58"/>
        <v/>
      </c>
      <c r="X661" s="1"/>
    </row>
    <row r="662" spans="7:24">
      <c r="G662" s="21"/>
      <c r="H662" s="23"/>
      <c r="I662" s="23" t="str">
        <f>_xlfn.IFNA(VLOOKUP(A662,A663:$H$3524,8,0),"")</f>
        <v/>
      </c>
      <c r="J662" s="40" t="str">
        <f t="shared" si="59"/>
        <v/>
      </c>
      <c r="K662" s="24" t="str">
        <f t="shared" ref="K662:K725" si="60">IF(H662="","",IFERROR((I662-H662)*24,0))</f>
        <v/>
      </c>
      <c r="L662" s="25" t="str">
        <f t="shared" si="56"/>
        <v/>
      </c>
      <c r="M662" s="37"/>
      <c r="N662" s="37"/>
      <c r="O662" s="33" t="str">
        <f t="shared" si="57"/>
        <v/>
      </c>
      <c r="P662" s="33" t="str">
        <f t="shared" si="58"/>
        <v/>
      </c>
      <c r="X662" s="1"/>
    </row>
    <row r="663" spans="7:24">
      <c r="G663" s="21"/>
      <c r="H663" s="23"/>
      <c r="I663" s="23" t="str">
        <f>_xlfn.IFNA(VLOOKUP(A663,A664:$H$3524,8,0),"")</f>
        <v/>
      </c>
      <c r="J663" s="40" t="str">
        <f t="shared" si="59"/>
        <v/>
      </c>
      <c r="K663" s="24" t="str">
        <f t="shared" si="60"/>
        <v/>
      </c>
      <c r="L663" s="25" t="str">
        <f t="shared" si="56"/>
        <v/>
      </c>
      <c r="M663" s="37"/>
      <c r="N663" s="37"/>
      <c r="O663" s="33" t="str">
        <f t="shared" si="57"/>
        <v/>
      </c>
      <c r="P663" s="33" t="str">
        <f t="shared" si="58"/>
        <v/>
      </c>
      <c r="X663" s="1"/>
    </row>
    <row r="664" spans="7:24">
      <c r="G664" s="21"/>
      <c r="H664" s="23"/>
      <c r="I664" s="23" t="str">
        <f>_xlfn.IFNA(VLOOKUP(A664,A665:$H$3524,8,0),"")</f>
        <v/>
      </c>
      <c r="J664" s="40" t="str">
        <f t="shared" si="59"/>
        <v/>
      </c>
      <c r="K664" s="24" t="str">
        <f t="shared" si="60"/>
        <v/>
      </c>
      <c r="L664" s="25" t="str">
        <f t="shared" si="56"/>
        <v/>
      </c>
      <c r="M664" s="37"/>
      <c r="N664" s="37"/>
      <c r="O664" s="33" t="str">
        <f t="shared" si="57"/>
        <v/>
      </c>
      <c r="P664" s="33" t="str">
        <f t="shared" si="58"/>
        <v/>
      </c>
      <c r="X664" s="1"/>
    </row>
    <row r="665" spans="7:24">
      <c r="G665" s="21"/>
      <c r="H665" s="23"/>
      <c r="I665" s="23" t="str">
        <f>_xlfn.IFNA(VLOOKUP(A665,A666:$H$3524,8,0),"")</f>
        <v/>
      </c>
      <c r="J665" s="40" t="str">
        <f t="shared" si="59"/>
        <v/>
      </c>
      <c r="K665" s="24" t="str">
        <f t="shared" si="60"/>
        <v/>
      </c>
      <c r="L665" s="25" t="str">
        <f t="shared" si="56"/>
        <v/>
      </c>
      <c r="M665" s="37"/>
      <c r="N665" s="37"/>
      <c r="O665" s="33" t="str">
        <f t="shared" si="57"/>
        <v/>
      </c>
      <c r="P665" s="33" t="str">
        <f t="shared" si="58"/>
        <v/>
      </c>
      <c r="X665" s="1"/>
    </row>
    <row r="666" spans="7:24">
      <c r="G666" s="21"/>
      <c r="H666" s="23"/>
      <c r="I666" s="23" t="str">
        <f>_xlfn.IFNA(VLOOKUP(A666,A667:$H$3524,8,0),"")</f>
        <v/>
      </c>
      <c r="J666" s="40" t="str">
        <f t="shared" si="59"/>
        <v/>
      </c>
      <c r="K666" s="24" t="str">
        <f t="shared" si="60"/>
        <v/>
      </c>
      <c r="L666" s="25" t="str">
        <f t="shared" si="56"/>
        <v/>
      </c>
      <c r="M666" s="37"/>
      <c r="N666" s="37"/>
      <c r="O666" s="33" t="str">
        <f t="shared" si="57"/>
        <v/>
      </c>
      <c r="P666" s="33" t="str">
        <f t="shared" si="58"/>
        <v/>
      </c>
      <c r="X666" s="1"/>
    </row>
    <row r="667" spans="7:24">
      <c r="G667" s="21"/>
      <c r="H667" s="23"/>
      <c r="I667" s="23" t="str">
        <f>_xlfn.IFNA(VLOOKUP(A667,A668:$H$3524,8,0),"")</f>
        <v/>
      </c>
      <c r="J667" s="40" t="str">
        <f t="shared" si="59"/>
        <v/>
      </c>
      <c r="K667" s="24" t="str">
        <f t="shared" si="60"/>
        <v/>
      </c>
      <c r="L667" s="25" t="str">
        <f t="shared" si="56"/>
        <v/>
      </c>
      <c r="M667" s="37"/>
      <c r="N667" s="37"/>
      <c r="O667" s="33" t="str">
        <f t="shared" si="57"/>
        <v/>
      </c>
      <c r="P667" s="33" t="str">
        <f t="shared" si="58"/>
        <v/>
      </c>
      <c r="X667" s="1"/>
    </row>
    <row r="668" spans="7:24">
      <c r="G668" s="21"/>
      <c r="H668" s="23"/>
      <c r="I668" s="23" t="str">
        <f>_xlfn.IFNA(VLOOKUP(A668,A669:$H$3524,8,0),"")</f>
        <v/>
      </c>
      <c r="J668" s="40" t="str">
        <f t="shared" si="59"/>
        <v/>
      </c>
      <c r="K668" s="24" t="str">
        <f t="shared" si="60"/>
        <v/>
      </c>
      <c r="L668" s="25" t="str">
        <f t="shared" si="56"/>
        <v/>
      </c>
      <c r="M668" s="37"/>
      <c r="N668" s="37"/>
      <c r="O668" s="33" t="str">
        <f t="shared" si="57"/>
        <v/>
      </c>
      <c r="P668" s="33" t="str">
        <f t="shared" si="58"/>
        <v/>
      </c>
      <c r="X668" s="1"/>
    </row>
    <row r="669" spans="7:24">
      <c r="G669" s="21"/>
      <c r="H669" s="23"/>
      <c r="I669" s="23" t="str">
        <f>_xlfn.IFNA(VLOOKUP(A669,A670:$H$3524,8,0),"")</f>
        <v/>
      </c>
      <c r="J669" s="40" t="str">
        <f t="shared" si="59"/>
        <v/>
      </c>
      <c r="K669" s="24" t="str">
        <f t="shared" si="60"/>
        <v/>
      </c>
      <c r="L669" s="25" t="str">
        <f t="shared" si="56"/>
        <v/>
      </c>
      <c r="M669" s="37"/>
      <c r="N669" s="37"/>
      <c r="O669" s="33" t="str">
        <f t="shared" si="57"/>
        <v/>
      </c>
      <c r="P669" s="33" t="str">
        <f t="shared" si="58"/>
        <v/>
      </c>
      <c r="X669" s="1"/>
    </row>
    <row r="670" spans="7:24">
      <c r="G670" s="21"/>
      <c r="H670" s="23"/>
      <c r="I670" s="23" t="str">
        <f>_xlfn.IFNA(VLOOKUP(A670,A671:$H$3524,8,0),"")</f>
        <v/>
      </c>
      <c r="J670" s="40" t="str">
        <f t="shared" si="59"/>
        <v/>
      </c>
      <c r="K670" s="24" t="str">
        <f t="shared" si="60"/>
        <v/>
      </c>
      <c r="L670" s="25" t="str">
        <f t="shared" si="56"/>
        <v/>
      </c>
      <c r="M670" s="37"/>
      <c r="N670" s="37"/>
      <c r="O670" s="33" t="str">
        <f t="shared" si="57"/>
        <v/>
      </c>
      <c r="P670" s="33" t="str">
        <f t="shared" si="58"/>
        <v/>
      </c>
      <c r="X670" s="1"/>
    </row>
    <row r="671" spans="7:24">
      <c r="G671" s="21"/>
      <c r="H671" s="23"/>
      <c r="I671" s="23" t="str">
        <f>_xlfn.IFNA(VLOOKUP(A671,A672:$H$3524,8,0),"")</f>
        <v/>
      </c>
      <c r="J671" s="40" t="str">
        <f t="shared" si="59"/>
        <v/>
      </c>
      <c r="K671" s="24" t="str">
        <f t="shared" si="60"/>
        <v/>
      </c>
      <c r="L671" s="25" t="str">
        <f t="shared" si="56"/>
        <v/>
      </c>
      <c r="M671" s="37"/>
      <c r="N671" s="37"/>
      <c r="O671" s="33" t="str">
        <f t="shared" si="57"/>
        <v/>
      </c>
      <c r="P671" s="33" t="str">
        <f t="shared" si="58"/>
        <v/>
      </c>
      <c r="X671" s="1"/>
    </row>
    <row r="672" spans="7:24">
      <c r="G672" s="21"/>
      <c r="H672" s="23"/>
      <c r="I672" s="23" t="str">
        <f>_xlfn.IFNA(VLOOKUP(A672,A673:$H$3524,8,0),"")</f>
        <v/>
      </c>
      <c r="J672" s="40" t="str">
        <f t="shared" si="59"/>
        <v/>
      </c>
      <c r="K672" s="24" t="str">
        <f t="shared" si="60"/>
        <v/>
      </c>
      <c r="L672" s="25" t="str">
        <f t="shared" si="56"/>
        <v/>
      </c>
      <c r="M672" s="37"/>
      <c r="N672" s="37"/>
      <c r="O672" s="33" t="str">
        <f t="shared" si="57"/>
        <v/>
      </c>
      <c r="P672" s="33" t="str">
        <f t="shared" si="58"/>
        <v/>
      </c>
      <c r="X672" s="1"/>
    </row>
    <row r="673" spans="7:24">
      <c r="G673" s="21"/>
      <c r="H673" s="23"/>
      <c r="I673" s="23" t="str">
        <f>_xlfn.IFNA(VLOOKUP(A673,A674:$H$3524,8,0),"")</f>
        <v/>
      </c>
      <c r="J673" s="40" t="str">
        <f t="shared" si="59"/>
        <v/>
      </c>
      <c r="K673" s="24" t="str">
        <f t="shared" si="60"/>
        <v/>
      </c>
      <c r="L673" s="25" t="str">
        <f t="shared" si="56"/>
        <v/>
      </c>
      <c r="M673" s="37"/>
      <c r="N673" s="37"/>
      <c r="O673" s="33" t="str">
        <f t="shared" si="57"/>
        <v/>
      </c>
      <c r="P673" s="33" t="str">
        <f t="shared" si="58"/>
        <v/>
      </c>
      <c r="X673" s="1"/>
    </row>
    <row r="674" spans="7:24">
      <c r="G674" s="21"/>
      <c r="H674" s="23"/>
      <c r="I674" s="23" t="str">
        <f>_xlfn.IFNA(VLOOKUP(A674,A675:$H$3524,8,0),"")</f>
        <v/>
      </c>
      <c r="J674" s="40" t="str">
        <f t="shared" si="59"/>
        <v/>
      </c>
      <c r="K674" s="24" t="str">
        <f t="shared" si="60"/>
        <v/>
      </c>
      <c r="L674" s="25" t="str">
        <f t="shared" si="56"/>
        <v/>
      </c>
      <c r="M674" s="37"/>
      <c r="N674" s="37"/>
      <c r="O674" s="33" t="str">
        <f t="shared" si="57"/>
        <v/>
      </c>
      <c r="P674" s="33" t="str">
        <f t="shared" si="58"/>
        <v/>
      </c>
      <c r="X674" s="1"/>
    </row>
    <row r="675" spans="7:24">
      <c r="G675" s="21"/>
      <c r="H675" s="23"/>
      <c r="I675" s="23" t="str">
        <f>_xlfn.IFNA(VLOOKUP(A675,A676:$H$3524,8,0),"")</f>
        <v/>
      </c>
      <c r="J675" s="40" t="str">
        <f t="shared" si="59"/>
        <v/>
      </c>
      <c r="K675" s="24" t="str">
        <f t="shared" si="60"/>
        <v/>
      </c>
      <c r="L675" s="25" t="str">
        <f t="shared" si="56"/>
        <v/>
      </c>
      <c r="M675" s="37"/>
      <c r="N675" s="37"/>
      <c r="O675" s="33" t="str">
        <f t="shared" si="57"/>
        <v/>
      </c>
      <c r="P675" s="33" t="str">
        <f t="shared" si="58"/>
        <v/>
      </c>
      <c r="X675" s="1"/>
    </row>
    <row r="676" spans="7:24">
      <c r="G676" s="21"/>
      <c r="H676" s="23"/>
      <c r="I676" s="23" t="str">
        <f>_xlfn.IFNA(VLOOKUP(A676,A677:$H$3524,8,0),"")</f>
        <v/>
      </c>
      <c r="J676" s="40" t="str">
        <f t="shared" si="59"/>
        <v/>
      </c>
      <c r="K676" s="24" t="str">
        <f t="shared" si="60"/>
        <v/>
      </c>
      <c r="L676" s="25" t="str">
        <f t="shared" si="56"/>
        <v/>
      </c>
      <c r="M676" s="37"/>
      <c r="N676" s="37"/>
      <c r="O676" s="33" t="str">
        <f t="shared" si="57"/>
        <v/>
      </c>
      <c r="P676" s="33" t="str">
        <f t="shared" si="58"/>
        <v/>
      </c>
      <c r="X676" s="1"/>
    </row>
    <row r="677" spans="7:24">
      <c r="G677" s="21"/>
      <c r="H677" s="23"/>
      <c r="I677" s="23" t="str">
        <f>_xlfn.IFNA(VLOOKUP(A677,A678:$H$3524,8,0),"")</f>
        <v/>
      </c>
      <c r="J677" s="40" t="str">
        <f t="shared" si="59"/>
        <v/>
      </c>
      <c r="K677" s="24" t="str">
        <f t="shared" si="60"/>
        <v/>
      </c>
      <c r="L677" s="25" t="str">
        <f t="shared" si="56"/>
        <v/>
      </c>
      <c r="M677" s="37"/>
      <c r="N677" s="37"/>
      <c r="O677" s="33" t="str">
        <f t="shared" si="57"/>
        <v/>
      </c>
      <c r="P677" s="33" t="str">
        <f t="shared" si="58"/>
        <v/>
      </c>
      <c r="X677" s="1"/>
    </row>
    <row r="678" spans="7:24">
      <c r="G678" s="21"/>
      <c r="H678" s="23"/>
      <c r="I678" s="23" t="str">
        <f>_xlfn.IFNA(VLOOKUP(A678,A679:$H$3524,8,0),"")</f>
        <v/>
      </c>
      <c r="J678" s="40" t="str">
        <f t="shared" si="59"/>
        <v/>
      </c>
      <c r="K678" s="24" t="str">
        <f t="shared" si="60"/>
        <v/>
      </c>
      <c r="L678" s="25" t="str">
        <f t="shared" si="56"/>
        <v/>
      </c>
      <c r="M678" s="37"/>
      <c r="N678" s="37"/>
      <c r="O678" s="33" t="str">
        <f t="shared" si="57"/>
        <v/>
      </c>
      <c r="P678" s="33" t="str">
        <f t="shared" si="58"/>
        <v/>
      </c>
      <c r="X678" s="1"/>
    </row>
    <row r="679" spans="7:24">
      <c r="G679" s="21"/>
      <c r="H679" s="23"/>
      <c r="I679" s="23" t="str">
        <f>_xlfn.IFNA(VLOOKUP(A679,A680:$H$3524,8,0),"")</f>
        <v/>
      </c>
      <c r="J679" s="40" t="str">
        <f t="shared" si="59"/>
        <v/>
      </c>
      <c r="K679" s="24" t="str">
        <f t="shared" si="60"/>
        <v/>
      </c>
      <c r="L679" s="25" t="str">
        <f t="shared" si="56"/>
        <v/>
      </c>
      <c r="M679" s="37"/>
      <c r="N679" s="37"/>
      <c r="O679" s="33" t="str">
        <f t="shared" si="57"/>
        <v/>
      </c>
      <c r="P679" s="33" t="str">
        <f t="shared" si="58"/>
        <v/>
      </c>
      <c r="X679" s="1"/>
    </row>
    <row r="680" spans="7:24">
      <c r="G680" s="21"/>
      <c r="H680" s="23"/>
      <c r="I680" s="23" t="str">
        <f>_xlfn.IFNA(VLOOKUP(A680,A681:$H$3524,8,0),"")</f>
        <v/>
      </c>
      <c r="J680" s="40" t="str">
        <f t="shared" si="59"/>
        <v/>
      </c>
      <c r="K680" s="24" t="str">
        <f t="shared" si="60"/>
        <v/>
      </c>
      <c r="L680" s="25" t="str">
        <f t="shared" si="56"/>
        <v/>
      </c>
      <c r="M680" s="37"/>
      <c r="N680" s="37"/>
      <c r="O680" s="33" t="str">
        <f t="shared" si="57"/>
        <v/>
      </c>
      <c r="P680" s="33" t="str">
        <f t="shared" si="58"/>
        <v/>
      </c>
      <c r="X680" s="1"/>
    </row>
    <row r="681" spans="7:24">
      <c r="G681" s="21"/>
      <c r="H681" s="23"/>
      <c r="I681" s="23" t="str">
        <f>_xlfn.IFNA(VLOOKUP(A681,A682:$H$3524,8,0),"")</f>
        <v/>
      </c>
      <c r="J681" s="40" t="str">
        <f t="shared" si="59"/>
        <v/>
      </c>
      <c r="K681" s="24" t="str">
        <f t="shared" si="60"/>
        <v/>
      </c>
      <c r="L681" s="25" t="str">
        <f t="shared" si="56"/>
        <v/>
      </c>
      <c r="M681" s="37"/>
      <c r="N681" s="37"/>
      <c r="O681" s="33" t="str">
        <f t="shared" si="57"/>
        <v/>
      </c>
      <c r="P681" s="33" t="str">
        <f t="shared" si="58"/>
        <v/>
      </c>
      <c r="X681" s="1"/>
    </row>
    <row r="682" spans="7:24">
      <c r="G682" s="21"/>
      <c r="H682" s="23"/>
      <c r="I682" s="23" t="str">
        <f>_xlfn.IFNA(VLOOKUP(A682,A683:$H$3524,8,0),"")</f>
        <v/>
      </c>
      <c r="J682" s="40" t="str">
        <f t="shared" si="59"/>
        <v/>
      </c>
      <c r="K682" s="24" t="str">
        <f t="shared" si="60"/>
        <v/>
      </c>
      <c r="L682" s="25" t="str">
        <f t="shared" si="56"/>
        <v/>
      </c>
      <c r="M682" s="37"/>
      <c r="N682" s="37"/>
      <c r="O682" s="33" t="str">
        <f t="shared" si="57"/>
        <v/>
      </c>
      <c r="P682" s="33" t="str">
        <f t="shared" si="58"/>
        <v/>
      </c>
      <c r="X682" s="1"/>
    </row>
    <row r="683" spans="7:24">
      <c r="G683" s="21"/>
      <c r="H683" s="23"/>
      <c r="I683" s="23" t="str">
        <f>_xlfn.IFNA(VLOOKUP(A683,A684:$H$3524,8,0),"")</f>
        <v/>
      </c>
      <c r="J683" s="40" t="str">
        <f t="shared" si="59"/>
        <v/>
      </c>
      <c r="K683" s="24" t="str">
        <f t="shared" si="60"/>
        <v/>
      </c>
      <c r="L683" s="25" t="str">
        <f t="shared" si="56"/>
        <v/>
      </c>
      <c r="M683" s="37"/>
      <c r="N683" s="37"/>
      <c r="O683" s="33" t="str">
        <f t="shared" si="57"/>
        <v/>
      </c>
      <c r="P683" s="33" t="str">
        <f t="shared" si="58"/>
        <v/>
      </c>
      <c r="X683" s="1"/>
    </row>
    <row r="684" spans="7:24">
      <c r="G684" s="21"/>
      <c r="H684" s="23"/>
      <c r="I684" s="23" t="str">
        <f>_xlfn.IFNA(VLOOKUP(A684,A685:$H$3524,8,0),"")</f>
        <v/>
      </c>
      <c r="J684" s="40" t="str">
        <f t="shared" si="59"/>
        <v/>
      </c>
      <c r="K684" s="24" t="str">
        <f t="shared" si="60"/>
        <v/>
      </c>
      <c r="L684" s="25" t="str">
        <f t="shared" si="56"/>
        <v/>
      </c>
      <c r="M684" s="37"/>
      <c r="N684" s="37"/>
      <c r="O684" s="33" t="str">
        <f t="shared" si="57"/>
        <v/>
      </c>
      <c r="P684" s="33" t="str">
        <f t="shared" si="58"/>
        <v/>
      </c>
      <c r="X684" s="1"/>
    </row>
    <row r="685" spans="7:24">
      <c r="G685" s="21"/>
      <c r="H685" s="23"/>
      <c r="I685" s="23" t="str">
        <f>_xlfn.IFNA(VLOOKUP(A685,A686:$H$3524,8,0),"")</f>
        <v/>
      </c>
      <c r="J685" s="40" t="str">
        <f t="shared" si="59"/>
        <v/>
      </c>
      <c r="K685" s="24" t="str">
        <f t="shared" si="60"/>
        <v/>
      </c>
      <c r="L685" s="25" t="str">
        <f t="shared" si="56"/>
        <v/>
      </c>
      <c r="M685" s="37"/>
      <c r="N685" s="37"/>
      <c r="O685" s="33" t="str">
        <f t="shared" si="57"/>
        <v/>
      </c>
      <c r="P685" s="33" t="str">
        <f t="shared" si="58"/>
        <v/>
      </c>
      <c r="X685" s="1"/>
    </row>
    <row r="686" spans="7:24">
      <c r="G686" s="21"/>
      <c r="H686" s="23"/>
      <c r="I686" s="23" t="str">
        <f>_xlfn.IFNA(VLOOKUP(A686,A687:$H$3524,8,0),"")</f>
        <v/>
      </c>
      <c r="J686" s="40" t="str">
        <f t="shared" si="59"/>
        <v/>
      </c>
      <c r="K686" s="24" t="str">
        <f t="shared" si="60"/>
        <v/>
      </c>
      <c r="L686" s="25" t="str">
        <f t="shared" si="56"/>
        <v/>
      </c>
      <c r="M686" s="37"/>
      <c r="N686" s="37"/>
      <c r="O686" s="33" t="str">
        <f t="shared" si="57"/>
        <v/>
      </c>
      <c r="P686" s="33" t="str">
        <f t="shared" si="58"/>
        <v/>
      </c>
      <c r="X686" s="1"/>
    </row>
    <row r="687" spans="7:24">
      <c r="G687" s="21"/>
      <c r="H687" s="23"/>
      <c r="I687" s="23" t="str">
        <f>_xlfn.IFNA(VLOOKUP(A687,A688:$H$3524,8,0),"")</f>
        <v/>
      </c>
      <c r="J687" s="40" t="str">
        <f t="shared" si="59"/>
        <v/>
      </c>
      <c r="K687" s="24" t="str">
        <f t="shared" si="60"/>
        <v/>
      </c>
      <c r="L687" s="25" t="str">
        <f t="shared" si="56"/>
        <v/>
      </c>
      <c r="M687" s="37"/>
      <c r="N687" s="37"/>
      <c r="O687" s="33" t="str">
        <f t="shared" si="57"/>
        <v/>
      </c>
      <c r="P687" s="33" t="str">
        <f t="shared" si="58"/>
        <v/>
      </c>
      <c r="X687" s="1"/>
    </row>
    <row r="688" spans="7:24">
      <c r="G688" s="21"/>
      <c r="H688" s="23"/>
      <c r="I688" s="23" t="str">
        <f>_xlfn.IFNA(VLOOKUP(A688,A689:$H$3524,8,0),"")</f>
        <v/>
      </c>
      <c r="J688" s="40" t="str">
        <f t="shared" si="59"/>
        <v/>
      </c>
      <c r="K688" s="24" t="str">
        <f t="shared" si="60"/>
        <v/>
      </c>
      <c r="L688" s="25" t="str">
        <f t="shared" si="56"/>
        <v/>
      </c>
      <c r="M688" s="37"/>
      <c r="N688" s="37"/>
      <c r="O688" s="33" t="str">
        <f t="shared" si="57"/>
        <v/>
      </c>
      <c r="P688" s="33" t="str">
        <f t="shared" si="58"/>
        <v/>
      </c>
      <c r="X688" s="1"/>
    </row>
    <row r="689" spans="7:24">
      <c r="G689" s="21"/>
      <c r="H689" s="23"/>
      <c r="I689" s="23" t="str">
        <f>_xlfn.IFNA(VLOOKUP(A689,A690:$H$3524,8,0),"")</f>
        <v/>
      </c>
      <c r="J689" s="40" t="str">
        <f t="shared" si="59"/>
        <v/>
      </c>
      <c r="K689" s="24" t="str">
        <f t="shared" si="60"/>
        <v/>
      </c>
      <c r="L689" s="25" t="str">
        <f t="shared" si="56"/>
        <v/>
      </c>
      <c r="M689" s="37"/>
      <c r="N689" s="37"/>
      <c r="O689" s="33" t="str">
        <f t="shared" si="57"/>
        <v/>
      </c>
      <c r="P689" s="33" t="str">
        <f t="shared" si="58"/>
        <v/>
      </c>
      <c r="X689" s="1"/>
    </row>
    <row r="690" spans="7:24">
      <c r="G690" s="21"/>
      <c r="H690" s="23"/>
      <c r="I690" s="23" t="str">
        <f>_xlfn.IFNA(VLOOKUP(A690,A691:$H$3524,8,0),"")</f>
        <v/>
      </c>
      <c r="J690" s="40" t="str">
        <f t="shared" si="59"/>
        <v/>
      </c>
      <c r="K690" s="24" t="str">
        <f t="shared" si="60"/>
        <v/>
      </c>
      <c r="L690" s="25" t="str">
        <f t="shared" si="56"/>
        <v/>
      </c>
      <c r="M690" s="37"/>
      <c r="N690" s="37"/>
      <c r="O690" s="33" t="str">
        <f t="shared" si="57"/>
        <v/>
      </c>
      <c r="P690" s="33" t="str">
        <f t="shared" si="58"/>
        <v/>
      </c>
      <c r="X690" s="1"/>
    </row>
    <row r="691" spans="7:24">
      <c r="G691" s="21"/>
      <c r="H691" s="23"/>
      <c r="I691" s="23" t="str">
        <f>_xlfn.IFNA(VLOOKUP(A691,A692:$H$3524,8,0),"")</f>
        <v/>
      </c>
      <c r="J691" s="40" t="str">
        <f t="shared" si="59"/>
        <v/>
      </c>
      <c r="K691" s="24" t="str">
        <f t="shared" si="60"/>
        <v/>
      </c>
      <c r="L691" s="25" t="str">
        <f t="shared" si="56"/>
        <v/>
      </c>
      <c r="M691" s="37"/>
      <c r="N691" s="37"/>
      <c r="O691" s="33" t="str">
        <f t="shared" si="57"/>
        <v/>
      </c>
      <c r="P691" s="33" t="str">
        <f t="shared" si="58"/>
        <v/>
      </c>
      <c r="X691" s="1"/>
    </row>
    <row r="692" spans="7:24">
      <c r="G692" s="21"/>
      <c r="H692" s="23"/>
      <c r="I692" s="23" t="str">
        <f>_xlfn.IFNA(VLOOKUP(A692,A693:$H$3524,8,0),"")</f>
        <v/>
      </c>
      <c r="J692" s="40" t="str">
        <f t="shared" si="59"/>
        <v/>
      </c>
      <c r="K692" s="24" t="str">
        <f t="shared" si="60"/>
        <v/>
      </c>
      <c r="L692" s="25" t="str">
        <f t="shared" si="56"/>
        <v/>
      </c>
      <c r="M692" s="37"/>
      <c r="N692" s="37"/>
      <c r="O692" s="33" t="str">
        <f t="shared" si="57"/>
        <v/>
      </c>
      <c r="P692" s="33" t="str">
        <f t="shared" si="58"/>
        <v/>
      </c>
      <c r="X692" s="1"/>
    </row>
    <row r="693" spans="7:24">
      <c r="G693" s="21"/>
      <c r="H693" s="23"/>
      <c r="I693" s="23" t="str">
        <f>_xlfn.IFNA(VLOOKUP(A693,A694:$H$3524,8,0),"")</f>
        <v/>
      </c>
      <c r="J693" s="40" t="str">
        <f t="shared" si="59"/>
        <v/>
      </c>
      <c r="K693" s="24" t="str">
        <f t="shared" si="60"/>
        <v/>
      </c>
      <c r="L693" s="25" t="str">
        <f t="shared" si="56"/>
        <v/>
      </c>
      <c r="M693" s="37"/>
      <c r="N693" s="37"/>
      <c r="O693" s="33" t="str">
        <f t="shared" si="57"/>
        <v/>
      </c>
      <c r="P693" s="33" t="str">
        <f t="shared" si="58"/>
        <v/>
      </c>
      <c r="X693" s="1"/>
    </row>
    <row r="694" spans="7:24">
      <c r="G694" s="21"/>
      <c r="H694" s="23"/>
      <c r="I694" s="23" t="str">
        <f>_xlfn.IFNA(VLOOKUP(A694,A695:$H$3524,8,0),"")</f>
        <v/>
      </c>
      <c r="J694" s="40" t="str">
        <f t="shared" si="59"/>
        <v/>
      </c>
      <c r="K694" s="24" t="str">
        <f t="shared" si="60"/>
        <v/>
      </c>
      <c r="L694" s="25" t="str">
        <f t="shared" si="56"/>
        <v/>
      </c>
      <c r="M694" s="37"/>
      <c r="N694" s="37"/>
      <c r="O694" s="33" t="str">
        <f t="shared" si="57"/>
        <v/>
      </c>
      <c r="P694" s="33" t="str">
        <f t="shared" si="58"/>
        <v/>
      </c>
      <c r="X694" s="1"/>
    </row>
    <row r="695" spans="7:24">
      <c r="G695" s="21"/>
      <c r="H695" s="23"/>
      <c r="I695" s="23" t="str">
        <f>_xlfn.IFNA(VLOOKUP(A695,A696:$H$3524,8,0),"")</f>
        <v/>
      </c>
      <c r="J695" s="40" t="str">
        <f t="shared" si="59"/>
        <v/>
      </c>
      <c r="K695" s="24" t="str">
        <f t="shared" si="60"/>
        <v/>
      </c>
      <c r="L695" s="25" t="str">
        <f t="shared" ref="L695:L758" si="61">IF(K695="","",IF(B695="Break","Break",IF(K695&lt;&gt;0,"Work Finished",IF(B695="OFF","Work Finished",IF(I695="","Working","Work Finished")))))</f>
        <v/>
      </c>
      <c r="M695" s="37"/>
      <c r="N695" s="37"/>
      <c r="O695" s="33" t="str">
        <f t="shared" ref="O695:O758" si="62">IF(AND(J695="",M695="",N695=""),"",J695-M695-N695)</f>
        <v/>
      </c>
      <c r="P695" s="33" t="str">
        <f t="shared" ref="P695:P758" si="63">IF(HOUR(H695)=0,"",HOUR(H695))</f>
        <v/>
      </c>
      <c r="X695" s="1"/>
    </row>
    <row r="696" spans="7:24">
      <c r="G696" s="21"/>
      <c r="H696" s="23"/>
      <c r="I696" s="23" t="str">
        <f>_xlfn.IFNA(VLOOKUP(A696,A697:$H$3524,8,0),"")</f>
        <v/>
      </c>
      <c r="J696" s="40" t="str">
        <f t="shared" si="59"/>
        <v/>
      </c>
      <c r="K696" s="24" t="str">
        <f t="shared" si="60"/>
        <v/>
      </c>
      <c r="L696" s="25" t="str">
        <f t="shared" si="61"/>
        <v/>
      </c>
      <c r="M696" s="37"/>
      <c r="N696" s="37"/>
      <c r="O696" s="33" t="str">
        <f t="shared" si="62"/>
        <v/>
      </c>
      <c r="P696" s="33" t="str">
        <f t="shared" si="63"/>
        <v/>
      </c>
      <c r="X696" s="1"/>
    </row>
    <row r="697" spans="7:24">
      <c r="G697" s="21"/>
      <c r="H697" s="23"/>
      <c r="I697" s="23" t="str">
        <f>_xlfn.IFNA(VLOOKUP(A697,A698:$H$3524,8,0),"")</f>
        <v/>
      </c>
      <c r="J697" s="40" t="str">
        <f t="shared" si="59"/>
        <v/>
      </c>
      <c r="K697" s="24" t="str">
        <f t="shared" si="60"/>
        <v/>
      </c>
      <c r="L697" s="25" t="str">
        <f t="shared" si="61"/>
        <v/>
      </c>
      <c r="M697" s="37"/>
      <c r="N697" s="37"/>
      <c r="O697" s="33" t="str">
        <f t="shared" si="62"/>
        <v/>
      </c>
      <c r="P697" s="33" t="str">
        <f t="shared" si="63"/>
        <v/>
      </c>
      <c r="X697" s="1"/>
    </row>
    <row r="698" spans="7:24">
      <c r="G698" s="21"/>
      <c r="H698" s="23"/>
      <c r="I698" s="23" t="str">
        <f>_xlfn.IFNA(VLOOKUP(A698,A699:$H$3524,8,0),"")</f>
        <v/>
      </c>
      <c r="J698" s="40" t="str">
        <f t="shared" si="59"/>
        <v/>
      </c>
      <c r="K698" s="24" t="str">
        <f t="shared" si="60"/>
        <v/>
      </c>
      <c r="L698" s="25" t="str">
        <f t="shared" si="61"/>
        <v/>
      </c>
      <c r="M698" s="37"/>
      <c r="N698" s="37"/>
      <c r="O698" s="33" t="str">
        <f t="shared" si="62"/>
        <v/>
      </c>
      <c r="P698" s="33" t="str">
        <f t="shared" si="63"/>
        <v/>
      </c>
      <c r="X698" s="1"/>
    </row>
    <row r="699" spans="7:24">
      <c r="G699" s="21"/>
      <c r="H699" s="23"/>
      <c r="I699" s="23" t="str">
        <f>_xlfn.IFNA(VLOOKUP(A699,A700:$H$3524,8,0),"")</f>
        <v/>
      </c>
      <c r="J699" s="40" t="str">
        <f t="shared" si="59"/>
        <v/>
      </c>
      <c r="K699" s="24" t="str">
        <f t="shared" si="60"/>
        <v/>
      </c>
      <c r="L699" s="25" t="str">
        <f t="shared" si="61"/>
        <v/>
      </c>
      <c r="M699" s="37"/>
      <c r="N699" s="37"/>
      <c r="O699" s="33" t="str">
        <f t="shared" si="62"/>
        <v/>
      </c>
      <c r="P699" s="33" t="str">
        <f t="shared" si="63"/>
        <v/>
      </c>
      <c r="X699" s="1"/>
    </row>
    <row r="700" spans="7:24">
      <c r="G700" s="21"/>
      <c r="H700" s="23"/>
      <c r="I700" s="23" t="str">
        <f>_xlfn.IFNA(VLOOKUP(A700,A701:$H$3524,8,0),"")</f>
        <v/>
      </c>
      <c r="J700" s="40" t="str">
        <f t="shared" si="59"/>
        <v/>
      </c>
      <c r="K700" s="24" t="str">
        <f t="shared" si="60"/>
        <v/>
      </c>
      <c r="L700" s="25" t="str">
        <f t="shared" si="61"/>
        <v/>
      </c>
      <c r="M700" s="37"/>
      <c r="N700" s="37"/>
      <c r="O700" s="33" t="str">
        <f t="shared" si="62"/>
        <v/>
      </c>
      <c r="P700" s="33" t="str">
        <f t="shared" si="63"/>
        <v/>
      </c>
      <c r="X700" s="1"/>
    </row>
    <row r="701" spans="7:24">
      <c r="G701" s="21"/>
      <c r="H701" s="23"/>
      <c r="I701" s="23" t="str">
        <f>_xlfn.IFNA(VLOOKUP(A701,A702:$H$3524,8,0),"")</f>
        <v/>
      </c>
      <c r="J701" s="40" t="str">
        <f t="shared" si="59"/>
        <v/>
      </c>
      <c r="K701" s="24" t="str">
        <f t="shared" si="60"/>
        <v/>
      </c>
      <c r="L701" s="25" t="str">
        <f t="shared" si="61"/>
        <v/>
      </c>
      <c r="M701" s="37"/>
      <c r="N701" s="37"/>
      <c r="O701" s="33" t="str">
        <f t="shared" si="62"/>
        <v/>
      </c>
      <c r="P701" s="33" t="str">
        <f t="shared" si="63"/>
        <v/>
      </c>
      <c r="X701" s="1"/>
    </row>
    <row r="702" spans="7:24">
      <c r="G702" s="21"/>
      <c r="H702" s="23"/>
      <c r="I702" s="23" t="str">
        <f>_xlfn.IFNA(VLOOKUP(A702,A703:$H$3524,8,0),"")</f>
        <v/>
      </c>
      <c r="J702" s="40" t="str">
        <f t="shared" si="59"/>
        <v/>
      </c>
      <c r="K702" s="24" t="str">
        <f t="shared" si="60"/>
        <v/>
      </c>
      <c r="L702" s="25" t="str">
        <f t="shared" si="61"/>
        <v/>
      </c>
      <c r="M702" s="37"/>
      <c r="N702" s="37"/>
      <c r="O702" s="33" t="str">
        <f t="shared" si="62"/>
        <v/>
      </c>
      <c r="P702" s="33" t="str">
        <f t="shared" si="63"/>
        <v/>
      </c>
      <c r="X702" s="1"/>
    </row>
    <row r="703" spans="7:24">
      <c r="G703" s="21"/>
      <c r="H703" s="23"/>
      <c r="I703" s="23" t="str">
        <f>_xlfn.IFNA(VLOOKUP(A703,A704:$H$3524,8,0),"")</f>
        <v/>
      </c>
      <c r="J703" s="40" t="str">
        <f t="shared" si="59"/>
        <v/>
      </c>
      <c r="K703" s="24" t="str">
        <f t="shared" si="60"/>
        <v/>
      </c>
      <c r="L703" s="25" t="str">
        <f t="shared" si="61"/>
        <v/>
      </c>
      <c r="M703" s="37"/>
      <c r="N703" s="37"/>
      <c r="O703" s="33" t="str">
        <f t="shared" si="62"/>
        <v/>
      </c>
      <c r="P703" s="33" t="str">
        <f t="shared" si="63"/>
        <v/>
      </c>
      <c r="X703" s="1"/>
    </row>
    <row r="704" spans="7:24">
      <c r="G704" s="21"/>
      <c r="H704" s="23"/>
      <c r="I704" s="23" t="str">
        <f>_xlfn.IFNA(VLOOKUP(A704,A705:$H$3524,8,0),"")</f>
        <v/>
      </c>
      <c r="J704" s="40" t="str">
        <f t="shared" si="59"/>
        <v/>
      </c>
      <c r="K704" s="24" t="str">
        <f t="shared" si="60"/>
        <v/>
      </c>
      <c r="L704" s="25" t="str">
        <f t="shared" si="61"/>
        <v/>
      </c>
      <c r="M704" s="37"/>
      <c r="N704" s="37"/>
      <c r="O704" s="33" t="str">
        <f t="shared" si="62"/>
        <v/>
      </c>
      <c r="P704" s="33" t="str">
        <f t="shared" si="63"/>
        <v/>
      </c>
      <c r="X704" s="1"/>
    </row>
    <row r="705" spans="7:24">
      <c r="G705" s="21"/>
      <c r="H705" s="23"/>
      <c r="I705" s="23" t="str">
        <f>_xlfn.IFNA(VLOOKUP(A705,A706:$H$3524,8,0),"")</f>
        <v/>
      </c>
      <c r="J705" s="40" t="str">
        <f t="shared" si="59"/>
        <v/>
      </c>
      <c r="K705" s="24" t="str">
        <f t="shared" si="60"/>
        <v/>
      </c>
      <c r="L705" s="25" t="str">
        <f t="shared" si="61"/>
        <v/>
      </c>
      <c r="M705" s="37"/>
      <c r="N705" s="37"/>
      <c r="O705" s="33" t="str">
        <f t="shared" si="62"/>
        <v/>
      </c>
      <c r="P705" s="33" t="str">
        <f t="shared" si="63"/>
        <v/>
      </c>
      <c r="X705" s="1"/>
    </row>
    <row r="706" spans="7:24">
      <c r="G706" s="21"/>
      <c r="H706" s="23"/>
      <c r="I706" s="23" t="str">
        <f>_xlfn.IFNA(VLOOKUP(A706,A707:$H$3524,8,0),"")</f>
        <v/>
      </c>
      <c r="J706" s="40" t="str">
        <f t="shared" si="59"/>
        <v/>
      </c>
      <c r="K706" s="24" t="str">
        <f t="shared" si="60"/>
        <v/>
      </c>
      <c r="L706" s="25" t="str">
        <f t="shared" si="61"/>
        <v/>
      </c>
      <c r="M706" s="37"/>
      <c r="N706" s="37"/>
      <c r="O706" s="33" t="str">
        <f t="shared" si="62"/>
        <v/>
      </c>
      <c r="P706" s="33" t="str">
        <f t="shared" si="63"/>
        <v/>
      </c>
      <c r="X706" s="1"/>
    </row>
    <row r="707" spans="7:24">
      <c r="G707" s="21"/>
      <c r="H707" s="23"/>
      <c r="I707" s="23" t="str">
        <f>_xlfn.IFNA(VLOOKUP(A707,A708:$H$3524,8,0),"")</f>
        <v/>
      </c>
      <c r="J707" s="40" t="str">
        <f t="shared" si="59"/>
        <v/>
      </c>
      <c r="K707" s="24" t="str">
        <f t="shared" si="60"/>
        <v/>
      </c>
      <c r="L707" s="25" t="str">
        <f t="shared" si="61"/>
        <v/>
      </c>
      <c r="M707" s="37"/>
      <c r="N707" s="37"/>
      <c r="O707" s="33" t="str">
        <f t="shared" si="62"/>
        <v/>
      </c>
      <c r="P707" s="33" t="str">
        <f t="shared" si="63"/>
        <v/>
      </c>
      <c r="X707" s="1"/>
    </row>
    <row r="708" spans="7:24">
      <c r="G708" s="21"/>
      <c r="H708" s="23"/>
      <c r="I708" s="23" t="str">
        <f>_xlfn.IFNA(VLOOKUP(A708,A709:$H$3524,8,0),"")</f>
        <v/>
      </c>
      <c r="J708" s="40" t="str">
        <f t="shared" si="59"/>
        <v/>
      </c>
      <c r="K708" s="24" t="str">
        <f t="shared" si="60"/>
        <v/>
      </c>
      <c r="L708" s="25" t="str">
        <f t="shared" si="61"/>
        <v/>
      </c>
      <c r="M708" s="37"/>
      <c r="N708" s="37"/>
      <c r="O708" s="33" t="str">
        <f t="shared" si="62"/>
        <v/>
      </c>
      <c r="P708" s="33" t="str">
        <f t="shared" si="63"/>
        <v/>
      </c>
      <c r="X708" s="1"/>
    </row>
    <row r="709" spans="7:24">
      <c r="G709" s="21"/>
      <c r="H709" s="23"/>
      <c r="I709" s="23" t="str">
        <f>_xlfn.IFNA(VLOOKUP(A709,A710:$H$3524,8,0),"")</f>
        <v/>
      </c>
      <c r="J709" s="40" t="str">
        <f t="shared" si="59"/>
        <v/>
      </c>
      <c r="K709" s="24" t="str">
        <f t="shared" si="60"/>
        <v/>
      </c>
      <c r="L709" s="25" t="str">
        <f t="shared" si="61"/>
        <v/>
      </c>
      <c r="M709" s="37"/>
      <c r="N709" s="37"/>
      <c r="O709" s="33" t="str">
        <f t="shared" si="62"/>
        <v/>
      </c>
      <c r="P709" s="33" t="str">
        <f t="shared" si="63"/>
        <v/>
      </c>
      <c r="X709" s="1"/>
    </row>
    <row r="710" spans="7:24">
      <c r="G710" s="21"/>
      <c r="H710" s="23"/>
      <c r="I710" s="23" t="str">
        <f>_xlfn.IFNA(VLOOKUP(A710,A711:$H$3524,8,0),"")</f>
        <v/>
      </c>
      <c r="J710" s="40" t="str">
        <f t="shared" ref="J710:J773" si="64">IF(B710="OFF",0,IF(AND(D710&lt;&gt;"",E710&lt;&gt;""),E710-D710+1,""))</f>
        <v/>
      </c>
      <c r="K710" s="24" t="str">
        <f t="shared" si="60"/>
        <v/>
      </c>
      <c r="L710" s="25" t="str">
        <f t="shared" si="61"/>
        <v/>
      </c>
      <c r="M710" s="37"/>
      <c r="N710" s="37"/>
      <c r="O710" s="33" t="str">
        <f t="shared" si="62"/>
        <v/>
      </c>
      <c r="P710" s="33" t="str">
        <f t="shared" si="63"/>
        <v/>
      </c>
      <c r="X710" s="1"/>
    </row>
    <row r="711" spans="7:24">
      <c r="G711" s="21"/>
      <c r="H711" s="23"/>
      <c r="I711" s="23" t="str">
        <f>_xlfn.IFNA(VLOOKUP(A711,A712:$H$3524,8,0),"")</f>
        <v/>
      </c>
      <c r="J711" s="40" t="str">
        <f t="shared" si="64"/>
        <v/>
      </c>
      <c r="K711" s="24" t="str">
        <f t="shared" si="60"/>
        <v/>
      </c>
      <c r="L711" s="25" t="str">
        <f t="shared" si="61"/>
        <v/>
      </c>
      <c r="M711" s="37"/>
      <c r="N711" s="37"/>
      <c r="O711" s="33" t="str">
        <f t="shared" si="62"/>
        <v/>
      </c>
      <c r="P711" s="33" t="str">
        <f t="shared" si="63"/>
        <v/>
      </c>
      <c r="X711" s="1"/>
    </row>
    <row r="712" spans="7:24">
      <c r="G712" s="21"/>
      <c r="H712" s="23"/>
      <c r="I712" s="23" t="str">
        <f>_xlfn.IFNA(VLOOKUP(A712,A713:$H$3524,8,0),"")</f>
        <v/>
      </c>
      <c r="J712" s="40" t="str">
        <f t="shared" si="64"/>
        <v/>
      </c>
      <c r="K712" s="24" t="str">
        <f t="shared" si="60"/>
        <v/>
      </c>
      <c r="L712" s="25" t="str">
        <f t="shared" si="61"/>
        <v/>
      </c>
      <c r="M712" s="37"/>
      <c r="N712" s="37"/>
      <c r="O712" s="33" t="str">
        <f t="shared" si="62"/>
        <v/>
      </c>
      <c r="P712" s="33" t="str">
        <f t="shared" si="63"/>
        <v/>
      </c>
      <c r="X712" s="1"/>
    </row>
    <row r="713" spans="7:24">
      <c r="G713" s="21"/>
      <c r="H713" s="23"/>
      <c r="I713" s="23" t="str">
        <f>_xlfn.IFNA(VLOOKUP(A713,A714:$H$3524,8,0),"")</f>
        <v/>
      </c>
      <c r="J713" s="40" t="str">
        <f t="shared" si="64"/>
        <v/>
      </c>
      <c r="K713" s="24" t="str">
        <f t="shared" si="60"/>
        <v/>
      </c>
      <c r="L713" s="25" t="str">
        <f t="shared" si="61"/>
        <v/>
      </c>
      <c r="M713" s="37"/>
      <c r="N713" s="37"/>
      <c r="O713" s="33" t="str">
        <f t="shared" si="62"/>
        <v/>
      </c>
      <c r="P713" s="33" t="str">
        <f t="shared" si="63"/>
        <v/>
      </c>
      <c r="X713" s="1"/>
    </row>
    <row r="714" spans="7:24">
      <c r="G714" s="21"/>
      <c r="H714" s="23"/>
      <c r="I714" s="23" t="str">
        <f>_xlfn.IFNA(VLOOKUP(A714,A715:$H$3524,8,0),"")</f>
        <v/>
      </c>
      <c r="J714" s="40" t="str">
        <f t="shared" si="64"/>
        <v/>
      </c>
      <c r="K714" s="24" t="str">
        <f t="shared" si="60"/>
        <v/>
      </c>
      <c r="L714" s="25" t="str">
        <f t="shared" si="61"/>
        <v/>
      </c>
      <c r="M714" s="37"/>
      <c r="N714" s="37"/>
      <c r="O714" s="33" t="str">
        <f t="shared" si="62"/>
        <v/>
      </c>
      <c r="P714" s="33" t="str">
        <f t="shared" si="63"/>
        <v/>
      </c>
      <c r="X714" s="1"/>
    </row>
    <row r="715" spans="7:24">
      <c r="G715" s="21"/>
      <c r="H715" s="23"/>
      <c r="I715" s="23" t="str">
        <f>_xlfn.IFNA(VLOOKUP(A715,A716:$H$3524,8,0),"")</f>
        <v/>
      </c>
      <c r="J715" s="40" t="str">
        <f t="shared" si="64"/>
        <v/>
      </c>
      <c r="K715" s="24" t="str">
        <f t="shared" si="60"/>
        <v/>
      </c>
      <c r="L715" s="25" t="str">
        <f t="shared" si="61"/>
        <v/>
      </c>
      <c r="M715" s="37"/>
      <c r="N715" s="37"/>
      <c r="O715" s="33" t="str">
        <f t="shared" si="62"/>
        <v/>
      </c>
      <c r="P715" s="33" t="str">
        <f t="shared" si="63"/>
        <v/>
      </c>
      <c r="X715" s="1"/>
    </row>
    <row r="716" spans="7:24">
      <c r="G716" s="21"/>
      <c r="H716" s="23"/>
      <c r="I716" s="23" t="str">
        <f>_xlfn.IFNA(VLOOKUP(A716,A717:$H$3524,8,0),"")</f>
        <v/>
      </c>
      <c r="J716" s="40" t="str">
        <f t="shared" si="64"/>
        <v/>
      </c>
      <c r="K716" s="24" t="str">
        <f t="shared" si="60"/>
        <v/>
      </c>
      <c r="L716" s="25" t="str">
        <f t="shared" si="61"/>
        <v/>
      </c>
      <c r="M716" s="37"/>
      <c r="N716" s="37"/>
      <c r="O716" s="33" t="str">
        <f t="shared" si="62"/>
        <v/>
      </c>
      <c r="P716" s="33" t="str">
        <f t="shared" si="63"/>
        <v/>
      </c>
      <c r="X716" s="1"/>
    </row>
    <row r="717" spans="7:24">
      <c r="G717" s="21"/>
      <c r="H717" s="23"/>
      <c r="I717" s="23" t="str">
        <f>_xlfn.IFNA(VLOOKUP(A717,A718:$H$3524,8,0),"")</f>
        <v/>
      </c>
      <c r="J717" s="40" t="str">
        <f t="shared" si="64"/>
        <v/>
      </c>
      <c r="K717" s="24" t="str">
        <f t="shared" si="60"/>
        <v/>
      </c>
      <c r="L717" s="25" t="str">
        <f t="shared" si="61"/>
        <v/>
      </c>
      <c r="M717" s="37"/>
      <c r="N717" s="37"/>
      <c r="O717" s="33" t="str">
        <f t="shared" si="62"/>
        <v/>
      </c>
      <c r="P717" s="33" t="str">
        <f t="shared" si="63"/>
        <v/>
      </c>
      <c r="X717" s="1"/>
    </row>
    <row r="718" spans="7:24">
      <c r="G718" s="21"/>
      <c r="H718" s="23"/>
      <c r="I718" s="23" t="str">
        <f>_xlfn.IFNA(VLOOKUP(A718,A719:$H$3524,8,0),"")</f>
        <v/>
      </c>
      <c r="J718" s="40" t="str">
        <f t="shared" si="64"/>
        <v/>
      </c>
      <c r="K718" s="24" t="str">
        <f t="shared" si="60"/>
        <v/>
      </c>
      <c r="L718" s="25" t="str">
        <f t="shared" si="61"/>
        <v/>
      </c>
      <c r="M718" s="37"/>
      <c r="N718" s="37"/>
      <c r="O718" s="33" t="str">
        <f t="shared" si="62"/>
        <v/>
      </c>
      <c r="P718" s="33" t="str">
        <f t="shared" si="63"/>
        <v/>
      </c>
      <c r="X718" s="1"/>
    </row>
    <row r="719" spans="7:24">
      <c r="G719" s="21"/>
      <c r="H719" s="23"/>
      <c r="I719" s="23" t="str">
        <f>_xlfn.IFNA(VLOOKUP(A719,A720:$H$3524,8,0),"")</f>
        <v/>
      </c>
      <c r="J719" s="40" t="str">
        <f t="shared" si="64"/>
        <v/>
      </c>
      <c r="K719" s="24" t="str">
        <f t="shared" si="60"/>
        <v/>
      </c>
      <c r="L719" s="25" t="str">
        <f t="shared" si="61"/>
        <v/>
      </c>
      <c r="M719" s="37"/>
      <c r="N719" s="37"/>
      <c r="O719" s="33" t="str">
        <f t="shared" si="62"/>
        <v/>
      </c>
      <c r="P719" s="33" t="str">
        <f t="shared" si="63"/>
        <v/>
      </c>
      <c r="X719" s="1"/>
    </row>
    <row r="720" spans="7:24">
      <c r="G720" s="21"/>
      <c r="H720" s="23"/>
      <c r="I720" s="23" t="str">
        <f>_xlfn.IFNA(VLOOKUP(A720,A721:$H$3524,8,0),"")</f>
        <v/>
      </c>
      <c r="J720" s="40" t="str">
        <f t="shared" si="64"/>
        <v/>
      </c>
      <c r="K720" s="24" t="str">
        <f t="shared" si="60"/>
        <v/>
      </c>
      <c r="L720" s="25" t="str">
        <f t="shared" si="61"/>
        <v/>
      </c>
      <c r="M720" s="37"/>
      <c r="N720" s="37"/>
      <c r="O720" s="33" t="str">
        <f t="shared" si="62"/>
        <v/>
      </c>
      <c r="P720" s="33" t="str">
        <f t="shared" si="63"/>
        <v/>
      </c>
      <c r="X720" s="1"/>
    </row>
    <row r="721" spans="7:24">
      <c r="G721" s="21"/>
      <c r="H721" s="23"/>
      <c r="I721" s="23" t="str">
        <f>_xlfn.IFNA(VLOOKUP(A721,A722:$H$3524,8,0),"")</f>
        <v/>
      </c>
      <c r="J721" s="40" t="str">
        <f t="shared" si="64"/>
        <v/>
      </c>
      <c r="K721" s="24" t="str">
        <f t="shared" si="60"/>
        <v/>
      </c>
      <c r="L721" s="25" t="str">
        <f t="shared" si="61"/>
        <v/>
      </c>
      <c r="M721" s="37"/>
      <c r="N721" s="37"/>
      <c r="O721" s="33" t="str">
        <f t="shared" si="62"/>
        <v/>
      </c>
      <c r="P721" s="33" t="str">
        <f t="shared" si="63"/>
        <v/>
      </c>
      <c r="X721" s="1"/>
    </row>
    <row r="722" spans="7:24">
      <c r="G722" s="21"/>
      <c r="H722" s="23"/>
      <c r="I722" s="23" t="str">
        <f>_xlfn.IFNA(VLOOKUP(A722,A723:$H$3524,8,0),"")</f>
        <v/>
      </c>
      <c r="J722" s="40" t="str">
        <f t="shared" si="64"/>
        <v/>
      </c>
      <c r="K722" s="24" t="str">
        <f t="shared" si="60"/>
        <v/>
      </c>
      <c r="L722" s="25" t="str">
        <f t="shared" si="61"/>
        <v/>
      </c>
      <c r="M722" s="37"/>
      <c r="N722" s="37"/>
      <c r="O722" s="33" t="str">
        <f t="shared" si="62"/>
        <v/>
      </c>
      <c r="P722" s="33" t="str">
        <f t="shared" si="63"/>
        <v/>
      </c>
      <c r="X722" s="1"/>
    </row>
    <row r="723" spans="7:24">
      <c r="G723" s="21"/>
      <c r="H723" s="23"/>
      <c r="I723" s="23" t="str">
        <f>_xlfn.IFNA(VLOOKUP(A723,A724:$H$3524,8,0),"")</f>
        <v/>
      </c>
      <c r="J723" s="40" t="str">
        <f t="shared" si="64"/>
        <v/>
      </c>
      <c r="K723" s="24" t="str">
        <f t="shared" si="60"/>
        <v/>
      </c>
      <c r="L723" s="25" t="str">
        <f t="shared" si="61"/>
        <v/>
      </c>
      <c r="M723" s="37"/>
      <c r="N723" s="37"/>
      <c r="O723" s="33" t="str">
        <f t="shared" si="62"/>
        <v/>
      </c>
      <c r="P723" s="33" t="str">
        <f t="shared" si="63"/>
        <v/>
      </c>
      <c r="X723" s="1"/>
    </row>
    <row r="724" spans="7:24">
      <c r="G724" s="21"/>
      <c r="H724" s="23"/>
      <c r="I724" s="23" t="str">
        <f>_xlfn.IFNA(VLOOKUP(A724,A725:$H$3524,8,0),"")</f>
        <v/>
      </c>
      <c r="J724" s="40" t="str">
        <f t="shared" si="64"/>
        <v/>
      </c>
      <c r="K724" s="24" t="str">
        <f t="shared" si="60"/>
        <v/>
      </c>
      <c r="L724" s="25" t="str">
        <f t="shared" si="61"/>
        <v/>
      </c>
      <c r="M724" s="37"/>
      <c r="N724" s="37"/>
      <c r="O724" s="33" t="str">
        <f t="shared" si="62"/>
        <v/>
      </c>
      <c r="P724" s="33" t="str">
        <f t="shared" si="63"/>
        <v/>
      </c>
      <c r="X724" s="1"/>
    </row>
    <row r="725" spans="7:24">
      <c r="G725" s="21"/>
      <c r="H725" s="23"/>
      <c r="I725" s="23" t="str">
        <f>_xlfn.IFNA(VLOOKUP(A725,A726:$H$3524,8,0),"")</f>
        <v/>
      </c>
      <c r="J725" s="40" t="str">
        <f t="shared" si="64"/>
        <v/>
      </c>
      <c r="K725" s="24" t="str">
        <f t="shared" si="60"/>
        <v/>
      </c>
      <c r="L725" s="25" t="str">
        <f t="shared" si="61"/>
        <v/>
      </c>
      <c r="M725" s="37"/>
      <c r="N725" s="37"/>
      <c r="O725" s="33" t="str">
        <f t="shared" si="62"/>
        <v/>
      </c>
      <c r="P725" s="33" t="str">
        <f t="shared" si="63"/>
        <v/>
      </c>
      <c r="X725" s="1"/>
    </row>
    <row r="726" spans="7:24">
      <c r="G726" s="21"/>
      <c r="H726" s="23"/>
      <c r="I726" s="23" t="str">
        <f>_xlfn.IFNA(VLOOKUP(A726,A727:$H$3524,8,0),"")</f>
        <v/>
      </c>
      <c r="J726" s="40" t="str">
        <f t="shared" si="64"/>
        <v/>
      </c>
      <c r="K726" s="24" t="str">
        <f t="shared" ref="K726:K789" si="65">IF(H726="","",IFERROR((I726-H726)*24,0))</f>
        <v/>
      </c>
      <c r="L726" s="25" t="str">
        <f t="shared" si="61"/>
        <v/>
      </c>
      <c r="M726" s="37"/>
      <c r="N726" s="37"/>
      <c r="O726" s="33" t="str">
        <f t="shared" si="62"/>
        <v/>
      </c>
      <c r="P726" s="33" t="str">
        <f t="shared" si="63"/>
        <v/>
      </c>
      <c r="X726" s="1"/>
    </row>
    <row r="727" spans="7:24">
      <c r="G727" s="21"/>
      <c r="H727" s="23"/>
      <c r="I727" s="23" t="str">
        <f>_xlfn.IFNA(VLOOKUP(A727,A728:$H$3524,8,0),"")</f>
        <v/>
      </c>
      <c r="J727" s="40" t="str">
        <f t="shared" si="64"/>
        <v/>
      </c>
      <c r="K727" s="24" t="str">
        <f t="shared" si="65"/>
        <v/>
      </c>
      <c r="L727" s="25" t="str">
        <f t="shared" si="61"/>
        <v/>
      </c>
      <c r="M727" s="37"/>
      <c r="N727" s="37"/>
      <c r="O727" s="33" t="str">
        <f t="shared" si="62"/>
        <v/>
      </c>
      <c r="P727" s="33" t="str">
        <f t="shared" si="63"/>
        <v/>
      </c>
      <c r="X727" s="1"/>
    </row>
    <row r="728" spans="7:24">
      <c r="G728" s="21"/>
      <c r="H728" s="23"/>
      <c r="I728" s="23" t="str">
        <f>_xlfn.IFNA(VLOOKUP(A728,A729:$H$3524,8,0),"")</f>
        <v/>
      </c>
      <c r="J728" s="40" t="str">
        <f t="shared" si="64"/>
        <v/>
      </c>
      <c r="K728" s="24" t="str">
        <f t="shared" si="65"/>
        <v/>
      </c>
      <c r="L728" s="25" t="str">
        <f t="shared" si="61"/>
        <v/>
      </c>
      <c r="M728" s="37"/>
      <c r="N728" s="37"/>
      <c r="O728" s="33" t="str">
        <f t="shared" si="62"/>
        <v/>
      </c>
      <c r="P728" s="33" t="str">
        <f t="shared" si="63"/>
        <v/>
      </c>
      <c r="X728" s="1"/>
    </row>
    <row r="729" spans="7:24">
      <c r="G729" s="21"/>
      <c r="H729" s="23"/>
      <c r="I729" s="23" t="str">
        <f>_xlfn.IFNA(VLOOKUP(A729,A730:$H$3524,8,0),"")</f>
        <v/>
      </c>
      <c r="J729" s="40" t="str">
        <f t="shared" si="64"/>
        <v/>
      </c>
      <c r="K729" s="24" t="str">
        <f t="shared" si="65"/>
        <v/>
      </c>
      <c r="L729" s="25" t="str">
        <f t="shared" si="61"/>
        <v/>
      </c>
      <c r="M729" s="37"/>
      <c r="N729" s="37"/>
      <c r="O729" s="33" t="str">
        <f t="shared" si="62"/>
        <v/>
      </c>
      <c r="P729" s="33" t="str">
        <f t="shared" si="63"/>
        <v/>
      </c>
      <c r="X729" s="1"/>
    </row>
    <row r="730" spans="7:24">
      <c r="G730" s="21"/>
      <c r="H730" s="23"/>
      <c r="I730" s="23" t="str">
        <f>_xlfn.IFNA(VLOOKUP(A730,A731:$H$3524,8,0),"")</f>
        <v/>
      </c>
      <c r="J730" s="40" t="str">
        <f t="shared" si="64"/>
        <v/>
      </c>
      <c r="K730" s="24" t="str">
        <f t="shared" si="65"/>
        <v/>
      </c>
      <c r="L730" s="25" t="str">
        <f t="shared" si="61"/>
        <v/>
      </c>
      <c r="M730" s="37"/>
      <c r="N730" s="37"/>
      <c r="O730" s="33" t="str">
        <f t="shared" si="62"/>
        <v/>
      </c>
      <c r="P730" s="33" t="str">
        <f t="shared" si="63"/>
        <v/>
      </c>
      <c r="X730" s="1"/>
    </row>
    <row r="731" spans="7:24">
      <c r="G731" s="21"/>
      <c r="H731" s="23"/>
      <c r="I731" s="23" t="str">
        <f>_xlfn.IFNA(VLOOKUP(A731,A732:$H$3524,8,0),"")</f>
        <v/>
      </c>
      <c r="J731" s="40" t="str">
        <f t="shared" si="64"/>
        <v/>
      </c>
      <c r="K731" s="24" t="str">
        <f t="shared" si="65"/>
        <v/>
      </c>
      <c r="L731" s="25" t="str">
        <f t="shared" si="61"/>
        <v/>
      </c>
      <c r="M731" s="37"/>
      <c r="N731" s="37"/>
      <c r="O731" s="33" t="str">
        <f t="shared" si="62"/>
        <v/>
      </c>
      <c r="P731" s="33" t="str">
        <f t="shared" si="63"/>
        <v/>
      </c>
      <c r="X731" s="1"/>
    </row>
    <row r="732" spans="7:24">
      <c r="G732" s="21"/>
      <c r="H732" s="23"/>
      <c r="I732" s="23" t="str">
        <f>_xlfn.IFNA(VLOOKUP(A732,A733:$H$3524,8,0),"")</f>
        <v/>
      </c>
      <c r="J732" s="40" t="str">
        <f t="shared" si="64"/>
        <v/>
      </c>
      <c r="K732" s="24" t="str">
        <f t="shared" si="65"/>
        <v/>
      </c>
      <c r="L732" s="25" t="str">
        <f t="shared" si="61"/>
        <v/>
      </c>
      <c r="M732" s="37"/>
      <c r="N732" s="37"/>
      <c r="O732" s="33" t="str">
        <f t="shared" si="62"/>
        <v/>
      </c>
      <c r="P732" s="33" t="str">
        <f t="shared" si="63"/>
        <v/>
      </c>
      <c r="X732" s="1"/>
    </row>
    <row r="733" spans="7:24">
      <c r="G733" s="21"/>
      <c r="H733" s="23"/>
      <c r="I733" s="23" t="str">
        <f>_xlfn.IFNA(VLOOKUP(A733,A734:$H$3524,8,0),"")</f>
        <v/>
      </c>
      <c r="J733" s="40" t="str">
        <f t="shared" si="64"/>
        <v/>
      </c>
      <c r="K733" s="24" t="str">
        <f t="shared" si="65"/>
        <v/>
      </c>
      <c r="L733" s="25" t="str">
        <f t="shared" si="61"/>
        <v/>
      </c>
      <c r="M733" s="37"/>
      <c r="N733" s="37"/>
      <c r="O733" s="33" t="str">
        <f t="shared" si="62"/>
        <v/>
      </c>
      <c r="P733" s="33" t="str">
        <f t="shared" si="63"/>
        <v/>
      </c>
      <c r="X733" s="1"/>
    </row>
    <row r="734" spans="7:24">
      <c r="G734" s="21"/>
      <c r="H734" s="23"/>
      <c r="I734" s="23" t="str">
        <f>_xlfn.IFNA(VLOOKUP(A734,A735:$H$3524,8,0),"")</f>
        <v/>
      </c>
      <c r="J734" s="40" t="str">
        <f t="shared" si="64"/>
        <v/>
      </c>
      <c r="K734" s="24" t="str">
        <f t="shared" si="65"/>
        <v/>
      </c>
      <c r="L734" s="25" t="str">
        <f t="shared" si="61"/>
        <v/>
      </c>
      <c r="M734" s="37"/>
      <c r="N734" s="37"/>
      <c r="O734" s="33" t="str">
        <f t="shared" si="62"/>
        <v/>
      </c>
      <c r="P734" s="33" t="str">
        <f t="shared" si="63"/>
        <v/>
      </c>
      <c r="X734" s="1"/>
    </row>
    <row r="735" spans="7:24">
      <c r="G735" s="21"/>
      <c r="H735" s="23"/>
      <c r="I735" s="23" t="str">
        <f>_xlfn.IFNA(VLOOKUP(A735,A736:$H$3524,8,0),"")</f>
        <v/>
      </c>
      <c r="J735" s="40" t="str">
        <f t="shared" si="64"/>
        <v/>
      </c>
      <c r="K735" s="24" t="str">
        <f t="shared" si="65"/>
        <v/>
      </c>
      <c r="L735" s="25" t="str">
        <f t="shared" si="61"/>
        <v/>
      </c>
      <c r="M735" s="37"/>
      <c r="N735" s="37"/>
      <c r="O735" s="33" t="str">
        <f t="shared" si="62"/>
        <v/>
      </c>
      <c r="P735" s="33" t="str">
        <f t="shared" si="63"/>
        <v/>
      </c>
      <c r="X735" s="1"/>
    </row>
    <row r="736" spans="7:24">
      <c r="G736" s="21"/>
      <c r="H736" s="23"/>
      <c r="I736" s="23" t="str">
        <f>_xlfn.IFNA(VLOOKUP(A736,A737:$H$3524,8,0),"")</f>
        <v/>
      </c>
      <c r="J736" s="40" t="str">
        <f t="shared" si="64"/>
        <v/>
      </c>
      <c r="K736" s="24" t="str">
        <f t="shared" si="65"/>
        <v/>
      </c>
      <c r="L736" s="25" t="str">
        <f t="shared" si="61"/>
        <v/>
      </c>
      <c r="M736" s="37"/>
      <c r="N736" s="37"/>
      <c r="O736" s="33" t="str">
        <f t="shared" si="62"/>
        <v/>
      </c>
      <c r="P736" s="33" t="str">
        <f t="shared" si="63"/>
        <v/>
      </c>
      <c r="X736" s="1"/>
    </row>
    <row r="737" spans="7:24">
      <c r="G737" s="21"/>
      <c r="H737" s="23"/>
      <c r="I737" s="23" t="str">
        <f>_xlfn.IFNA(VLOOKUP(A737,A738:$H$3524,8,0),"")</f>
        <v/>
      </c>
      <c r="J737" s="40" t="str">
        <f t="shared" si="64"/>
        <v/>
      </c>
      <c r="K737" s="24" t="str">
        <f t="shared" si="65"/>
        <v/>
      </c>
      <c r="L737" s="25" t="str">
        <f t="shared" si="61"/>
        <v/>
      </c>
      <c r="M737" s="37"/>
      <c r="N737" s="37"/>
      <c r="O737" s="33" t="str">
        <f t="shared" si="62"/>
        <v/>
      </c>
      <c r="P737" s="33" t="str">
        <f t="shared" si="63"/>
        <v/>
      </c>
      <c r="X737" s="1"/>
    </row>
    <row r="738" spans="7:24">
      <c r="G738" s="21"/>
      <c r="H738" s="23"/>
      <c r="I738" s="23" t="str">
        <f>_xlfn.IFNA(VLOOKUP(A738,A739:$H$3524,8,0),"")</f>
        <v/>
      </c>
      <c r="J738" s="40" t="str">
        <f t="shared" si="64"/>
        <v/>
      </c>
      <c r="K738" s="24" t="str">
        <f t="shared" si="65"/>
        <v/>
      </c>
      <c r="L738" s="25" t="str">
        <f t="shared" si="61"/>
        <v/>
      </c>
      <c r="M738" s="37"/>
      <c r="N738" s="37"/>
      <c r="O738" s="33" t="str">
        <f t="shared" si="62"/>
        <v/>
      </c>
      <c r="P738" s="33" t="str">
        <f t="shared" si="63"/>
        <v/>
      </c>
      <c r="X738" s="1"/>
    </row>
    <row r="739" spans="7:24">
      <c r="G739" s="21"/>
      <c r="H739" s="23"/>
      <c r="I739" s="23" t="str">
        <f>_xlfn.IFNA(VLOOKUP(A739,A740:$H$3524,8,0),"")</f>
        <v/>
      </c>
      <c r="J739" s="40" t="str">
        <f t="shared" si="64"/>
        <v/>
      </c>
      <c r="K739" s="24" t="str">
        <f t="shared" si="65"/>
        <v/>
      </c>
      <c r="L739" s="25" t="str">
        <f t="shared" si="61"/>
        <v/>
      </c>
      <c r="M739" s="37"/>
      <c r="N739" s="37"/>
      <c r="O739" s="33" t="str">
        <f t="shared" si="62"/>
        <v/>
      </c>
      <c r="P739" s="33" t="str">
        <f t="shared" si="63"/>
        <v/>
      </c>
      <c r="X739" s="1"/>
    </row>
    <row r="740" spans="7:24">
      <c r="G740" s="21"/>
      <c r="H740" s="23"/>
      <c r="I740" s="23" t="str">
        <f>_xlfn.IFNA(VLOOKUP(A740,A741:$H$3524,8,0),"")</f>
        <v/>
      </c>
      <c r="J740" s="40" t="str">
        <f t="shared" si="64"/>
        <v/>
      </c>
      <c r="K740" s="24" t="str">
        <f t="shared" si="65"/>
        <v/>
      </c>
      <c r="L740" s="25" t="str">
        <f t="shared" si="61"/>
        <v/>
      </c>
      <c r="M740" s="37"/>
      <c r="N740" s="37"/>
      <c r="O740" s="33" t="str">
        <f t="shared" si="62"/>
        <v/>
      </c>
      <c r="P740" s="33" t="str">
        <f t="shared" si="63"/>
        <v/>
      </c>
      <c r="X740" s="1"/>
    </row>
    <row r="741" spans="7:24">
      <c r="G741" s="21"/>
      <c r="H741" s="23"/>
      <c r="I741" s="23" t="str">
        <f>_xlfn.IFNA(VLOOKUP(A741,A742:$H$3524,8,0),"")</f>
        <v/>
      </c>
      <c r="J741" s="40" t="str">
        <f t="shared" si="64"/>
        <v/>
      </c>
      <c r="K741" s="24" t="str">
        <f t="shared" si="65"/>
        <v/>
      </c>
      <c r="L741" s="25" t="str">
        <f t="shared" si="61"/>
        <v/>
      </c>
      <c r="M741" s="37"/>
      <c r="N741" s="37"/>
      <c r="O741" s="33" t="str">
        <f t="shared" si="62"/>
        <v/>
      </c>
      <c r="P741" s="33" t="str">
        <f t="shared" si="63"/>
        <v/>
      </c>
      <c r="X741" s="1"/>
    </row>
    <row r="742" spans="7:24">
      <c r="G742" s="21"/>
      <c r="H742" s="23"/>
      <c r="I742" s="23" t="str">
        <f>_xlfn.IFNA(VLOOKUP(A742,A743:$H$3524,8,0),"")</f>
        <v/>
      </c>
      <c r="J742" s="40" t="str">
        <f t="shared" si="64"/>
        <v/>
      </c>
      <c r="K742" s="24" t="str">
        <f t="shared" si="65"/>
        <v/>
      </c>
      <c r="L742" s="25" t="str">
        <f t="shared" si="61"/>
        <v/>
      </c>
      <c r="M742" s="37"/>
      <c r="N742" s="37"/>
      <c r="O742" s="33" t="str">
        <f t="shared" si="62"/>
        <v/>
      </c>
      <c r="P742" s="33" t="str">
        <f t="shared" si="63"/>
        <v/>
      </c>
      <c r="X742" s="1"/>
    </row>
    <row r="743" spans="7:24">
      <c r="G743" s="21"/>
      <c r="H743" s="23"/>
      <c r="I743" s="23" t="str">
        <f>_xlfn.IFNA(VLOOKUP(A743,A744:$H$3524,8,0),"")</f>
        <v/>
      </c>
      <c r="J743" s="40" t="str">
        <f t="shared" si="64"/>
        <v/>
      </c>
      <c r="K743" s="24" t="str">
        <f t="shared" si="65"/>
        <v/>
      </c>
      <c r="L743" s="25" t="str">
        <f t="shared" si="61"/>
        <v/>
      </c>
      <c r="M743" s="37"/>
      <c r="N743" s="37"/>
      <c r="O743" s="33" t="str">
        <f t="shared" si="62"/>
        <v/>
      </c>
      <c r="P743" s="33" t="str">
        <f t="shared" si="63"/>
        <v/>
      </c>
      <c r="X743" s="1"/>
    </row>
    <row r="744" spans="7:24">
      <c r="G744" s="21"/>
      <c r="H744" s="23"/>
      <c r="I744" s="23" t="str">
        <f>_xlfn.IFNA(VLOOKUP(A744,A745:$H$3524,8,0),"")</f>
        <v/>
      </c>
      <c r="J744" s="40" t="str">
        <f t="shared" si="64"/>
        <v/>
      </c>
      <c r="K744" s="24" t="str">
        <f t="shared" si="65"/>
        <v/>
      </c>
      <c r="L744" s="25" t="str">
        <f t="shared" si="61"/>
        <v/>
      </c>
      <c r="M744" s="37"/>
      <c r="N744" s="37"/>
      <c r="O744" s="33" t="str">
        <f t="shared" si="62"/>
        <v/>
      </c>
      <c r="P744" s="33" t="str">
        <f t="shared" si="63"/>
        <v/>
      </c>
      <c r="X744" s="1"/>
    </row>
    <row r="745" spans="7:24">
      <c r="G745" s="21"/>
      <c r="H745" s="23"/>
      <c r="I745" s="23" t="str">
        <f>_xlfn.IFNA(VLOOKUP(A745,A746:$H$3524,8,0),"")</f>
        <v/>
      </c>
      <c r="J745" s="40" t="str">
        <f t="shared" si="64"/>
        <v/>
      </c>
      <c r="K745" s="24" t="str">
        <f t="shared" si="65"/>
        <v/>
      </c>
      <c r="L745" s="25" t="str">
        <f t="shared" si="61"/>
        <v/>
      </c>
      <c r="M745" s="37"/>
      <c r="N745" s="37"/>
      <c r="O745" s="33" t="str">
        <f t="shared" si="62"/>
        <v/>
      </c>
      <c r="P745" s="33" t="str">
        <f t="shared" si="63"/>
        <v/>
      </c>
      <c r="X745" s="1"/>
    </row>
    <row r="746" spans="7:24">
      <c r="G746" s="21"/>
      <c r="H746" s="23"/>
      <c r="I746" s="23" t="str">
        <f>_xlfn.IFNA(VLOOKUP(A746,A747:$H$3524,8,0),"")</f>
        <v/>
      </c>
      <c r="J746" s="40" t="str">
        <f t="shared" si="64"/>
        <v/>
      </c>
      <c r="K746" s="24" t="str">
        <f t="shared" si="65"/>
        <v/>
      </c>
      <c r="L746" s="25" t="str">
        <f t="shared" si="61"/>
        <v/>
      </c>
      <c r="M746" s="37"/>
      <c r="N746" s="37"/>
      <c r="O746" s="33" t="str">
        <f t="shared" si="62"/>
        <v/>
      </c>
      <c r="P746" s="33" t="str">
        <f t="shared" si="63"/>
        <v/>
      </c>
      <c r="X746" s="1"/>
    </row>
    <row r="747" spans="7:24">
      <c r="G747" s="21"/>
      <c r="H747" s="23"/>
      <c r="I747" s="23" t="str">
        <f>_xlfn.IFNA(VLOOKUP(A747,A748:$H$3524,8,0),"")</f>
        <v/>
      </c>
      <c r="J747" s="40" t="str">
        <f t="shared" si="64"/>
        <v/>
      </c>
      <c r="K747" s="24" t="str">
        <f t="shared" si="65"/>
        <v/>
      </c>
      <c r="L747" s="25" t="str">
        <f t="shared" si="61"/>
        <v/>
      </c>
      <c r="M747" s="37"/>
      <c r="N747" s="37"/>
      <c r="O747" s="33" t="str">
        <f t="shared" si="62"/>
        <v/>
      </c>
      <c r="P747" s="33" t="str">
        <f t="shared" si="63"/>
        <v/>
      </c>
      <c r="X747" s="1"/>
    </row>
    <row r="748" spans="7:24">
      <c r="G748" s="21"/>
      <c r="H748" s="23"/>
      <c r="I748" s="23" t="str">
        <f>_xlfn.IFNA(VLOOKUP(A748,A749:$H$3524,8,0),"")</f>
        <v/>
      </c>
      <c r="J748" s="40" t="str">
        <f t="shared" si="64"/>
        <v/>
      </c>
      <c r="K748" s="24" t="str">
        <f t="shared" si="65"/>
        <v/>
      </c>
      <c r="L748" s="25" t="str">
        <f t="shared" si="61"/>
        <v/>
      </c>
      <c r="M748" s="37"/>
      <c r="N748" s="37"/>
      <c r="O748" s="33" t="str">
        <f t="shared" si="62"/>
        <v/>
      </c>
      <c r="P748" s="33" t="str">
        <f t="shared" si="63"/>
        <v/>
      </c>
      <c r="X748" s="1"/>
    </row>
    <row r="749" spans="7:24">
      <c r="G749" s="21"/>
      <c r="H749" s="23"/>
      <c r="I749" s="23" t="str">
        <f>_xlfn.IFNA(VLOOKUP(A749,A750:$H$3524,8,0),"")</f>
        <v/>
      </c>
      <c r="J749" s="40" t="str">
        <f t="shared" si="64"/>
        <v/>
      </c>
      <c r="K749" s="24" t="str">
        <f t="shared" si="65"/>
        <v/>
      </c>
      <c r="L749" s="25" t="str">
        <f t="shared" si="61"/>
        <v/>
      </c>
      <c r="M749" s="37"/>
      <c r="N749" s="37"/>
      <c r="O749" s="33" t="str">
        <f t="shared" si="62"/>
        <v/>
      </c>
      <c r="P749" s="33" t="str">
        <f t="shared" si="63"/>
        <v/>
      </c>
      <c r="X749" s="1"/>
    </row>
    <row r="750" spans="7:24">
      <c r="G750" s="21"/>
      <c r="H750" s="23"/>
      <c r="I750" s="23" t="str">
        <f>_xlfn.IFNA(VLOOKUP(A750,A751:$H$3524,8,0),"")</f>
        <v/>
      </c>
      <c r="J750" s="40" t="str">
        <f t="shared" si="64"/>
        <v/>
      </c>
      <c r="K750" s="24" t="str">
        <f t="shared" si="65"/>
        <v/>
      </c>
      <c r="L750" s="25" t="str">
        <f t="shared" si="61"/>
        <v/>
      </c>
      <c r="M750" s="37"/>
      <c r="N750" s="37"/>
      <c r="O750" s="33" t="str">
        <f t="shared" si="62"/>
        <v/>
      </c>
      <c r="P750" s="33" t="str">
        <f t="shared" si="63"/>
        <v/>
      </c>
      <c r="X750" s="1"/>
    </row>
    <row r="751" spans="7:24">
      <c r="G751" s="21"/>
      <c r="H751" s="23"/>
      <c r="I751" s="23" t="str">
        <f>_xlfn.IFNA(VLOOKUP(A751,A752:$H$3524,8,0),"")</f>
        <v/>
      </c>
      <c r="J751" s="40" t="str">
        <f t="shared" si="64"/>
        <v/>
      </c>
      <c r="K751" s="24" t="str">
        <f t="shared" si="65"/>
        <v/>
      </c>
      <c r="L751" s="25" t="str">
        <f t="shared" si="61"/>
        <v/>
      </c>
      <c r="M751" s="37"/>
      <c r="N751" s="37"/>
      <c r="O751" s="33" t="str">
        <f t="shared" si="62"/>
        <v/>
      </c>
      <c r="P751" s="33" t="str">
        <f t="shared" si="63"/>
        <v/>
      </c>
      <c r="X751" s="1"/>
    </row>
    <row r="752" spans="7:24">
      <c r="G752" s="21"/>
      <c r="H752" s="23"/>
      <c r="I752" s="23" t="str">
        <f>_xlfn.IFNA(VLOOKUP(A752,A753:$H$3524,8,0),"")</f>
        <v/>
      </c>
      <c r="J752" s="40" t="str">
        <f t="shared" si="64"/>
        <v/>
      </c>
      <c r="K752" s="24" t="str">
        <f t="shared" si="65"/>
        <v/>
      </c>
      <c r="L752" s="25" t="str">
        <f t="shared" si="61"/>
        <v/>
      </c>
      <c r="M752" s="37"/>
      <c r="N752" s="37"/>
      <c r="O752" s="33" t="str">
        <f t="shared" si="62"/>
        <v/>
      </c>
      <c r="P752" s="33" t="str">
        <f t="shared" si="63"/>
        <v/>
      </c>
      <c r="X752" s="1"/>
    </row>
    <row r="753" spans="7:24">
      <c r="G753" s="21"/>
      <c r="H753" s="23"/>
      <c r="I753" s="23" t="str">
        <f>_xlfn.IFNA(VLOOKUP(A753,A754:$H$3524,8,0),"")</f>
        <v/>
      </c>
      <c r="J753" s="40" t="str">
        <f t="shared" si="64"/>
        <v/>
      </c>
      <c r="K753" s="24" t="str">
        <f t="shared" si="65"/>
        <v/>
      </c>
      <c r="L753" s="25" t="str">
        <f t="shared" si="61"/>
        <v/>
      </c>
      <c r="M753" s="37"/>
      <c r="N753" s="37"/>
      <c r="O753" s="33" t="str">
        <f t="shared" si="62"/>
        <v/>
      </c>
      <c r="P753" s="33" t="str">
        <f t="shared" si="63"/>
        <v/>
      </c>
      <c r="X753" s="1"/>
    </row>
    <row r="754" spans="7:24">
      <c r="G754" s="21"/>
      <c r="H754" s="23"/>
      <c r="I754" s="23" t="str">
        <f>_xlfn.IFNA(VLOOKUP(A754,A755:$H$3524,8,0),"")</f>
        <v/>
      </c>
      <c r="J754" s="40" t="str">
        <f t="shared" si="64"/>
        <v/>
      </c>
      <c r="K754" s="24" t="str">
        <f t="shared" si="65"/>
        <v/>
      </c>
      <c r="L754" s="25" t="str">
        <f t="shared" si="61"/>
        <v/>
      </c>
      <c r="M754" s="37"/>
      <c r="N754" s="37"/>
      <c r="O754" s="33" t="str">
        <f t="shared" si="62"/>
        <v/>
      </c>
      <c r="P754" s="33" t="str">
        <f t="shared" si="63"/>
        <v/>
      </c>
      <c r="X754" s="1"/>
    </row>
    <row r="755" spans="7:24">
      <c r="G755" s="21"/>
      <c r="H755" s="23"/>
      <c r="I755" s="23" t="str">
        <f>_xlfn.IFNA(VLOOKUP(A755,A756:$H$3524,8,0),"")</f>
        <v/>
      </c>
      <c r="J755" s="40" t="str">
        <f t="shared" si="64"/>
        <v/>
      </c>
      <c r="K755" s="24" t="str">
        <f t="shared" si="65"/>
        <v/>
      </c>
      <c r="L755" s="25" t="str">
        <f t="shared" si="61"/>
        <v/>
      </c>
      <c r="M755" s="37"/>
      <c r="N755" s="37"/>
      <c r="O755" s="33" t="str">
        <f t="shared" si="62"/>
        <v/>
      </c>
      <c r="P755" s="33" t="str">
        <f t="shared" si="63"/>
        <v/>
      </c>
      <c r="X755" s="1"/>
    </row>
    <row r="756" spans="7:24">
      <c r="G756" s="21"/>
      <c r="H756" s="23"/>
      <c r="I756" s="23" t="str">
        <f>_xlfn.IFNA(VLOOKUP(A756,A757:$H$3524,8,0),"")</f>
        <v/>
      </c>
      <c r="J756" s="40" t="str">
        <f t="shared" si="64"/>
        <v/>
      </c>
      <c r="K756" s="24" t="str">
        <f t="shared" si="65"/>
        <v/>
      </c>
      <c r="L756" s="25" t="str">
        <f t="shared" si="61"/>
        <v/>
      </c>
      <c r="M756" s="37"/>
      <c r="N756" s="37"/>
      <c r="O756" s="33" t="str">
        <f t="shared" si="62"/>
        <v/>
      </c>
      <c r="P756" s="33" t="str">
        <f t="shared" si="63"/>
        <v/>
      </c>
      <c r="X756" s="1"/>
    </row>
    <row r="757" spans="7:24">
      <c r="G757" s="21"/>
      <c r="H757" s="23"/>
      <c r="I757" s="23" t="str">
        <f>_xlfn.IFNA(VLOOKUP(A757,A758:$H$3524,8,0),"")</f>
        <v/>
      </c>
      <c r="J757" s="40" t="str">
        <f t="shared" si="64"/>
        <v/>
      </c>
      <c r="K757" s="24" t="str">
        <f t="shared" si="65"/>
        <v/>
      </c>
      <c r="L757" s="25" t="str">
        <f t="shared" si="61"/>
        <v/>
      </c>
      <c r="M757" s="37"/>
      <c r="N757" s="37"/>
      <c r="O757" s="33" t="str">
        <f t="shared" si="62"/>
        <v/>
      </c>
      <c r="P757" s="33" t="str">
        <f t="shared" si="63"/>
        <v/>
      </c>
      <c r="X757" s="1"/>
    </row>
    <row r="758" spans="7:24">
      <c r="G758" s="21"/>
      <c r="H758" s="23"/>
      <c r="I758" s="23" t="str">
        <f>_xlfn.IFNA(VLOOKUP(A758,A759:$H$3524,8,0),"")</f>
        <v/>
      </c>
      <c r="J758" s="40" t="str">
        <f t="shared" si="64"/>
        <v/>
      </c>
      <c r="K758" s="24" t="str">
        <f t="shared" si="65"/>
        <v/>
      </c>
      <c r="L758" s="25" t="str">
        <f t="shared" si="61"/>
        <v/>
      </c>
      <c r="M758" s="37"/>
      <c r="N758" s="37"/>
      <c r="O758" s="33" t="str">
        <f t="shared" si="62"/>
        <v/>
      </c>
      <c r="P758" s="33" t="str">
        <f t="shared" si="63"/>
        <v/>
      </c>
      <c r="X758" s="1"/>
    </row>
    <row r="759" spans="7:24">
      <c r="G759" s="21"/>
      <c r="H759" s="23"/>
      <c r="I759" s="23" t="str">
        <f>_xlfn.IFNA(VLOOKUP(A759,A760:$H$3524,8,0),"")</f>
        <v/>
      </c>
      <c r="J759" s="40" t="str">
        <f t="shared" si="64"/>
        <v/>
      </c>
      <c r="K759" s="24" t="str">
        <f t="shared" si="65"/>
        <v/>
      </c>
      <c r="L759" s="25" t="str">
        <f t="shared" ref="L759:L822" si="66">IF(K759="","",IF(B759="Break","Break",IF(K759&lt;&gt;0,"Work Finished",IF(B759="OFF","Work Finished",IF(I759="","Working","Work Finished")))))</f>
        <v/>
      </c>
      <c r="M759" s="37"/>
      <c r="N759" s="37"/>
      <c r="O759" s="33" t="str">
        <f t="shared" ref="O759:O822" si="67">IF(AND(J759="",M759="",N759=""),"",J759-M759-N759)</f>
        <v/>
      </c>
      <c r="P759" s="33" t="str">
        <f t="shared" ref="P759:P822" si="68">IF(HOUR(H759)=0,"",HOUR(H759))</f>
        <v/>
      </c>
      <c r="X759" s="1"/>
    </row>
    <row r="760" spans="7:24">
      <c r="G760" s="21"/>
      <c r="H760" s="23"/>
      <c r="I760" s="23" t="str">
        <f>_xlfn.IFNA(VLOOKUP(A760,A761:$H$3524,8,0),"")</f>
        <v/>
      </c>
      <c r="J760" s="40" t="str">
        <f t="shared" si="64"/>
        <v/>
      </c>
      <c r="K760" s="24" t="str">
        <f t="shared" si="65"/>
        <v/>
      </c>
      <c r="L760" s="25" t="str">
        <f t="shared" si="66"/>
        <v/>
      </c>
      <c r="M760" s="37"/>
      <c r="N760" s="37"/>
      <c r="O760" s="33" t="str">
        <f t="shared" si="67"/>
        <v/>
      </c>
      <c r="P760" s="33" t="str">
        <f t="shared" si="68"/>
        <v/>
      </c>
      <c r="X760" s="1"/>
    </row>
    <row r="761" spans="7:24">
      <c r="G761" s="21"/>
      <c r="H761" s="23"/>
      <c r="I761" s="23" t="str">
        <f>_xlfn.IFNA(VLOOKUP(A761,A762:$H$3524,8,0),"")</f>
        <v/>
      </c>
      <c r="J761" s="40" t="str">
        <f t="shared" si="64"/>
        <v/>
      </c>
      <c r="K761" s="24" t="str">
        <f t="shared" si="65"/>
        <v/>
      </c>
      <c r="L761" s="25" t="str">
        <f t="shared" si="66"/>
        <v/>
      </c>
      <c r="M761" s="37"/>
      <c r="N761" s="37"/>
      <c r="O761" s="33" t="str">
        <f t="shared" si="67"/>
        <v/>
      </c>
      <c r="P761" s="33" t="str">
        <f t="shared" si="68"/>
        <v/>
      </c>
      <c r="X761" s="1"/>
    </row>
    <row r="762" spans="7:24">
      <c r="G762" s="21"/>
      <c r="H762" s="23"/>
      <c r="I762" s="23" t="str">
        <f>_xlfn.IFNA(VLOOKUP(A762,A763:$H$3524,8,0),"")</f>
        <v/>
      </c>
      <c r="J762" s="40" t="str">
        <f t="shared" si="64"/>
        <v/>
      </c>
      <c r="K762" s="24" t="str">
        <f t="shared" si="65"/>
        <v/>
      </c>
      <c r="L762" s="25" t="str">
        <f t="shared" si="66"/>
        <v/>
      </c>
      <c r="M762" s="37"/>
      <c r="N762" s="37"/>
      <c r="O762" s="33" t="str">
        <f t="shared" si="67"/>
        <v/>
      </c>
      <c r="P762" s="33" t="str">
        <f t="shared" si="68"/>
        <v/>
      </c>
      <c r="X762" s="1"/>
    </row>
    <row r="763" spans="7:24">
      <c r="G763" s="21"/>
      <c r="H763" s="23"/>
      <c r="I763" s="23" t="str">
        <f>_xlfn.IFNA(VLOOKUP(A763,A764:$H$3524,8,0),"")</f>
        <v/>
      </c>
      <c r="J763" s="40" t="str">
        <f t="shared" si="64"/>
        <v/>
      </c>
      <c r="K763" s="24" t="str">
        <f t="shared" si="65"/>
        <v/>
      </c>
      <c r="L763" s="25" t="str">
        <f t="shared" si="66"/>
        <v/>
      </c>
      <c r="M763" s="37"/>
      <c r="N763" s="37"/>
      <c r="O763" s="33" t="str">
        <f t="shared" si="67"/>
        <v/>
      </c>
      <c r="P763" s="33" t="str">
        <f t="shared" si="68"/>
        <v/>
      </c>
      <c r="X763" s="1"/>
    </row>
    <row r="764" spans="7:24">
      <c r="G764" s="21"/>
      <c r="H764" s="23"/>
      <c r="I764" s="23" t="str">
        <f>_xlfn.IFNA(VLOOKUP(A764,A765:$H$3524,8,0),"")</f>
        <v/>
      </c>
      <c r="J764" s="40" t="str">
        <f t="shared" si="64"/>
        <v/>
      </c>
      <c r="K764" s="24" t="str">
        <f t="shared" si="65"/>
        <v/>
      </c>
      <c r="L764" s="25" t="str">
        <f t="shared" si="66"/>
        <v/>
      </c>
      <c r="M764" s="37"/>
      <c r="N764" s="37"/>
      <c r="O764" s="33" t="str">
        <f t="shared" si="67"/>
        <v/>
      </c>
      <c r="P764" s="33" t="str">
        <f t="shared" si="68"/>
        <v/>
      </c>
      <c r="X764" s="1"/>
    </row>
    <row r="765" spans="7:24">
      <c r="G765" s="21"/>
      <c r="H765" s="23"/>
      <c r="I765" s="23" t="str">
        <f>_xlfn.IFNA(VLOOKUP(A765,A766:$H$3524,8,0),"")</f>
        <v/>
      </c>
      <c r="J765" s="40" t="str">
        <f t="shared" si="64"/>
        <v/>
      </c>
      <c r="K765" s="24" t="str">
        <f t="shared" si="65"/>
        <v/>
      </c>
      <c r="L765" s="25" t="str">
        <f t="shared" si="66"/>
        <v/>
      </c>
      <c r="M765" s="37"/>
      <c r="N765" s="37"/>
      <c r="O765" s="33" t="str">
        <f t="shared" si="67"/>
        <v/>
      </c>
      <c r="P765" s="33" t="str">
        <f t="shared" si="68"/>
        <v/>
      </c>
      <c r="X765" s="1"/>
    </row>
    <row r="766" spans="7:24">
      <c r="G766" s="21"/>
      <c r="H766" s="23"/>
      <c r="I766" s="23" t="str">
        <f>_xlfn.IFNA(VLOOKUP(A766,A767:$H$3524,8,0),"")</f>
        <v/>
      </c>
      <c r="J766" s="40" t="str">
        <f t="shared" si="64"/>
        <v/>
      </c>
      <c r="K766" s="24" t="str">
        <f t="shared" si="65"/>
        <v/>
      </c>
      <c r="L766" s="25" t="str">
        <f t="shared" si="66"/>
        <v/>
      </c>
      <c r="M766" s="37"/>
      <c r="N766" s="37"/>
      <c r="O766" s="33" t="str">
        <f t="shared" si="67"/>
        <v/>
      </c>
      <c r="P766" s="33" t="str">
        <f t="shared" si="68"/>
        <v/>
      </c>
      <c r="X766" s="1"/>
    </row>
    <row r="767" spans="7:24">
      <c r="G767" s="21"/>
      <c r="H767" s="23"/>
      <c r="I767" s="23" t="str">
        <f>_xlfn.IFNA(VLOOKUP(A767,A768:$H$3524,8,0),"")</f>
        <v/>
      </c>
      <c r="J767" s="40" t="str">
        <f t="shared" si="64"/>
        <v/>
      </c>
      <c r="K767" s="24" t="str">
        <f t="shared" si="65"/>
        <v/>
      </c>
      <c r="L767" s="25" t="str">
        <f t="shared" si="66"/>
        <v/>
      </c>
      <c r="M767" s="37"/>
      <c r="N767" s="37"/>
      <c r="O767" s="33" t="str">
        <f t="shared" si="67"/>
        <v/>
      </c>
      <c r="P767" s="33" t="str">
        <f t="shared" si="68"/>
        <v/>
      </c>
      <c r="X767" s="1"/>
    </row>
    <row r="768" spans="7:24">
      <c r="G768" s="21"/>
      <c r="H768" s="23"/>
      <c r="I768" s="23" t="str">
        <f>_xlfn.IFNA(VLOOKUP(A768,A769:$H$3524,8,0),"")</f>
        <v/>
      </c>
      <c r="J768" s="40" t="str">
        <f t="shared" si="64"/>
        <v/>
      </c>
      <c r="K768" s="24" t="str">
        <f t="shared" si="65"/>
        <v/>
      </c>
      <c r="L768" s="25" t="str">
        <f t="shared" si="66"/>
        <v/>
      </c>
      <c r="M768" s="37"/>
      <c r="N768" s="37"/>
      <c r="O768" s="33" t="str">
        <f t="shared" si="67"/>
        <v/>
      </c>
      <c r="P768" s="33" t="str">
        <f t="shared" si="68"/>
        <v/>
      </c>
      <c r="X768" s="1"/>
    </row>
    <row r="769" spans="7:24">
      <c r="G769" s="21"/>
      <c r="H769" s="23"/>
      <c r="I769" s="23" t="str">
        <f>_xlfn.IFNA(VLOOKUP(A769,A770:$H$3524,8,0),"")</f>
        <v/>
      </c>
      <c r="J769" s="40" t="str">
        <f t="shared" si="64"/>
        <v/>
      </c>
      <c r="K769" s="24" t="str">
        <f t="shared" si="65"/>
        <v/>
      </c>
      <c r="L769" s="25" t="str">
        <f t="shared" si="66"/>
        <v/>
      </c>
      <c r="M769" s="37"/>
      <c r="N769" s="37"/>
      <c r="O769" s="33" t="str">
        <f t="shared" si="67"/>
        <v/>
      </c>
      <c r="P769" s="33" t="str">
        <f t="shared" si="68"/>
        <v/>
      </c>
      <c r="X769" s="1"/>
    </row>
    <row r="770" spans="7:24">
      <c r="G770" s="21"/>
      <c r="H770" s="23"/>
      <c r="I770" s="23" t="str">
        <f>_xlfn.IFNA(VLOOKUP(A770,A771:$H$3524,8,0),"")</f>
        <v/>
      </c>
      <c r="J770" s="40" t="str">
        <f t="shared" si="64"/>
        <v/>
      </c>
      <c r="K770" s="24" t="str">
        <f t="shared" si="65"/>
        <v/>
      </c>
      <c r="L770" s="25" t="str">
        <f t="shared" si="66"/>
        <v/>
      </c>
      <c r="M770" s="37"/>
      <c r="N770" s="37"/>
      <c r="O770" s="33" t="str">
        <f t="shared" si="67"/>
        <v/>
      </c>
      <c r="P770" s="33" t="str">
        <f t="shared" si="68"/>
        <v/>
      </c>
      <c r="X770" s="1"/>
    </row>
    <row r="771" spans="7:24">
      <c r="G771" s="21"/>
      <c r="H771" s="23"/>
      <c r="I771" s="23" t="str">
        <f>_xlfn.IFNA(VLOOKUP(A771,A772:$H$3524,8,0),"")</f>
        <v/>
      </c>
      <c r="J771" s="40" t="str">
        <f t="shared" si="64"/>
        <v/>
      </c>
      <c r="K771" s="24" t="str">
        <f t="shared" si="65"/>
        <v/>
      </c>
      <c r="L771" s="25" t="str">
        <f t="shared" si="66"/>
        <v/>
      </c>
      <c r="M771" s="37"/>
      <c r="N771" s="37"/>
      <c r="O771" s="33" t="str">
        <f t="shared" si="67"/>
        <v/>
      </c>
      <c r="P771" s="33" t="str">
        <f t="shared" si="68"/>
        <v/>
      </c>
      <c r="X771" s="1"/>
    </row>
    <row r="772" spans="7:24">
      <c r="G772" s="21"/>
      <c r="H772" s="23"/>
      <c r="I772" s="23" t="str">
        <f>_xlfn.IFNA(VLOOKUP(A772,A773:$H$3524,8,0),"")</f>
        <v/>
      </c>
      <c r="J772" s="40" t="str">
        <f t="shared" si="64"/>
        <v/>
      </c>
      <c r="K772" s="24" t="str">
        <f t="shared" si="65"/>
        <v/>
      </c>
      <c r="L772" s="25" t="str">
        <f t="shared" si="66"/>
        <v/>
      </c>
      <c r="M772" s="37"/>
      <c r="N772" s="37"/>
      <c r="O772" s="33" t="str">
        <f t="shared" si="67"/>
        <v/>
      </c>
      <c r="P772" s="33" t="str">
        <f t="shared" si="68"/>
        <v/>
      </c>
      <c r="X772" s="1"/>
    </row>
    <row r="773" spans="7:24">
      <c r="G773" s="21"/>
      <c r="H773" s="23"/>
      <c r="I773" s="23" t="str">
        <f>_xlfn.IFNA(VLOOKUP(A773,A774:$H$3524,8,0),"")</f>
        <v/>
      </c>
      <c r="J773" s="40" t="str">
        <f t="shared" si="64"/>
        <v/>
      </c>
      <c r="K773" s="24" t="str">
        <f t="shared" si="65"/>
        <v/>
      </c>
      <c r="L773" s="25" t="str">
        <f t="shared" si="66"/>
        <v/>
      </c>
      <c r="M773" s="37"/>
      <c r="N773" s="37"/>
      <c r="O773" s="33" t="str">
        <f t="shared" si="67"/>
        <v/>
      </c>
      <c r="P773" s="33" t="str">
        <f t="shared" si="68"/>
        <v/>
      </c>
      <c r="X773" s="1"/>
    </row>
    <row r="774" spans="7:24">
      <c r="G774" s="21"/>
      <c r="H774" s="23"/>
      <c r="I774" s="23" t="str">
        <f>_xlfn.IFNA(VLOOKUP(A774,A775:$H$3524,8,0),"")</f>
        <v/>
      </c>
      <c r="J774" s="40" t="str">
        <f t="shared" ref="J774:J837" si="69">IF(B774="OFF",0,IF(AND(D774&lt;&gt;"",E774&lt;&gt;""),E774-D774+1,""))</f>
        <v/>
      </c>
      <c r="K774" s="24" t="str">
        <f t="shared" si="65"/>
        <v/>
      </c>
      <c r="L774" s="25" t="str">
        <f t="shared" si="66"/>
        <v/>
      </c>
      <c r="M774" s="37"/>
      <c r="N774" s="37"/>
      <c r="O774" s="33" t="str">
        <f t="shared" si="67"/>
        <v/>
      </c>
      <c r="P774" s="33" t="str">
        <f t="shared" si="68"/>
        <v/>
      </c>
      <c r="X774" s="1"/>
    </row>
    <row r="775" spans="7:24">
      <c r="G775" s="21"/>
      <c r="H775" s="23"/>
      <c r="I775" s="23" t="str">
        <f>_xlfn.IFNA(VLOOKUP(A775,A776:$H$3524,8,0),"")</f>
        <v/>
      </c>
      <c r="J775" s="40" t="str">
        <f t="shared" si="69"/>
        <v/>
      </c>
      <c r="K775" s="24" t="str">
        <f t="shared" si="65"/>
        <v/>
      </c>
      <c r="L775" s="25" t="str">
        <f t="shared" si="66"/>
        <v/>
      </c>
      <c r="M775" s="37"/>
      <c r="N775" s="37"/>
      <c r="O775" s="33" t="str">
        <f t="shared" si="67"/>
        <v/>
      </c>
      <c r="P775" s="33" t="str">
        <f t="shared" si="68"/>
        <v/>
      </c>
      <c r="X775" s="1"/>
    </row>
    <row r="776" spans="7:24">
      <c r="G776" s="21"/>
      <c r="H776" s="23"/>
      <c r="I776" s="23" t="str">
        <f>_xlfn.IFNA(VLOOKUP(A776,A777:$H$3524,8,0),"")</f>
        <v/>
      </c>
      <c r="J776" s="40" t="str">
        <f t="shared" si="69"/>
        <v/>
      </c>
      <c r="K776" s="24" t="str">
        <f t="shared" si="65"/>
        <v/>
      </c>
      <c r="L776" s="25" t="str">
        <f t="shared" si="66"/>
        <v/>
      </c>
      <c r="M776" s="37"/>
      <c r="N776" s="37"/>
      <c r="O776" s="33" t="str">
        <f t="shared" si="67"/>
        <v/>
      </c>
      <c r="P776" s="33" t="str">
        <f t="shared" si="68"/>
        <v/>
      </c>
      <c r="X776" s="1"/>
    </row>
    <row r="777" spans="7:24">
      <c r="G777" s="21"/>
      <c r="H777" s="23"/>
      <c r="I777" s="23" t="str">
        <f>_xlfn.IFNA(VLOOKUP(A777,A778:$H$3524,8,0),"")</f>
        <v/>
      </c>
      <c r="J777" s="40" t="str">
        <f t="shared" si="69"/>
        <v/>
      </c>
      <c r="K777" s="24" t="str">
        <f t="shared" si="65"/>
        <v/>
      </c>
      <c r="L777" s="25" t="str">
        <f t="shared" si="66"/>
        <v/>
      </c>
      <c r="M777" s="37"/>
      <c r="N777" s="37"/>
      <c r="O777" s="33" t="str">
        <f t="shared" si="67"/>
        <v/>
      </c>
      <c r="P777" s="33" t="str">
        <f t="shared" si="68"/>
        <v/>
      </c>
      <c r="X777" s="1"/>
    </row>
    <row r="778" spans="7:24">
      <c r="G778" s="21"/>
      <c r="H778" s="23"/>
      <c r="I778" s="23" t="str">
        <f>_xlfn.IFNA(VLOOKUP(A778,A779:$H$3524,8,0),"")</f>
        <v/>
      </c>
      <c r="J778" s="40" t="str">
        <f t="shared" si="69"/>
        <v/>
      </c>
      <c r="K778" s="24" t="str">
        <f t="shared" si="65"/>
        <v/>
      </c>
      <c r="L778" s="25" t="str">
        <f t="shared" si="66"/>
        <v/>
      </c>
      <c r="M778" s="37"/>
      <c r="N778" s="37"/>
      <c r="O778" s="33" t="str">
        <f t="shared" si="67"/>
        <v/>
      </c>
      <c r="P778" s="33" t="str">
        <f t="shared" si="68"/>
        <v/>
      </c>
      <c r="X778" s="1"/>
    </row>
    <row r="779" spans="7:24">
      <c r="G779" s="21"/>
      <c r="H779" s="23"/>
      <c r="I779" s="23" t="str">
        <f>_xlfn.IFNA(VLOOKUP(A779,A780:$H$3524,8,0),"")</f>
        <v/>
      </c>
      <c r="J779" s="40" t="str">
        <f t="shared" si="69"/>
        <v/>
      </c>
      <c r="K779" s="24" t="str">
        <f t="shared" si="65"/>
        <v/>
      </c>
      <c r="L779" s="25" t="str">
        <f t="shared" si="66"/>
        <v/>
      </c>
      <c r="M779" s="37"/>
      <c r="N779" s="37"/>
      <c r="O779" s="33" t="str">
        <f t="shared" si="67"/>
        <v/>
      </c>
      <c r="P779" s="33" t="str">
        <f t="shared" si="68"/>
        <v/>
      </c>
      <c r="X779" s="1"/>
    </row>
    <row r="780" spans="7:24">
      <c r="G780" s="21"/>
      <c r="H780" s="23"/>
      <c r="I780" s="23" t="str">
        <f>_xlfn.IFNA(VLOOKUP(A780,A781:$H$3524,8,0),"")</f>
        <v/>
      </c>
      <c r="J780" s="40" t="str">
        <f t="shared" si="69"/>
        <v/>
      </c>
      <c r="K780" s="24" t="str">
        <f t="shared" si="65"/>
        <v/>
      </c>
      <c r="L780" s="25" t="str">
        <f t="shared" si="66"/>
        <v/>
      </c>
      <c r="M780" s="37"/>
      <c r="N780" s="37"/>
      <c r="O780" s="33" t="str">
        <f t="shared" si="67"/>
        <v/>
      </c>
      <c r="P780" s="33" t="str">
        <f t="shared" si="68"/>
        <v/>
      </c>
      <c r="X780" s="1"/>
    </row>
    <row r="781" spans="7:24">
      <c r="G781" s="21"/>
      <c r="H781" s="23"/>
      <c r="I781" s="23" t="str">
        <f>_xlfn.IFNA(VLOOKUP(A781,A782:$H$3524,8,0),"")</f>
        <v/>
      </c>
      <c r="J781" s="40" t="str">
        <f t="shared" si="69"/>
        <v/>
      </c>
      <c r="K781" s="24" t="str">
        <f t="shared" si="65"/>
        <v/>
      </c>
      <c r="L781" s="25" t="str">
        <f t="shared" si="66"/>
        <v/>
      </c>
      <c r="M781" s="37"/>
      <c r="N781" s="37"/>
      <c r="O781" s="33" t="str">
        <f t="shared" si="67"/>
        <v/>
      </c>
      <c r="P781" s="33" t="str">
        <f t="shared" si="68"/>
        <v/>
      </c>
      <c r="X781" s="1"/>
    </row>
    <row r="782" spans="7:24">
      <c r="G782" s="21"/>
      <c r="H782" s="23"/>
      <c r="I782" s="23" t="str">
        <f>_xlfn.IFNA(VLOOKUP(A782,A783:$H$3524,8,0),"")</f>
        <v/>
      </c>
      <c r="J782" s="40" t="str">
        <f t="shared" si="69"/>
        <v/>
      </c>
      <c r="K782" s="24" t="str">
        <f t="shared" si="65"/>
        <v/>
      </c>
      <c r="L782" s="25" t="str">
        <f t="shared" si="66"/>
        <v/>
      </c>
      <c r="M782" s="37"/>
      <c r="N782" s="37"/>
      <c r="O782" s="33" t="str">
        <f t="shared" si="67"/>
        <v/>
      </c>
      <c r="P782" s="33" t="str">
        <f t="shared" si="68"/>
        <v/>
      </c>
      <c r="X782" s="1"/>
    </row>
    <row r="783" spans="7:24">
      <c r="G783" s="21"/>
      <c r="H783" s="23"/>
      <c r="I783" s="23" t="str">
        <f>_xlfn.IFNA(VLOOKUP(A783,A784:$H$3524,8,0),"")</f>
        <v/>
      </c>
      <c r="J783" s="40" t="str">
        <f t="shared" si="69"/>
        <v/>
      </c>
      <c r="K783" s="24" t="str">
        <f t="shared" si="65"/>
        <v/>
      </c>
      <c r="L783" s="25" t="str">
        <f t="shared" si="66"/>
        <v/>
      </c>
      <c r="M783" s="37"/>
      <c r="N783" s="37"/>
      <c r="O783" s="33" t="str">
        <f t="shared" si="67"/>
        <v/>
      </c>
      <c r="P783" s="33" t="str">
        <f t="shared" si="68"/>
        <v/>
      </c>
      <c r="X783" s="1"/>
    </row>
    <row r="784" spans="7:24">
      <c r="G784" s="21"/>
      <c r="H784" s="23"/>
      <c r="I784" s="23" t="str">
        <f>_xlfn.IFNA(VLOOKUP(A784,A785:$H$3524,8,0),"")</f>
        <v/>
      </c>
      <c r="J784" s="40" t="str">
        <f t="shared" si="69"/>
        <v/>
      </c>
      <c r="K784" s="24" t="str">
        <f t="shared" si="65"/>
        <v/>
      </c>
      <c r="L784" s="25" t="str">
        <f t="shared" si="66"/>
        <v/>
      </c>
      <c r="M784" s="37"/>
      <c r="N784" s="37"/>
      <c r="O784" s="33" t="str">
        <f t="shared" si="67"/>
        <v/>
      </c>
      <c r="P784" s="33" t="str">
        <f t="shared" si="68"/>
        <v/>
      </c>
      <c r="X784" s="1"/>
    </row>
    <row r="785" spans="7:24">
      <c r="G785" s="21"/>
      <c r="H785" s="23"/>
      <c r="I785" s="23" t="str">
        <f>_xlfn.IFNA(VLOOKUP(A785,A786:$H$3524,8,0),"")</f>
        <v/>
      </c>
      <c r="J785" s="40" t="str">
        <f t="shared" si="69"/>
        <v/>
      </c>
      <c r="K785" s="24" t="str">
        <f t="shared" si="65"/>
        <v/>
      </c>
      <c r="L785" s="25" t="str">
        <f t="shared" si="66"/>
        <v/>
      </c>
      <c r="M785" s="37"/>
      <c r="N785" s="37"/>
      <c r="O785" s="33" t="str">
        <f t="shared" si="67"/>
        <v/>
      </c>
      <c r="P785" s="33" t="str">
        <f t="shared" si="68"/>
        <v/>
      </c>
      <c r="X785" s="1"/>
    </row>
    <row r="786" spans="7:24">
      <c r="G786" s="21"/>
      <c r="H786" s="23"/>
      <c r="I786" s="23" t="str">
        <f>_xlfn.IFNA(VLOOKUP(A786,A787:$H$3524,8,0),"")</f>
        <v/>
      </c>
      <c r="J786" s="40" t="str">
        <f t="shared" si="69"/>
        <v/>
      </c>
      <c r="K786" s="24" t="str">
        <f t="shared" si="65"/>
        <v/>
      </c>
      <c r="L786" s="25" t="str">
        <f t="shared" si="66"/>
        <v/>
      </c>
      <c r="M786" s="37"/>
      <c r="N786" s="37"/>
      <c r="O786" s="33" t="str">
        <f t="shared" si="67"/>
        <v/>
      </c>
      <c r="P786" s="33" t="str">
        <f t="shared" si="68"/>
        <v/>
      </c>
      <c r="X786" s="1"/>
    </row>
    <row r="787" spans="7:24">
      <c r="G787" s="21"/>
      <c r="H787" s="23"/>
      <c r="I787" s="23" t="str">
        <f>_xlfn.IFNA(VLOOKUP(A787,A788:$H$3524,8,0),"")</f>
        <v/>
      </c>
      <c r="J787" s="40" t="str">
        <f t="shared" si="69"/>
        <v/>
      </c>
      <c r="K787" s="24" t="str">
        <f t="shared" si="65"/>
        <v/>
      </c>
      <c r="L787" s="25" t="str">
        <f t="shared" si="66"/>
        <v/>
      </c>
      <c r="M787" s="37"/>
      <c r="N787" s="37"/>
      <c r="O787" s="33" t="str">
        <f t="shared" si="67"/>
        <v/>
      </c>
      <c r="P787" s="33" t="str">
        <f t="shared" si="68"/>
        <v/>
      </c>
      <c r="X787" s="1"/>
    </row>
    <row r="788" spans="7:24">
      <c r="G788" s="21"/>
      <c r="H788" s="23"/>
      <c r="I788" s="23" t="str">
        <f>_xlfn.IFNA(VLOOKUP(A788,A789:$H$3524,8,0),"")</f>
        <v/>
      </c>
      <c r="J788" s="40" t="str">
        <f t="shared" si="69"/>
        <v/>
      </c>
      <c r="K788" s="24" t="str">
        <f t="shared" si="65"/>
        <v/>
      </c>
      <c r="L788" s="25" t="str">
        <f t="shared" si="66"/>
        <v/>
      </c>
      <c r="M788" s="37"/>
      <c r="N788" s="37"/>
      <c r="O788" s="33" t="str">
        <f t="shared" si="67"/>
        <v/>
      </c>
      <c r="P788" s="33" t="str">
        <f t="shared" si="68"/>
        <v/>
      </c>
      <c r="X788" s="1"/>
    </row>
    <row r="789" spans="7:24">
      <c r="G789" s="21"/>
      <c r="H789" s="23"/>
      <c r="I789" s="23" t="str">
        <f>_xlfn.IFNA(VLOOKUP(A789,A790:$H$3524,8,0),"")</f>
        <v/>
      </c>
      <c r="J789" s="40" t="str">
        <f t="shared" si="69"/>
        <v/>
      </c>
      <c r="K789" s="24" t="str">
        <f t="shared" si="65"/>
        <v/>
      </c>
      <c r="L789" s="25" t="str">
        <f t="shared" si="66"/>
        <v/>
      </c>
      <c r="M789" s="37"/>
      <c r="N789" s="37"/>
      <c r="O789" s="33" t="str">
        <f t="shared" si="67"/>
        <v/>
      </c>
      <c r="P789" s="33" t="str">
        <f t="shared" si="68"/>
        <v/>
      </c>
      <c r="X789" s="1"/>
    </row>
    <row r="790" spans="7:24">
      <c r="G790" s="21"/>
      <c r="H790" s="23"/>
      <c r="I790" s="23" t="str">
        <f>_xlfn.IFNA(VLOOKUP(A790,A791:$H$3524,8,0),"")</f>
        <v/>
      </c>
      <c r="J790" s="40" t="str">
        <f t="shared" si="69"/>
        <v/>
      </c>
      <c r="K790" s="24" t="str">
        <f t="shared" ref="K790:K853" si="70">IF(H790="","",IFERROR((I790-H790)*24,0))</f>
        <v/>
      </c>
      <c r="L790" s="25" t="str">
        <f t="shared" si="66"/>
        <v/>
      </c>
      <c r="M790" s="37"/>
      <c r="N790" s="37"/>
      <c r="O790" s="33" t="str">
        <f t="shared" si="67"/>
        <v/>
      </c>
      <c r="P790" s="33" t="str">
        <f t="shared" si="68"/>
        <v/>
      </c>
      <c r="X790" s="1"/>
    </row>
    <row r="791" spans="7:24">
      <c r="G791" s="21"/>
      <c r="H791" s="23"/>
      <c r="I791" s="23" t="str">
        <f>_xlfn.IFNA(VLOOKUP(A791,A792:$H$3524,8,0),"")</f>
        <v/>
      </c>
      <c r="J791" s="40" t="str">
        <f t="shared" si="69"/>
        <v/>
      </c>
      <c r="K791" s="24" t="str">
        <f t="shared" si="70"/>
        <v/>
      </c>
      <c r="L791" s="25" t="str">
        <f t="shared" si="66"/>
        <v/>
      </c>
      <c r="M791" s="37"/>
      <c r="N791" s="37"/>
      <c r="O791" s="33" t="str">
        <f t="shared" si="67"/>
        <v/>
      </c>
      <c r="P791" s="33" t="str">
        <f t="shared" si="68"/>
        <v/>
      </c>
      <c r="X791" s="1"/>
    </row>
    <row r="792" spans="7:24">
      <c r="G792" s="21"/>
      <c r="H792" s="23"/>
      <c r="I792" s="23" t="str">
        <f>_xlfn.IFNA(VLOOKUP(A792,A793:$H$3524,8,0),"")</f>
        <v/>
      </c>
      <c r="J792" s="40" t="str">
        <f t="shared" si="69"/>
        <v/>
      </c>
      <c r="K792" s="24" t="str">
        <f t="shared" si="70"/>
        <v/>
      </c>
      <c r="L792" s="25" t="str">
        <f t="shared" si="66"/>
        <v/>
      </c>
      <c r="M792" s="37"/>
      <c r="N792" s="37"/>
      <c r="O792" s="33" t="str">
        <f t="shared" si="67"/>
        <v/>
      </c>
      <c r="P792" s="33" t="str">
        <f t="shared" si="68"/>
        <v/>
      </c>
      <c r="X792" s="1"/>
    </row>
    <row r="793" spans="7:24">
      <c r="G793" s="21"/>
      <c r="H793" s="23"/>
      <c r="I793" s="23" t="str">
        <f>_xlfn.IFNA(VLOOKUP(A793,A794:$H$3524,8,0),"")</f>
        <v/>
      </c>
      <c r="J793" s="40" t="str">
        <f t="shared" si="69"/>
        <v/>
      </c>
      <c r="K793" s="24" t="str">
        <f t="shared" si="70"/>
        <v/>
      </c>
      <c r="L793" s="25" t="str">
        <f t="shared" si="66"/>
        <v/>
      </c>
      <c r="M793" s="37"/>
      <c r="N793" s="37"/>
      <c r="O793" s="33" t="str">
        <f t="shared" si="67"/>
        <v/>
      </c>
      <c r="P793" s="33" t="str">
        <f t="shared" si="68"/>
        <v/>
      </c>
      <c r="X793" s="1"/>
    </row>
    <row r="794" spans="7:24">
      <c r="G794" s="21"/>
      <c r="H794" s="23"/>
      <c r="I794" s="23" t="str">
        <f>_xlfn.IFNA(VLOOKUP(A794,A795:$H$3524,8,0),"")</f>
        <v/>
      </c>
      <c r="J794" s="40" t="str">
        <f t="shared" si="69"/>
        <v/>
      </c>
      <c r="K794" s="24" t="str">
        <f t="shared" si="70"/>
        <v/>
      </c>
      <c r="L794" s="25" t="str">
        <f t="shared" si="66"/>
        <v/>
      </c>
      <c r="M794" s="37"/>
      <c r="N794" s="37"/>
      <c r="O794" s="33" t="str">
        <f t="shared" si="67"/>
        <v/>
      </c>
      <c r="P794" s="33" t="str">
        <f t="shared" si="68"/>
        <v/>
      </c>
      <c r="X794" s="1"/>
    </row>
    <row r="795" spans="7:24">
      <c r="G795" s="21"/>
      <c r="H795" s="23"/>
      <c r="I795" s="23" t="str">
        <f>_xlfn.IFNA(VLOOKUP(A795,A796:$H$3524,8,0),"")</f>
        <v/>
      </c>
      <c r="J795" s="40" t="str">
        <f t="shared" si="69"/>
        <v/>
      </c>
      <c r="K795" s="24" t="str">
        <f t="shared" si="70"/>
        <v/>
      </c>
      <c r="L795" s="25" t="str">
        <f t="shared" si="66"/>
        <v/>
      </c>
      <c r="M795" s="37"/>
      <c r="N795" s="37"/>
      <c r="O795" s="33" t="str">
        <f t="shared" si="67"/>
        <v/>
      </c>
      <c r="P795" s="33" t="str">
        <f t="shared" si="68"/>
        <v/>
      </c>
      <c r="X795" s="1"/>
    </row>
    <row r="796" spans="7:24">
      <c r="G796" s="21"/>
      <c r="H796" s="23"/>
      <c r="I796" s="23" t="str">
        <f>_xlfn.IFNA(VLOOKUP(A796,A797:$H$3524,8,0),"")</f>
        <v/>
      </c>
      <c r="J796" s="40" t="str">
        <f t="shared" si="69"/>
        <v/>
      </c>
      <c r="K796" s="24" t="str">
        <f t="shared" si="70"/>
        <v/>
      </c>
      <c r="L796" s="25" t="str">
        <f t="shared" si="66"/>
        <v/>
      </c>
      <c r="M796" s="37"/>
      <c r="N796" s="37"/>
      <c r="O796" s="33" t="str">
        <f t="shared" si="67"/>
        <v/>
      </c>
      <c r="P796" s="33" t="str">
        <f t="shared" si="68"/>
        <v/>
      </c>
      <c r="X796" s="1"/>
    </row>
    <row r="797" spans="7:24">
      <c r="G797" s="21"/>
      <c r="H797" s="23"/>
      <c r="I797" s="23" t="str">
        <f>_xlfn.IFNA(VLOOKUP(A797,A798:$H$3524,8,0),"")</f>
        <v/>
      </c>
      <c r="J797" s="40" t="str">
        <f t="shared" si="69"/>
        <v/>
      </c>
      <c r="K797" s="24" t="str">
        <f t="shared" si="70"/>
        <v/>
      </c>
      <c r="L797" s="25" t="str">
        <f t="shared" si="66"/>
        <v/>
      </c>
      <c r="M797" s="37"/>
      <c r="N797" s="37"/>
      <c r="O797" s="33" t="str">
        <f t="shared" si="67"/>
        <v/>
      </c>
      <c r="P797" s="33" t="str">
        <f t="shared" si="68"/>
        <v/>
      </c>
      <c r="X797" s="1"/>
    </row>
    <row r="798" spans="7:24">
      <c r="G798" s="21"/>
      <c r="H798" s="23"/>
      <c r="I798" s="23" t="str">
        <f>_xlfn.IFNA(VLOOKUP(A798,A799:$H$3524,8,0),"")</f>
        <v/>
      </c>
      <c r="J798" s="40" t="str">
        <f t="shared" si="69"/>
        <v/>
      </c>
      <c r="K798" s="24" t="str">
        <f t="shared" si="70"/>
        <v/>
      </c>
      <c r="L798" s="25" t="str">
        <f t="shared" si="66"/>
        <v/>
      </c>
      <c r="M798" s="37"/>
      <c r="N798" s="37"/>
      <c r="O798" s="33" t="str">
        <f t="shared" si="67"/>
        <v/>
      </c>
      <c r="P798" s="33" t="str">
        <f t="shared" si="68"/>
        <v/>
      </c>
      <c r="X798" s="1"/>
    </row>
    <row r="799" spans="7:24">
      <c r="G799" s="21"/>
      <c r="H799" s="23"/>
      <c r="I799" s="23" t="str">
        <f>_xlfn.IFNA(VLOOKUP(A799,A800:$H$3524,8,0),"")</f>
        <v/>
      </c>
      <c r="J799" s="40" t="str">
        <f t="shared" si="69"/>
        <v/>
      </c>
      <c r="K799" s="24" t="str">
        <f t="shared" si="70"/>
        <v/>
      </c>
      <c r="L799" s="25" t="str">
        <f t="shared" si="66"/>
        <v/>
      </c>
      <c r="M799" s="37"/>
      <c r="N799" s="37"/>
      <c r="O799" s="33" t="str">
        <f t="shared" si="67"/>
        <v/>
      </c>
      <c r="P799" s="33" t="str">
        <f t="shared" si="68"/>
        <v/>
      </c>
      <c r="X799" s="1"/>
    </row>
    <row r="800" spans="7:24">
      <c r="G800" s="21"/>
      <c r="H800" s="23"/>
      <c r="I800" s="23" t="str">
        <f>_xlfn.IFNA(VLOOKUP(A800,A801:$H$3524,8,0),"")</f>
        <v/>
      </c>
      <c r="J800" s="40" t="str">
        <f t="shared" si="69"/>
        <v/>
      </c>
      <c r="K800" s="24" t="str">
        <f t="shared" si="70"/>
        <v/>
      </c>
      <c r="L800" s="25" t="str">
        <f t="shared" si="66"/>
        <v/>
      </c>
      <c r="M800" s="37"/>
      <c r="N800" s="37"/>
      <c r="O800" s="33" t="str">
        <f t="shared" si="67"/>
        <v/>
      </c>
      <c r="P800" s="33" t="str">
        <f t="shared" si="68"/>
        <v/>
      </c>
      <c r="X800" s="1"/>
    </row>
    <row r="801" spans="7:24">
      <c r="G801" s="21"/>
      <c r="H801" s="23"/>
      <c r="I801" s="23" t="str">
        <f>_xlfn.IFNA(VLOOKUP(A801,A802:$H$3524,8,0),"")</f>
        <v/>
      </c>
      <c r="J801" s="40" t="str">
        <f t="shared" si="69"/>
        <v/>
      </c>
      <c r="K801" s="24" t="str">
        <f t="shared" si="70"/>
        <v/>
      </c>
      <c r="L801" s="25" t="str">
        <f t="shared" si="66"/>
        <v/>
      </c>
      <c r="M801" s="37"/>
      <c r="N801" s="37"/>
      <c r="O801" s="33" t="str">
        <f t="shared" si="67"/>
        <v/>
      </c>
      <c r="P801" s="33" t="str">
        <f t="shared" si="68"/>
        <v/>
      </c>
      <c r="X801" s="1"/>
    </row>
    <row r="802" spans="7:24">
      <c r="G802" s="21"/>
      <c r="H802" s="23"/>
      <c r="I802" s="23" t="str">
        <f>_xlfn.IFNA(VLOOKUP(A802,A803:$H$3524,8,0),"")</f>
        <v/>
      </c>
      <c r="J802" s="40" t="str">
        <f t="shared" si="69"/>
        <v/>
      </c>
      <c r="K802" s="24" t="str">
        <f t="shared" si="70"/>
        <v/>
      </c>
      <c r="L802" s="25" t="str">
        <f t="shared" si="66"/>
        <v/>
      </c>
      <c r="M802" s="37"/>
      <c r="N802" s="37"/>
      <c r="O802" s="33" t="str">
        <f t="shared" si="67"/>
        <v/>
      </c>
      <c r="P802" s="33" t="str">
        <f t="shared" si="68"/>
        <v/>
      </c>
      <c r="X802" s="1"/>
    </row>
    <row r="803" spans="7:24">
      <c r="G803" s="21"/>
      <c r="H803" s="23"/>
      <c r="I803" s="23" t="str">
        <f>_xlfn.IFNA(VLOOKUP(A803,A804:$H$3524,8,0),"")</f>
        <v/>
      </c>
      <c r="J803" s="40" t="str">
        <f t="shared" si="69"/>
        <v/>
      </c>
      <c r="K803" s="24" t="str">
        <f t="shared" si="70"/>
        <v/>
      </c>
      <c r="L803" s="25" t="str">
        <f t="shared" si="66"/>
        <v/>
      </c>
      <c r="M803" s="37"/>
      <c r="N803" s="37"/>
      <c r="O803" s="33" t="str">
        <f t="shared" si="67"/>
        <v/>
      </c>
      <c r="P803" s="33" t="str">
        <f t="shared" si="68"/>
        <v/>
      </c>
      <c r="X803" s="1"/>
    </row>
    <row r="804" spans="7:24">
      <c r="G804" s="21"/>
      <c r="H804" s="23"/>
      <c r="I804" s="23" t="str">
        <f>_xlfn.IFNA(VLOOKUP(A804,A805:$H$3524,8,0),"")</f>
        <v/>
      </c>
      <c r="J804" s="40" t="str">
        <f t="shared" si="69"/>
        <v/>
      </c>
      <c r="K804" s="24" t="str">
        <f t="shared" si="70"/>
        <v/>
      </c>
      <c r="L804" s="25" t="str">
        <f t="shared" si="66"/>
        <v/>
      </c>
      <c r="M804" s="37"/>
      <c r="N804" s="37"/>
      <c r="O804" s="33" t="str">
        <f t="shared" si="67"/>
        <v/>
      </c>
      <c r="P804" s="33" t="str">
        <f t="shared" si="68"/>
        <v/>
      </c>
      <c r="X804" s="1"/>
    </row>
    <row r="805" spans="7:24">
      <c r="G805" s="21"/>
      <c r="H805" s="23"/>
      <c r="I805" s="23" t="str">
        <f>_xlfn.IFNA(VLOOKUP(A805,A806:$H$3524,8,0),"")</f>
        <v/>
      </c>
      <c r="J805" s="40" t="str">
        <f t="shared" si="69"/>
        <v/>
      </c>
      <c r="K805" s="24" t="str">
        <f t="shared" si="70"/>
        <v/>
      </c>
      <c r="L805" s="25" t="str">
        <f t="shared" si="66"/>
        <v/>
      </c>
      <c r="M805" s="37"/>
      <c r="N805" s="37"/>
      <c r="O805" s="33" t="str">
        <f t="shared" si="67"/>
        <v/>
      </c>
      <c r="P805" s="33" t="str">
        <f t="shared" si="68"/>
        <v/>
      </c>
      <c r="X805" s="1"/>
    </row>
    <row r="806" spans="7:24">
      <c r="G806" s="21"/>
      <c r="H806" s="23"/>
      <c r="I806" s="23" t="str">
        <f>_xlfn.IFNA(VLOOKUP(A806,A807:$H$3524,8,0),"")</f>
        <v/>
      </c>
      <c r="J806" s="40" t="str">
        <f t="shared" si="69"/>
        <v/>
      </c>
      <c r="K806" s="24" t="str">
        <f t="shared" si="70"/>
        <v/>
      </c>
      <c r="L806" s="25" t="str">
        <f t="shared" si="66"/>
        <v/>
      </c>
      <c r="M806" s="37"/>
      <c r="N806" s="37"/>
      <c r="O806" s="33" t="str">
        <f t="shared" si="67"/>
        <v/>
      </c>
      <c r="P806" s="33" t="str">
        <f t="shared" si="68"/>
        <v/>
      </c>
      <c r="X806" s="1"/>
    </row>
    <row r="807" spans="7:24">
      <c r="G807" s="21"/>
      <c r="H807" s="23"/>
      <c r="I807" s="23" t="str">
        <f>_xlfn.IFNA(VLOOKUP(A807,A808:$H$3524,8,0),"")</f>
        <v/>
      </c>
      <c r="J807" s="40" t="str">
        <f t="shared" si="69"/>
        <v/>
      </c>
      <c r="K807" s="24" t="str">
        <f t="shared" si="70"/>
        <v/>
      </c>
      <c r="L807" s="25" t="str">
        <f t="shared" si="66"/>
        <v/>
      </c>
      <c r="M807" s="37"/>
      <c r="N807" s="37"/>
      <c r="O807" s="33" t="str">
        <f t="shared" si="67"/>
        <v/>
      </c>
      <c r="P807" s="33" t="str">
        <f t="shared" si="68"/>
        <v/>
      </c>
      <c r="X807" s="1"/>
    </row>
    <row r="808" spans="7:24">
      <c r="G808" s="21"/>
      <c r="H808" s="23"/>
      <c r="I808" s="23" t="str">
        <f>_xlfn.IFNA(VLOOKUP(A808,A809:$H$3524,8,0),"")</f>
        <v/>
      </c>
      <c r="J808" s="40" t="str">
        <f t="shared" si="69"/>
        <v/>
      </c>
      <c r="K808" s="24" t="str">
        <f t="shared" si="70"/>
        <v/>
      </c>
      <c r="L808" s="25" t="str">
        <f t="shared" si="66"/>
        <v/>
      </c>
      <c r="M808" s="37"/>
      <c r="N808" s="37"/>
      <c r="O808" s="33" t="str">
        <f t="shared" si="67"/>
        <v/>
      </c>
      <c r="P808" s="33" t="str">
        <f t="shared" si="68"/>
        <v/>
      </c>
      <c r="X808" s="1"/>
    </row>
    <row r="809" spans="7:24">
      <c r="G809" s="21"/>
      <c r="H809" s="23"/>
      <c r="I809" s="23" t="str">
        <f>_xlfn.IFNA(VLOOKUP(A809,A810:$H$3524,8,0),"")</f>
        <v/>
      </c>
      <c r="J809" s="40" t="str">
        <f t="shared" si="69"/>
        <v/>
      </c>
      <c r="K809" s="24" t="str">
        <f t="shared" si="70"/>
        <v/>
      </c>
      <c r="L809" s="25" t="str">
        <f t="shared" si="66"/>
        <v/>
      </c>
      <c r="M809" s="37"/>
      <c r="N809" s="37"/>
      <c r="O809" s="33" t="str">
        <f t="shared" si="67"/>
        <v/>
      </c>
      <c r="P809" s="33" t="str">
        <f t="shared" si="68"/>
        <v/>
      </c>
      <c r="X809" s="1"/>
    </row>
    <row r="810" spans="7:24">
      <c r="G810" s="21"/>
      <c r="H810" s="23"/>
      <c r="I810" s="23" t="str">
        <f>_xlfn.IFNA(VLOOKUP(A810,A811:$H$3524,8,0),"")</f>
        <v/>
      </c>
      <c r="J810" s="40" t="str">
        <f t="shared" si="69"/>
        <v/>
      </c>
      <c r="K810" s="24" t="str">
        <f t="shared" si="70"/>
        <v/>
      </c>
      <c r="L810" s="25" t="str">
        <f t="shared" si="66"/>
        <v/>
      </c>
      <c r="M810" s="37"/>
      <c r="N810" s="37"/>
      <c r="O810" s="33" t="str">
        <f t="shared" si="67"/>
        <v/>
      </c>
      <c r="P810" s="33" t="str">
        <f t="shared" si="68"/>
        <v/>
      </c>
      <c r="X810" s="1"/>
    </row>
    <row r="811" spans="7:24">
      <c r="G811" s="21"/>
      <c r="H811" s="23"/>
      <c r="I811" s="23" t="str">
        <f>_xlfn.IFNA(VLOOKUP(A811,A812:$H$3524,8,0),"")</f>
        <v/>
      </c>
      <c r="J811" s="40" t="str">
        <f t="shared" si="69"/>
        <v/>
      </c>
      <c r="K811" s="24" t="str">
        <f t="shared" si="70"/>
        <v/>
      </c>
      <c r="L811" s="25" t="str">
        <f t="shared" si="66"/>
        <v/>
      </c>
      <c r="M811" s="37"/>
      <c r="N811" s="37"/>
      <c r="O811" s="33" t="str">
        <f t="shared" si="67"/>
        <v/>
      </c>
      <c r="P811" s="33" t="str">
        <f t="shared" si="68"/>
        <v/>
      </c>
      <c r="X811" s="1"/>
    </row>
    <row r="812" spans="7:24">
      <c r="G812" s="21"/>
      <c r="H812" s="23"/>
      <c r="I812" s="23" t="str">
        <f>_xlfn.IFNA(VLOOKUP(A812,A813:$H$3524,8,0),"")</f>
        <v/>
      </c>
      <c r="J812" s="40" t="str">
        <f t="shared" si="69"/>
        <v/>
      </c>
      <c r="K812" s="24" t="str">
        <f t="shared" si="70"/>
        <v/>
      </c>
      <c r="L812" s="25" t="str">
        <f t="shared" si="66"/>
        <v/>
      </c>
      <c r="M812" s="37"/>
      <c r="N812" s="37"/>
      <c r="O812" s="33" t="str">
        <f t="shared" si="67"/>
        <v/>
      </c>
      <c r="P812" s="33" t="str">
        <f t="shared" si="68"/>
        <v/>
      </c>
      <c r="X812" s="1"/>
    </row>
    <row r="813" spans="7:24">
      <c r="G813" s="21"/>
      <c r="H813" s="23"/>
      <c r="I813" s="23" t="str">
        <f>_xlfn.IFNA(VLOOKUP(A813,A814:$H$3524,8,0),"")</f>
        <v/>
      </c>
      <c r="J813" s="40" t="str">
        <f t="shared" si="69"/>
        <v/>
      </c>
      <c r="K813" s="24" t="str">
        <f t="shared" si="70"/>
        <v/>
      </c>
      <c r="L813" s="25" t="str">
        <f t="shared" si="66"/>
        <v/>
      </c>
      <c r="M813" s="37"/>
      <c r="N813" s="37"/>
      <c r="O813" s="33" t="str">
        <f t="shared" si="67"/>
        <v/>
      </c>
      <c r="P813" s="33" t="str">
        <f t="shared" si="68"/>
        <v/>
      </c>
      <c r="X813" s="1"/>
    </row>
    <row r="814" spans="7:24">
      <c r="G814" s="21"/>
      <c r="H814" s="23"/>
      <c r="I814" s="23" t="str">
        <f>_xlfn.IFNA(VLOOKUP(A814,A815:$H$3524,8,0),"")</f>
        <v/>
      </c>
      <c r="J814" s="40" t="str">
        <f t="shared" si="69"/>
        <v/>
      </c>
      <c r="K814" s="24" t="str">
        <f t="shared" si="70"/>
        <v/>
      </c>
      <c r="L814" s="25" t="str">
        <f t="shared" si="66"/>
        <v/>
      </c>
      <c r="M814" s="37"/>
      <c r="N814" s="37"/>
      <c r="O814" s="33" t="str">
        <f t="shared" si="67"/>
        <v/>
      </c>
      <c r="P814" s="33" t="str">
        <f t="shared" si="68"/>
        <v/>
      </c>
      <c r="X814" s="1"/>
    </row>
    <row r="815" spans="7:24">
      <c r="G815" s="21"/>
      <c r="H815" s="23"/>
      <c r="I815" s="23" t="str">
        <f>_xlfn.IFNA(VLOOKUP(A815,A816:$H$3524,8,0),"")</f>
        <v/>
      </c>
      <c r="J815" s="40" t="str">
        <f t="shared" si="69"/>
        <v/>
      </c>
      <c r="K815" s="24" t="str">
        <f t="shared" si="70"/>
        <v/>
      </c>
      <c r="L815" s="25" t="str">
        <f t="shared" si="66"/>
        <v/>
      </c>
      <c r="M815" s="37"/>
      <c r="N815" s="37"/>
      <c r="O815" s="33" t="str">
        <f t="shared" si="67"/>
        <v/>
      </c>
      <c r="P815" s="33" t="str">
        <f t="shared" si="68"/>
        <v/>
      </c>
      <c r="X815" s="1"/>
    </row>
    <row r="816" spans="7:24">
      <c r="G816" s="21"/>
      <c r="H816" s="23"/>
      <c r="I816" s="23" t="str">
        <f>_xlfn.IFNA(VLOOKUP(A816,A817:$H$3524,8,0),"")</f>
        <v/>
      </c>
      <c r="J816" s="40" t="str">
        <f t="shared" si="69"/>
        <v/>
      </c>
      <c r="K816" s="24" t="str">
        <f t="shared" si="70"/>
        <v/>
      </c>
      <c r="L816" s="25" t="str">
        <f t="shared" si="66"/>
        <v/>
      </c>
      <c r="M816" s="37"/>
      <c r="N816" s="37"/>
      <c r="O816" s="33" t="str">
        <f t="shared" si="67"/>
        <v/>
      </c>
      <c r="P816" s="33" t="str">
        <f t="shared" si="68"/>
        <v/>
      </c>
      <c r="X816" s="1"/>
    </row>
    <row r="817" spans="7:24">
      <c r="G817" s="21"/>
      <c r="H817" s="23"/>
      <c r="I817" s="23" t="str">
        <f>_xlfn.IFNA(VLOOKUP(A817,A818:$H$3524,8,0),"")</f>
        <v/>
      </c>
      <c r="J817" s="40" t="str">
        <f t="shared" si="69"/>
        <v/>
      </c>
      <c r="K817" s="24" t="str">
        <f t="shared" si="70"/>
        <v/>
      </c>
      <c r="L817" s="25" t="str">
        <f t="shared" si="66"/>
        <v/>
      </c>
      <c r="M817" s="37"/>
      <c r="N817" s="37"/>
      <c r="O817" s="33" t="str">
        <f t="shared" si="67"/>
        <v/>
      </c>
      <c r="P817" s="33" t="str">
        <f t="shared" si="68"/>
        <v/>
      </c>
      <c r="X817" s="1"/>
    </row>
    <row r="818" spans="7:24">
      <c r="G818" s="21"/>
      <c r="H818" s="23"/>
      <c r="I818" s="23" t="str">
        <f>_xlfn.IFNA(VLOOKUP(A818,A819:$H$3524,8,0),"")</f>
        <v/>
      </c>
      <c r="J818" s="40" t="str">
        <f t="shared" si="69"/>
        <v/>
      </c>
      <c r="K818" s="24" t="str">
        <f t="shared" si="70"/>
        <v/>
      </c>
      <c r="L818" s="25" t="str">
        <f t="shared" si="66"/>
        <v/>
      </c>
      <c r="M818" s="37"/>
      <c r="N818" s="37"/>
      <c r="O818" s="33" t="str">
        <f t="shared" si="67"/>
        <v/>
      </c>
      <c r="P818" s="33" t="str">
        <f t="shared" si="68"/>
        <v/>
      </c>
      <c r="X818" s="1"/>
    </row>
    <row r="819" spans="7:24">
      <c r="G819" s="21"/>
      <c r="H819" s="23"/>
      <c r="I819" s="23" t="str">
        <f>_xlfn.IFNA(VLOOKUP(A819,A820:$H$3524,8,0),"")</f>
        <v/>
      </c>
      <c r="J819" s="40" t="str">
        <f t="shared" si="69"/>
        <v/>
      </c>
      <c r="K819" s="24" t="str">
        <f t="shared" si="70"/>
        <v/>
      </c>
      <c r="L819" s="25" t="str">
        <f t="shared" si="66"/>
        <v/>
      </c>
      <c r="M819" s="37"/>
      <c r="N819" s="37"/>
      <c r="O819" s="33" t="str">
        <f t="shared" si="67"/>
        <v/>
      </c>
      <c r="P819" s="33" t="str">
        <f t="shared" si="68"/>
        <v/>
      </c>
      <c r="X819" s="1"/>
    </row>
    <row r="820" spans="7:24">
      <c r="G820" s="21"/>
      <c r="H820" s="23"/>
      <c r="I820" s="23" t="str">
        <f>_xlfn.IFNA(VLOOKUP(A820,A821:$H$3524,8,0),"")</f>
        <v/>
      </c>
      <c r="J820" s="40" t="str">
        <f t="shared" si="69"/>
        <v/>
      </c>
      <c r="K820" s="24" t="str">
        <f t="shared" si="70"/>
        <v/>
      </c>
      <c r="L820" s="25" t="str">
        <f t="shared" si="66"/>
        <v/>
      </c>
      <c r="M820" s="37"/>
      <c r="N820" s="37"/>
      <c r="O820" s="33" t="str">
        <f t="shared" si="67"/>
        <v/>
      </c>
      <c r="P820" s="33" t="str">
        <f t="shared" si="68"/>
        <v/>
      </c>
      <c r="X820" s="1"/>
    </row>
    <row r="821" spans="7:24">
      <c r="G821" s="21"/>
      <c r="H821" s="23"/>
      <c r="I821" s="23" t="str">
        <f>_xlfn.IFNA(VLOOKUP(A821,A822:$H$3524,8,0),"")</f>
        <v/>
      </c>
      <c r="J821" s="40" t="str">
        <f t="shared" si="69"/>
        <v/>
      </c>
      <c r="K821" s="24" t="str">
        <f t="shared" si="70"/>
        <v/>
      </c>
      <c r="L821" s="25" t="str">
        <f t="shared" si="66"/>
        <v/>
      </c>
      <c r="M821" s="37"/>
      <c r="N821" s="37"/>
      <c r="O821" s="33" t="str">
        <f t="shared" si="67"/>
        <v/>
      </c>
      <c r="P821" s="33" t="str">
        <f t="shared" si="68"/>
        <v/>
      </c>
      <c r="X821" s="1"/>
    </row>
    <row r="822" spans="7:24">
      <c r="G822" s="21"/>
      <c r="H822" s="23"/>
      <c r="I822" s="23" t="str">
        <f>_xlfn.IFNA(VLOOKUP(A822,A823:$H$3524,8,0),"")</f>
        <v/>
      </c>
      <c r="J822" s="40" t="str">
        <f t="shared" si="69"/>
        <v/>
      </c>
      <c r="K822" s="24" t="str">
        <f t="shared" si="70"/>
        <v/>
      </c>
      <c r="L822" s="25" t="str">
        <f t="shared" si="66"/>
        <v/>
      </c>
      <c r="M822" s="37"/>
      <c r="N822" s="37"/>
      <c r="O822" s="33" t="str">
        <f t="shared" si="67"/>
        <v/>
      </c>
      <c r="P822" s="33" t="str">
        <f t="shared" si="68"/>
        <v/>
      </c>
      <c r="X822" s="1"/>
    </row>
    <row r="823" spans="7:24">
      <c r="G823" s="21"/>
      <c r="H823" s="23"/>
      <c r="I823" s="23" t="str">
        <f>_xlfn.IFNA(VLOOKUP(A823,A824:$H$3524,8,0),"")</f>
        <v/>
      </c>
      <c r="J823" s="40" t="str">
        <f t="shared" si="69"/>
        <v/>
      </c>
      <c r="K823" s="24" t="str">
        <f t="shared" si="70"/>
        <v/>
      </c>
      <c r="L823" s="25" t="str">
        <f t="shared" ref="L823:L886" si="71">IF(K823="","",IF(B823="Break","Break",IF(K823&lt;&gt;0,"Work Finished",IF(B823="OFF","Work Finished",IF(I823="","Working","Work Finished")))))</f>
        <v/>
      </c>
      <c r="M823" s="37"/>
      <c r="N823" s="37"/>
      <c r="O823" s="33" t="str">
        <f t="shared" ref="O823:O886" si="72">IF(AND(J823="",M823="",N823=""),"",J823-M823-N823)</f>
        <v/>
      </c>
      <c r="P823" s="33" t="str">
        <f t="shared" ref="P823:P886" si="73">IF(HOUR(H823)=0,"",HOUR(H823))</f>
        <v/>
      </c>
      <c r="X823" s="1"/>
    </row>
    <row r="824" spans="7:24">
      <c r="G824" s="21"/>
      <c r="H824" s="23"/>
      <c r="I824" s="23" t="str">
        <f>_xlfn.IFNA(VLOOKUP(A824,A825:$H$3524,8,0),"")</f>
        <v/>
      </c>
      <c r="J824" s="40" t="str">
        <f t="shared" si="69"/>
        <v/>
      </c>
      <c r="K824" s="24" t="str">
        <f t="shared" si="70"/>
        <v/>
      </c>
      <c r="L824" s="25" t="str">
        <f t="shared" si="71"/>
        <v/>
      </c>
      <c r="M824" s="37"/>
      <c r="N824" s="37"/>
      <c r="O824" s="33" t="str">
        <f t="shared" si="72"/>
        <v/>
      </c>
      <c r="P824" s="33" t="str">
        <f t="shared" si="73"/>
        <v/>
      </c>
      <c r="X824" s="1"/>
    </row>
    <row r="825" spans="7:24">
      <c r="G825" s="21"/>
      <c r="H825" s="23"/>
      <c r="I825" s="23" t="str">
        <f>_xlfn.IFNA(VLOOKUP(A825,A826:$H$3524,8,0),"")</f>
        <v/>
      </c>
      <c r="J825" s="40" t="str">
        <f t="shared" si="69"/>
        <v/>
      </c>
      <c r="K825" s="24" t="str">
        <f t="shared" si="70"/>
        <v/>
      </c>
      <c r="L825" s="25" t="str">
        <f t="shared" si="71"/>
        <v/>
      </c>
      <c r="M825" s="37"/>
      <c r="N825" s="37"/>
      <c r="O825" s="33" t="str">
        <f t="shared" si="72"/>
        <v/>
      </c>
      <c r="P825" s="33" t="str">
        <f t="shared" si="73"/>
        <v/>
      </c>
      <c r="X825" s="1"/>
    </row>
    <row r="826" spans="7:24">
      <c r="G826" s="21"/>
      <c r="H826" s="23"/>
      <c r="I826" s="23" t="str">
        <f>_xlfn.IFNA(VLOOKUP(A826,A827:$H$3524,8,0),"")</f>
        <v/>
      </c>
      <c r="J826" s="40" t="str">
        <f t="shared" si="69"/>
        <v/>
      </c>
      <c r="K826" s="24" t="str">
        <f t="shared" si="70"/>
        <v/>
      </c>
      <c r="L826" s="25" t="str">
        <f t="shared" si="71"/>
        <v/>
      </c>
      <c r="M826" s="37"/>
      <c r="N826" s="37"/>
      <c r="O826" s="33" t="str">
        <f t="shared" si="72"/>
        <v/>
      </c>
      <c r="P826" s="33" t="str">
        <f t="shared" si="73"/>
        <v/>
      </c>
      <c r="X826" s="1"/>
    </row>
    <row r="827" spans="7:24">
      <c r="G827" s="21"/>
      <c r="H827" s="23"/>
      <c r="I827" s="23" t="str">
        <f>_xlfn.IFNA(VLOOKUP(A827,A828:$H$3524,8,0),"")</f>
        <v/>
      </c>
      <c r="J827" s="40" t="str">
        <f t="shared" si="69"/>
        <v/>
      </c>
      <c r="K827" s="24" t="str">
        <f t="shared" si="70"/>
        <v/>
      </c>
      <c r="L827" s="25" t="str">
        <f t="shared" si="71"/>
        <v/>
      </c>
      <c r="M827" s="37"/>
      <c r="N827" s="37"/>
      <c r="O827" s="33" t="str">
        <f t="shared" si="72"/>
        <v/>
      </c>
      <c r="P827" s="33" t="str">
        <f t="shared" si="73"/>
        <v/>
      </c>
      <c r="X827" s="1"/>
    </row>
    <row r="828" spans="7:24">
      <c r="G828" s="21"/>
      <c r="H828" s="23"/>
      <c r="I828" s="23" t="str">
        <f>_xlfn.IFNA(VLOOKUP(A828,A829:$H$3524,8,0),"")</f>
        <v/>
      </c>
      <c r="J828" s="40" t="str">
        <f t="shared" si="69"/>
        <v/>
      </c>
      <c r="K828" s="24" t="str">
        <f t="shared" si="70"/>
        <v/>
      </c>
      <c r="L828" s="25" t="str">
        <f t="shared" si="71"/>
        <v/>
      </c>
      <c r="M828" s="37"/>
      <c r="N828" s="37"/>
      <c r="O828" s="33" t="str">
        <f t="shared" si="72"/>
        <v/>
      </c>
      <c r="P828" s="33" t="str">
        <f t="shared" si="73"/>
        <v/>
      </c>
      <c r="X828" s="1"/>
    </row>
    <row r="829" spans="7:24">
      <c r="G829" s="21"/>
      <c r="H829" s="23"/>
      <c r="I829" s="23" t="str">
        <f>_xlfn.IFNA(VLOOKUP(A829,A830:$H$3524,8,0),"")</f>
        <v/>
      </c>
      <c r="J829" s="40" t="str">
        <f t="shared" si="69"/>
        <v/>
      </c>
      <c r="K829" s="24" t="str">
        <f t="shared" si="70"/>
        <v/>
      </c>
      <c r="L829" s="25" t="str">
        <f t="shared" si="71"/>
        <v/>
      </c>
      <c r="M829" s="37"/>
      <c r="N829" s="37"/>
      <c r="O829" s="33" t="str">
        <f t="shared" si="72"/>
        <v/>
      </c>
      <c r="P829" s="33" t="str">
        <f t="shared" si="73"/>
        <v/>
      </c>
      <c r="X829" s="1"/>
    </row>
    <row r="830" spans="7:24">
      <c r="G830" s="21"/>
      <c r="H830" s="23"/>
      <c r="I830" s="23" t="str">
        <f>_xlfn.IFNA(VLOOKUP(A830,A831:$H$3524,8,0),"")</f>
        <v/>
      </c>
      <c r="J830" s="40" t="str">
        <f t="shared" si="69"/>
        <v/>
      </c>
      <c r="K830" s="24" t="str">
        <f t="shared" si="70"/>
        <v/>
      </c>
      <c r="L830" s="25" t="str">
        <f t="shared" si="71"/>
        <v/>
      </c>
      <c r="M830" s="37"/>
      <c r="N830" s="37"/>
      <c r="O830" s="33" t="str">
        <f t="shared" si="72"/>
        <v/>
      </c>
      <c r="P830" s="33" t="str">
        <f t="shared" si="73"/>
        <v/>
      </c>
      <c r="X830" s="1"/>
    </row>
    <row r="831" spans="7:24">
      <c r="G831" s="21"/>
      <c r="H831" s="23"/>
      <c r="I831" s="23" t="str">
        <f>_xlfn.IFNA(VLOOKUP(A831,A832:$H$3524,8,0),"")</f>
        <v/>
      </c>
      <c r="J831" s="40" t="str">
        <f t="shared" si="69"/>
        <v/>
      </c>
      <c r="K831" s="24" t="str">
        <f t="shared" si="70"/>
        <v/>
      </c>
      <c r="L831" s="25" t="str">
        <f t="shared" si="71"/>
        <v/>
      </c>
      <c r="M831" s="37"/>
      <c r="N831" s="37"/>
      <c r="O831" s="33" t="str">
        <f t="shared" si="72"/>
        <v/>
      </c>
      <c r="P831" s="33" t="str">
        <f t="shared" si="73"/>
        <v/>
      </c>
      <c r="X831" s="1"/>
    </row>
    <row r="832" spans="7:24">
      <c r="G832" s="21"/>
      <c r="H832" s="23"/>
      <c r="I832" s="23" t="str">
        <f>_xlfn.IFNA(VLOOKUP(A832,A833:$H$3524,8,0),"")</f>
        <v/>
      </c>
      <c r="J832" s="40" t="str">
        <f t="shared" si="69"/>
        <v/>
      </c>
      <c r="K832" s="24" t="str">
        <f t="shared" si="70"/>
        <v/>
      </c>
      <c r="L832" s="25" t="str">
        <f t="shared" si="71"/>
        <v/>
      </c>
      <c r="M832" s="37"/>
      <c r="N832" s="37"/>
      <c r="O832" s="33" t="str">
        <f t="shared" si="72"/>
        <v/>
      </c>
      <c r="P832" s="33" t="str">
        <f t="shared" si="73"/>
        <v/>
      </c>
      <c r="X832" s="1"/>
    </row>
    <row r="833" spans="7:24">
      <c r="G833" s="21"/>
      <c r="H833" s="23"/>
      <c r="I833" s="23" t="str">
        <f>_xlfn.IFNA(VLOOKUP(A833,A834:$H$3524,8,0),"")</f>
        <v/>
      </c>
      <c r="J833" s="40" t="str">
        <f t="shared" si="69"/>
        <v/>
      </c>
      <c r="K833" s="24" t="str">
        <f t="shared" si="70"/>
        <v/>
      </c>
      <c r="L833" s="25" t="str">
        <f t="shared" si="71"/>
        <v/>
      </c>
      <c r="M833" s="37"/>
      <c r="N833" s="37"/>
      <c r="O833" s="33" t="str">
        <f t="shared" si="72"/>
        <v/>
      </c>
      <c r="P833" s="33" t="str">
        <f t="shared" si="73"/>
        <v/>
      </c>
      <c r="X833" s="1"/>
    </row>
    <row r="834" spans="7:24">
      <c r="G834" s="21"/>
      <c r="H834" s="23"/>
      <c r="I834" s="23" t="str">
        <f>_xlfn.IFNA(VLOOKUP(A834,A835:$H$3524,8,0),"")</f>
        <v/>
      </c>
      <c r="J834" s="40" t="str">
        <f t="shared" si="69"/>
        <v/>
      </c>
      <c r="K834" s="24" t="str">
        <f t="shared" si="70"/>
        <v/>
      </c>
      <c r="L834" s="25" t="str">
        <f t="shared" si="71"/>
        <v/>
      </c>
      <c r="M834" s="37"/>
      <c r="N834" s="37"/>
      <c r="O834" s="33" t="str">
        <f t="shared" si="72"/>
        <v/>
      </c>
      <c r="P834" s="33" t="str">
        <f t="shared" si="73"/>
        <v/>
      </c>
      <c r="X834" s="1"/>
    </row>
    <row r="835" spans="7:24">
      <c r="G835" s="21"/>
      <c r="H835" s="23"/>
      <c r="I835" s="23" t="str">
        <f>_xlfn.IFNA(VLOOKUP(A835,A836:$H$3524,8,0),"")</f>
        <v/>
      </c>
      <c r="J835" s="40" t="str">
        <f t="shared" si="69"/>
        <v/>
      </c>
      <c r="K835" s="24" t="str">
        <f t="shared" si="70"/>
        <v/>
      </c>
      <c r="L835" s="25" t="str">
        <f t="shared" si="71"/>
        <v/>
      </c>
      <c r="M835" s="37"/>
      <c r="N835" s="37"/>
      <c r="O835" s="33" t="str">
        <f t="shared" si="72"/>
        <v/>
      </c>
      <c r="P835" s="33" t="str">
        <f t="shared" si="73"/>
        <v/>
      </c>
      <c r="X835" s="1"/>
    </row>
    <row r="836" spans="7:24">
      <c r="G836" s="21"/>
      <c r="H836" s="23"/>
      <c r="I836" s="23" t="str">
        <f>_xlfn.IFNA(VLOOKUP(A836,A837:$H$3524,8,0),"")</f>
        <v/>
      </c>
      <c r="J836" s="40" t="str">
        <f t="shared" si="69"/>
        <v/>
      </c>
      <c r="K836" s="24" t="str">
        <f t="shared" si="70"/>
        <v/>
      </c>
      <c r="L836" s="25" t="str">
        <f t="shared" si="71"/>
        <v/>
      </c>
      <c r="M836" s="37"/>
      <c r="N836" s="37"/>
      <c r="O836" s="33" t="str">
        <f t="shared" si="72"/>
        <v/>
      </c>
      <c r="P836" s="33" t="str">
        <f t="shared" si="73"/>
        <v/>
      </c>
      <c r="X836" s="1"/>
    </row>
    <row r="837" spans="7:24">
      <c r="G837" s="21"/>
      <c r="H837" s="23"/>
      <c r="I837" s="23" t="str">
        <f>_xlfn.IFNA(VLOOKUP(A837,A838:$H$3524,8,0),"")</f>
        <v/>
      </c>
      <c r="J837" s="40" t="str">
        <f t="shared" si="69"/>
        <v/>
      </c>
      <c r="K837" s="24" t="str">
        <f t="shared" si="70"/>
        <v/>
      </c>
      <c r="L837" s="25" t="str">
        <f t="shared" si="71"/>
        <v/>
      </c>
      <c r="M837" s="37"/>
      <c r="N837" s="37"/>
      <c r="O837" s="33" t="str">
        <f t="shared" si="72"/>
        <v/>
      </c>
      <c r="P837" s="33" t="str">
        <f t="shared" si="73"/>
        <v/>
      </c>
      <c r="X837" s="1"/>
    </row>
    <row r="838" spans="7:24">
      <c r="G838" s="21"/>
      <c r="H838" s="23"/>
      <c r="I838" s="23" t="str">
        <f>_xlfn.IFNA(VLOOKUP(A838,A839:$H$3524,8,0),"")</f>
        <v/>
      </c>
      <c r="J838" s="40" t="str">
        <f t="shared" ref="J838:J901" si="74">IF(B838="OFF",0,IF(AND(D838&lt;&gt;"",E838&lt;&gt;""),E838-D838+1,""))</f>
        <v/>
      </c>
      <c r="K838" s="24" t="str">
        <f t="shared" si="70"/>
        <v/>
      </c>
      <c r="L838" s="25" t="str">
        <f t="shared" si="71"/>
        <v/>
      </c>
      <c r="M838" s="37"/>
      <c r="N838" s="37"/>
      <c r="O838" s="33" t="str">
        <f t="shared" si="72"/>
        <v/>
      </c>
      <c r="P838" s="33" t="str">
        <f t="shared" si="73"/>
        <v/>
      </c>
      <c r="X838" s="1"/>
    </row>
    <row r="839" spans="7:24">
      <c r="G839" s="21"/>
      <c r="H839" s="23"/>
      <c r="I839" s="23" t="str">
        <f>_xlfn.IFNA(VLOOKUP(A839,A840:$H$3524,8,0),"")</f>
        <v/>
      </c>
      <c r="J839" s="40" t="str">
        <f t="shared" si="74"/>
        <v/>
      </c>
      <c r="K839" s="24" t="str">
        <f t="shared" si="70"/>
        <v/>
      </c>
      <c r="L839" s="25" t="str">
        <f t="shared" si="71"/>
        <v/>
      </c>
      <c r="M839" s="37"/>
      <c r="N839" s="37"/>
      <c r="O839" s="33" t="str">
        <f t="shared" si="72"/>
        <v/>
      </c>
      <c r="P839" s="33" t="str">
        <f t="shared" si="73"/>
        <v/>
      </c>
      <c r="X839" s="1"/>
    </row>
    <row r="840" spans="7:24">
      <c r="G840" s="21"/>
      <c r="H840" s="23"/>
      <c r="I840" s="23" t="str">
        <f>_xlfn.IFNA(VLOOKUP(A840,A841:$H$3524,8,0),"")</f>
        <v/>
      </c>
      <c r="J840" s="40" t="str">
        <f t="shared" si="74"/>
        <v/>
      </c>
      <c r="K840" s="24" t="str">
        <f t="shared" si="70"/>
        <v/>
      </c>
      <c r="L840" s="25" t="str">
        <f t="shared" si="71"/>
        <v/>
      </c>
      <c r="M840" s="37"/>
      <c r="N840" s="37"/>
      <c r="O840" s="33" t="str">
        <f t="shared" si="72"/>
        <v/>
      </c>
      <c r="P840" s="33" t="str">
        <f t="shared" si="73"/>
        <v/>
      </c>
      <c r="X840" s="1"/>
    </row>
    <row r="841" spans="7:24">
      <c r="G841" s="21"/>
      <c r="H841" s="23"/>
      <c r="I841" s="23" t="str">
        <f>_xlfn.IFNA(VLOOKUP(A841,A842:$H$3524,8,0),"")</f>
        <v/>
      </c>
      <c r="J841" s="40" t="str">
        <f t="shared" si="74"/>
        <v/>
      </c>
      <c r="K841" s="24" t="str">
        <f t="shared" si="70"/>
        <v/>
      </c>
      <c r="L841" s="25" t="str">
        <f t="shared" si="71"/>
        <v/>
      </c>
      <c r="M841" s="37"/>
      <c r="N841" s="37"/>
      <c r="O841" s="33" t="str">
        <f t="shared" si="72"/>
        <v/>
      </c>
      <c r="P841" s="33" t="str">
        <f t="shared" si="73"/>
        <v/>
      </c>
      <c r="X841" s="1"/>
    </row>
    <row r="842" spans="7:24">
      <c r="G842" s="21"/>
      <c r="H842" s="23"/>
      <c r="I842" s="23" t="str">
        <f>_xlfn.IFNA(VLOOKUP(A842,A843:$H$3524,8,0),"")</f>
        <v/>
      </c>
      <c r="J842" s="40" t="str">
        <f t="shared" si="74"/>
        <v/>
      </c>
      <c r="K842" s="24" t="str">
        <f t="shared" si="70"/>
        <v/>
      </c>
      <c r="L842" s="25" t="str">
        <f t="shared" si="71"/>
        <v/>
      </c>
      <c r="M842" s="37"/>
      <c r="N842" s="37"/>
      <c r="O842" s="33" t="str">
        <f t="shared" si="72"/>
        <v/>
      </c>
      <c r="P842" s="33" t="str">
        <f t="shared" si="73"/>
        <v/>
      </c>
      <c r="X842" s="1"/>
    </row>
    <row r="843" spans="7:24">
      <c r="G843" s="21"/>
      <c r="H843" s="23"/>
      <c r="I843" s="23" t="str">
        <f>_xlfn.IFNA(VLOOKUP(A843,A844:$H$3524,8,0),"")</f>
        <v/>
      </c>
      <c r="J843" s="40" t="str">
        <f t="shared" si="74"/>
        <v/>
      </c>
      <c r="K843" s="24" t="str">
        <f t="shared" si="70"/>
        <v/>
      </c>
      <c r="L843" s="25" t="str">
        <f t="shared" si="71"/>
        <v/>
      </c>
      <c r="M843" s="37"/>
      <c r="N843" s="37"/>
      <c r="O843" s="33" t="str">
        <f t="shared" si="72"/>
        <v/>
      </c>
      <c r="P843" s="33" t="str">
        <f t="shared" si="73"/>
        <v/>
      </c>
      <c r="X843" s="1"/>
    </row>
    <row r="844" spans="7:24">
      <c r="G844" s="21"/>
      <c r="H844" s="23"/>
      <c r="I844" s="23" t="str">
        <f>_xlfn.IFNA(VLOOKUP(A844,A845:$H$3524,8,0),"")</f>
        <v/>
      </c>
      <c r="J844" s="40" t="str">
        <f t="shared" si="74"/>
        <v/>
      </c>
      <c r="K844" s="24" t="str">
        <f t="shared" si="70"/>
        <v/>
      </c>
      <c r="L844" s="25" t="str">
        <f t="shared" si="71"/>
        <v/>
      </c>
      <c r="M844" s="37"/>
      <c r="N844" s="37"/>
      <c r="O844" s="33" t="str">
        <f t="shared" si="72"/>
        <v/>
      </c>
      <c r="P844" s="33" t="str">
        <f t="shared" si="73"/>
        <v/>
      </c>
      <c r="X844" s="1"/>
    </row>
    <row r="845" spans="7:24">
      <c r="G845" s="21"/>
      <c r="H845" s="23"/>
      <c r="I845" s="23" t="str">
        <f>_xlfn.IFNA(VLOOKUP(A845,A846:$H$3524,8,0),"")</f>
        <v/>
      </c>
      <c r="J845" s="40" t="str">
        <f t="shared" si="74"/>
        <v/>
      </c>
      <c r="K845" s="24" t="str">
        <f t="shared" si="70"/>
        <v/>
      </c>
      <c r="L845" s="25" t="str">
        <f t="shared" si="71"/>
        <v/>
      </c>
      <c r="M845" s="37"/>
      <c r="N845" s="37"/>
      <c r="O845" s="33" t="str">
        <f t="shared" si="72"/>
        <v/>
      </c>
      <c r="P845" s="33" t="str">
        <f t="shared" si="73"/>
        <v/>
      </c>
      <c r="X845" s="1"/>
    </row>
    <row r="846" spans="7:24">
      <c r="G846" s="21"/>
      <c r="H846" s="23"/>
      <c r="I846" s="23" t="str">
        <f>_xlfn.IFNA(VLOOKUP(A846,A847:$H$3524,8,0),"")</f>
        <v/>
      </c>
      <c r="J846" s="40" t="str">
        <f t="shared" si="74"/>
        <v/>
      </c>
      <c r="K846" s="24" t="str">
        <f t="shared" si="70"/>
        <v/>
      </c>
      <c r="L846" s="25" t="str">
        <f t="shared" si="71"/>
        <v/>
      </c>
      <c r="M846" s="37"/>
      <c r="N846" s="37"/>
      <c r="O846" s="33" t="str">
        <f t="shared" si="72"/>
        <v/>
      </c>
      <c r="P846" s="33" t="str">
        <f t="shared" si="73"/>
        <v/>
      </c>
      <c r="X846" s="1"/>
    </row>
    <row r="847" spans="7:24">
      <c r="G847" s="21"/>
      <c r="H847" s="23"/>
      <c r="I847" s="23" t="str">
        <f>_xlfn.IFNA(VLOOKUP(A847,A848:$H$3524,8,0),"")</f>
        <v/>
      </c>
      <c r="J847" s="40" t="str">
        <f t="shared" si="74"/>
        <v/>
      </c>
      <c r="K847" s="24" t="str">
        <f t="shared" si="70"/>
        <v/>
      </c>
      <c r="L847" s="25" t="str">
        <f t="shared" si="71"/>
        <v/>
      </c>
      <c r="M847" s="37"/>
      <c r="N847" s="37"/>
      <c r="O847" s="33" t="str">
        <f t="shared" si="72"/>
        <v/>
      </c>
      <c r="P847" s="33" t="str">
        <f t="shared" si="73"/>
        <v/>
      </c>
      <c r="X847" s="1"/>
    </row>
    <row r="848" spans="7:24">
      <c r="G848" s="21"/>
      <c r="H848" s="23"/>
      <c r="I848" s="23" t="str">
        <f>_xlfn.IFNA(VLOOKUP(A848,A849:$H$3524,8,0),"")</f>
        <v/>
      </c>
      <c r="J848" s="40" t="str">
        <f t="shared" si="74"/>
        <v/>
      </c>
      <c r="K848" s="24" t="str">
        <f t="shared" si="70"/>
        <v/>
      </c>
      <c r="L848" s="25" t="str">
        <f t="shared" si="71"/>
        <v/>
      </c>
      <c r="M848" s="37"/>
      <c r="N848" s="37"/>
      <c r="O848" s="33" t="str">
        <f t="shared" si="72"/>
        <v/>
      </c>
      <c r="P848" s="33" t="str">
        <f t="shared" si="73"/>
        <v/>
      </c>
      <c r="X848" s="1"/>
    </row>
    <row r="849" spans="7:24">
      <c r="G849" s="21"/>
      <c r="H849" s="23"/>
      <c r="I849" s="23" t="str">
        <f>_xlfn.IFNA(VLOOKUP(A849,A850:$H$3524,8,0),"")</f>
        <v/>
      </c>
      <c r="J849" s="40" t="str">
        <f t="shared" si="74"/>
        <v/>
      </c>
      <c r="K849" s="24" t="str">
        <f t="shared" si="70"/>
        <v/>
      </c>
      <c r="L849" s="25" t="str">
        <f t="shared" si="71"/>
        <v/>
      </c>
      <c r="M849" s="37"/>
      <c r="N849" s="37"/>
      <c r="O849" s="33" t="str">
        <f t="shared" si="72"/>
        <v/>
      </c>
      <c r="P849" s="33" t="str">
        <f t="shared" si="73"/>
        <v/>
      </c>
      <c r="X849" s="1"/>
    </row>
    <row r="850" spans="7:24">
      <c r="G850" s="21"/>
      <c r="H850" s="23"/>
      <c r="I850" s="23" t="str">
        <f>_xlfn.IFNA(VLOOKUP(A850,A851:$H$3524,8,0),"")</f>
        <v/>
      </c>
      <c r="J850" s="40" t="str">
        <f t="shared" si="74"/>
        <v/>
      </c>
      <c r="K850" s="24" t="str">
        <f t="shared" si="70"/>
        <v/>
      </c>
      <c r="L850" s="25" t="str">
        <f t="shared" si="71"/>
        <v/>
      </c>
      <c r="M850" s="37"/>
      <c r="N850" s="37"/>
      <c r="O850" s="33" t="str">
        <f t="shared" si="72"/>
        <v/>
      </c>
      <c r="P850" s="33" t="str">
        <f t="shared" si="73"/>
        <v/>
      </c>
      <c r="X850" s="1"/>
    </row>
    <row r="851" spans="7:24">
      <c r="G851" s="21"/>
      <c r="H851" s="23"/>
      <c r="I851" s="23" t="str">
        <f>_xlfn.IFNA(VLOOKUP(A851,A852:$H$3524,8,0),"")</f>
        <v/>
      </c>
      <c r="J851" s="40" t="str">
        <f t="shared" si="74"/>
        <v/>
      </c>
      <c r="K851" s="24" t="str">
        <f t="shared" si="70"/>
        <v/>
      </c>
      <c r="L851" s="25" t="str">
        <f t="shared" si="71"/>
        <v/>
      </c>
      <c r="M851" s="37"/>
      <c r="N851" s="37"/>
      <c r="O851" s="33" t="str">
        <f t="shared" si="72"/>
        <v/>
      </c>
      <c r="P851" s="33" t="str">
        <f t="shared" si="73"/>
        <v/>
      </c>
      <c r="X851" s="1"/>
    </row>
    <row r="852" spans="7:24">
      <c r="G852" s="21"/>
      <c r="H852" s="23"/>
      <c r="I852" s="23" t="str">
        <f>_xlfn.IFNA(VLOOKUP(A852,A853:$H$3524,8,0),"")</f>
        <v/>
      </c>
      <c r="J852" s="40" t="str">
        <f t="shared" si="74"/>
        <v/>
      </c>
      <c r="K852" s="24" t="str">
        <f t="shared" si="70"/>
        <v/>
      </c>
      <c r="L852" s="25" t="str">
        <f t="shared" si="71"/>
        <v/>
      </c>
      <c r="M852" s="37"/>
      <c r="N852" s="37"/>
      <c r="O852" s="33" t="str">
        <f t="shared" si="72"/>
        <v/>
      </c>
      <c r="P852" s="33" t="str">
        <f t="shared" si="73"/>
        <v/>
      </c>
      <c r="X852" s="1"/>
    </row>
    <row r="853" spans="7:24">
      <c r="G853" s="21"/>
      <c r="H853" s="23"/>
      <c r="I853" s="23" t="str">
        <f>_xlfn.IFNA(VLOOKUP(A853,A854:$H$3524,8,0),"")</f>
        <v/>
      </c>
      <c r="J853" s="40" t="str">
        <f t="shared" si="74"/>
        <v/>
      </c>
      <c r="K853" s="24" t="str">
        <f t="shared" si="70"/>
        <v/>
      </c>
      <c r="L853" s="25" t="str">
        <f t="shared" si="71"/>
        <v/>
      </c>
      <c r="M853" s="37"/>
      <c r="N853" s="37"/>
      <c r="O853" s="33" t="str">
        <f t="shared" si="72"/>
        <v/>
      </c>
      <c r="P853" s="33" t="str">
        <f t="shared" si="73"/>
        <v/>
      </c>
      <c r="X853" s="1"/>
    </row>
    <row r="854" spans="7:24">
      <c r="G854" s="21"/>
      <c r="H854" s="23"/>
      <c r="I854" s="23" t="str">
        <f>_xlfn.IFNA(VLOOKUP(A854,A855:$H$3524,8,0),"")</f>
        <v/>
      </c>
      <c r="J854" s="40" t="str">
        <f t="shared" si="74"/>
        <v/>
      </c>
      <c r="K854" s="24" t="str">
        <f t="shared" ref="K854:K917" si="75">IF(H854="","",IFERROR((I854-H854)*24,0))</f>
        <v/>
      </c>
      <c r="L854" s="25" t="str">
        <f t="shared" si="71"/>
        <v/>
      </c>
      <c r="M854" s="37"/>
      <c r="N854" s="37"/>
      <c r="O854" s="33" t="str">
        <f t="shared" si="72"/>
        <v/>
      </c>
      <c r="P854" s="33" t="str">
        <f t="shared" si="73"/>
        <v/>
      </c>
      <c r="X854" s="1"/>
    </row>
    <row r="855" spans="7:24">
      <c r="G855" s="21"/>
      <c r="H855" s="23"/>
      <c r="I855" s="23" t="str">
        <f>_xlfn.IFNA(VLOOKUP(A855,A856:$H$3524,8,0),"")</f>
        <v/>
      </c>
      <c r="J855" s="40" t="str">
        <f t="shared" si="74"/>
        <v/>
      </c>
      <c r="K855" s="24" t="str">
        <f t="shared" si="75"/>
        <v/>
      </c>
      <c r="L855" s="25" t="str">
        <f t="shared" si="71"/>
        <v/>
      </c>
      <c r="M855" s="37"/>
      <c r="N855" s="37"/>
      <c r="O855" s="33" t="str">
        <f t="shared" si="72"/>
        <v/>
      </c>
      <c r="P855" s="33" t="str">
        <f t="shared" si="73"/>
        <v/>
      </c>
      <c r="X855" s="1"/>
    </row>
    <row r="856" spans="7:24">
      <c r="G856" s="21"/>
      <c r="H856" s="23"/>
      <c r="I856" s="23" t="str">
        <f>_xlfn.IFNA(VLOOKUP(A856,A857:$H$3524,8,0),"")</f>
        <v/>
      </c>
      <c r="J856" s="40" t="str">
        <f t="shared" si="74"/>
        <v/>
      </c>
      <c r="K856" s="24" t="str">
        <f t="shared" si="75"/>
        <v/>
      </c>
      <c r="L856" s="25" t="str">
        <f t="shared" si="71"/>
        <v/>
      </c>
      <c r="M856" s="37"/>
      <c r="N856" s="37"/>
      <c r="O856" s="33" t="str">
        <f t="shared" si="72"/>
        <v/>
      </c>
      <c r="P856" s="33" t="str">
        <f t="shared" si="73"/>
        <v/>
      </c>
      <c r="X856" s="1"/>
    </row>
    <row r="857" spans="7:24">
      <c r="G857" s="21"/>
      <c r="H857" s="23"/>
      <c r="I857" s="23" t="str">
        <f>_xlfn.IFNA(VLOOKUP(A857,A858:$H$3524,8,0),"")</f>
        <v/>
      </c>
      <c r="J857" s="40" t="str">
        <f t="shared" si="74"/>
        <v/>
      </c>
      <c r="K857" s="24" t="str">
        <f t="shared" si="75"/>
        <v/>
      </c>
      <c r="L857" s="25" t="str">
        <f t="shared" si="71"/>
        <v/>
      </c>
      <c r="M857" s="37"/>
      <c r="N857" s="37"/>
      <c r="O857" s="33" t="str">
        <f t="shared" si="72"/>
        <v/>
      </c>
      <c r="P857" s="33" t="str">
        <f t="shared" si="73"/>
        <v/>
      </c>
      <c r="X857" s="1"/>
    </row>
    <row r="858" spans="7:24">
      <c r="G858" s="21"/>
      <c r="H858" s="23"/>
      <c r="I858" s="23" t="str">
        <f>_xlfn.IFNA(VLOOKUP(A858,A859:$H$3524,8,0),"")</f>
        <v/>
      </c>
      <c r="J858" s="40" t="str">
        <f t="shared" si="74"/>
        <v/>
      </c>
      <c r="K858" s="24" t="str">
        <f t="shared" si="75"/>
        <v/>
      </c>
      <c r="L858" s="25" t="str">
        <f t="shared" si="71"/>
        <v/>
      </c>
      <c r="M858" s="37"/>
      <c r="N858" s="37"/>
      <c r="O858" s="33" t="str">
        <f t="shared" si="72"/>
        <v/>
      </c>
      <c r="P858" s="33" t="str">
        <f t="shared" si="73"/>
        <v/>
      </c>
      <c r="X858" s="1"/>
    </row>
    <row r="859" spans="7:24">
      <c r="G859" s="21"/>
      <c r="H859" s="23"/>
      <c r="I859" s="23" t="str">
        <f>_xlfn.IFNA(VLOOKUP(A859,A860:$H$3524,8,0),"")</f>
        <v/>
      </c>
      <c r="J859" s="40" t="str">
        <f t="shared" si="74"/>
        <v/>
      </c>
      <c r="K859" s="24" t="str">
        <f t="shared" si="75"/>
        <v/>
      </c>
      <c r="L859" s="25" t="str">
        <f t="shared" si="71"/>
        <v/>
      </c>
      <c r="M859" s="37"/>
      <c r="N859" s="37"/>
      <c r="O859" s="33" t="str">
        <f t="shared" si="72"/>
        <v/>
      </c>
      <c r="P859" s="33" t="str">
        <f t="shared" si="73"/>
        <v/>
      </c>
      <c r="X859" s="1"/>
    </row>
    <row r="860" spans="7:24">
      <c r="G860" s="21"/>
      <c r="H860" s="23"/>
      <c r="I860" s="23" t="str">
        <f>_xlfn.IFNA(VLOOKUP(A860,A861:$H$3524,8,0),"")</f>
        <v/>
      </c>
      <c r="J860" s="40" t="str">
        <f t="shared" si="74"/>
        <v/>
      </c>
      <c r="K860" s="24" t="str">
        <f t="shared" si="75"/>
        <v/>
      </c>
      <c r="L860" s="25" t="str">
        <f t="shared" si="71"/>
        <v/>
      </c>
      <c r="M860" s="37"/>
      <c r="N860" s="37"/>
      <c r="O860" s="33" t="str">
        <f t="shared" si="72"/>
        <v/>
      </c>
      <c r="P860" s="33" t="str">
        <f t="shared" si="73"/>
        <v/>
      </c>
      <c r="X860" s="1"/>
    </row>
    <row r="861" spans="7:24">
      <c r="G861" s="21"/>
      <c r="H861" s="23"/>
      <c r="I861" s="23" t="str">
        <f>_xlfn.IFNA(VLOOKUP(A861,A862:$H$3524,8,0),"")</f>
        <v/>
      </c>
      <c r="J861" s="40" t="str">
        <f t="shared" si="74"/>
        <v/>
      </c>
      <c r="K861" s="24" t="str">
        <f t="shared" si="75"/>
        <v/>
      </c>
      <c r="L861" s="25" t="str">
        <f t="shared" si="71"/>
        <v/>
      </c>
      <c r="M861" s="37"/>
      <c r="N861" s="37"/>
      <c r="O861" s="33" t="str">
        <f t="shared" si="72"/>
        <v/>
      </c>
      <c r="P861" s="33" t="str">
        <f t="shared" si="73"/>
        <v/>
      </c>
      <c r="X861" s="1"/>
    </row>
    <row r="862" spans="7:24">
      <c r="G862" s="21"/>
      <c r="H862" s="23"/>
      <c r="I862" s="23" t="str">
        <f>_xlfn.IFNA(VLOOKUP(A862,A863:$H$3524,8,0),"")</f>
        <v/>
      </c>
      <c r="J862" s="40" t="str">
        <f t="shared" si="74"/>
        <v/>
      </c>
      <c r="K862" s="24" t="str">
        <f t="shared" si="75"/>
        <v/>
      </c>
      <c r="L862" s="25" t="str">
        <f t="shared" si="71"/>
        <v/>
      </c>
      <c r="M862" s="37"/>
      <c r="N862" s="37"/>
      <c r="O862" s="33" t="str">
        <f t="shared" si="72"/>
        <v/>
      </c>
      <c r="P862" s="33" t="str">
        <f t="shared" si="73"/>
        <v/>
      </c>
      <c r="X862" s="1"/>
    </row>
    <row r="863" spans="7:24">
      <c r="G863" s="21"/>
      <c r="H863" s="23"/>
      <c r="I863" s="23" t="str">
        <f>_xlfn.IFNA(VLOOKUP(A863,A864:$H$3524,8,0),"")</f>
        <v/>
      </c>
      <c r="J863" s="40" t="str">
        <f t="shared" si="74"/>
        <v/>
      </c>
      <c r="K863" s="24" t="str">
        <f t="shared" si="75"/>
        <v/>
      </c>
      <c r="L863" s="25" t="str">
        <f t="shared" si="71"/>
        <v/>
      </c>
      <c r="M863" s="37"/>
      <c r="N863" s="37"/>
      <c r="O863" s="33" t="str">
        <f t="shared" si="72"/>
        <v/>
      </c>
      <c r="P863" s="33" t="str">
        <f t="shared" si="73"/>
        <v/>
      </c>
      <c r="X863" s="1"/>
    </row>
    <row r="864" spans="7:24">
      <c r="G864" s="21"/>
      <c r="H864" s="23"/>
      <c r="I864" s="23" t="str">
        <f>_xlfn.IFNA(VLOOKUP(A864,A865:$H$3524,8,0),"")</f>
        <v/>
      </c>
      <c r="J864" s="40" t="str">
        <f t="shared" si="74"/>
        <v/>
      </c>
      <c r="K864" s="24" t="str">
        <f t="shared" si="75"/>
        <v/>
      </c>
      <c r="L864" s="25" t="str">
        <f t="shared" si="71"/>
        <v/>
      </c>
      <c r="M864" s="37"/>
      <c r="N864" s="37"/>
      <c r="O864" s="33" t="str">
        <f t="shared" si="72"/>
        <v/>
      </c>
      <c r="P864" s="33" t="str">
        <f t="shared" si="73"/>
        <v/>
      </c>
      <c r="X864" s="1"/>
    </row>
    <row r="865" spans="7:24">
      <c r="G865" s="21"/>
      <c r="H865" s="23"/>
      <c r="I865" s="23" t="str">
        <f>_xlfn.IFNA(VLOOKUP(A865,A866:$H$3524,8,0),"")</f>
        <v/>
      </c>
      <c r="J865" s="40" t="str">
        <f t="shared" si="74"/>
        <v/>
      </c>
      <c r="K865" s="24" t="str">
        <f t="shared" si="75"/>
        <v/>
      </c>
      <c r="L865" s="25" t="str">
        <f t="shared" si="71"/>
        <v/>
      </c>
      <c r="M865" s="37"/>
      <c r="N865" s="37"/>
      <c r="O865" s="33" t="str">
        <f t="shared" si="72"/>
        <v/>
      </c>
      <c r="P865" s="33" t="str">
        <f t="shared" si="73"/>
        <v/>
      </c>
      <c r="X865" s="1"/>
    </row>
    <row r="866" spans="7:24">
      <c r="G866" s="21"/>
      <c r="H866" s="23"/>
      <c r="I866" s="23" t="str">
        <f>_xlfn.IFNA(VLOOKUP(A866,A867:$H$3524,8,0),"")</f>
        <v/>
      </c>
      <c r="J866" s="40" t="str">
        <f t="shared" si="74"/>
        <v/>
      </c>
      <c r="K866" s="24" t="str">
        <f t="shared" si="75"/>
        <v/>
      </c>
      <c r="L866" s="25" t="str">
        <f t="shared" si="71"/>
        <v/>
      </c>
      <c r="M866" s="37"/>
      <c r="N866" s="37"/>
      <c r="O866" s="33" t="str">
        <f t="shared" si="72"/>
        <v/>
      </c>
      <c r="P866" s="33" t="str">
        <f t="shared" si="73"/>
        <v/>
      </c>
      <c r="X866" s="1"/>
    </row>
    <row r="867" spans="7:24">
      <c r="G867" s="21"/>
      <c r="H867" s="23"/>
      <c r="I867" s="23" t="str">
        <f>_xlfn.IFNA(VLOOKUP(A867,A868:$H$3524,8,0),"")</f>
        <v/>
      </c>
      <c r="J867" s="40" t="str">
        <f t="shared" si="74"/>
        <v/>
      </c>
      <c r="K867" s="24" t="str">
        <f t="shared" si="75"/>
        <v/>
      </c>
      <c r="L867" s="25" t="str">
        <f t="shared" si="71"/>
        <v/>
      </c>
      <c r="M867" s="37"/>
      <c r="N867" s="37"/>
      <c r="O867" s="33" t="str">
        <f t="shared" si="72"/>
        <v/>
      </c>
      <c r="P867" s="33" t="str">
        <f t="shared" si="73"/>
        <v/>
      </c>
      <c r="X867" s="1"/>
    </row>
    <row r="868" spans="7:24">
      <c r="G868" s="21"/>
      <c r="H868" s="23"/>
      <c r="I868" s="23" t="str">
        <f>_xlfn.IFNA(VLOOKUP(A868,A869:$H$3524,8,0),"")</f>
        <v/>
      </c>
      <c r="J868" s="40" t="str">
        <f t="shared" si="74"/>
        <v/>
      </c>
      <c r="K868" s="24" t="str">
        <f t="shared" si="75"/>
        <v/>
      </c>
      <c r="L868" s="25" t="str">
        <f t="shared" si="71"/>
        <v/>
      </c>
      <c r="M868" s="37"/>
      <c r="N868" s="37"/>
      <c r="O868" s="33" t="str">
        <f t="shared" si="72"/>
        <v/>
      </c>
      <c r="P868" s="33" t="str">
        <f t="shared" si="73"/>
        <v/>
      </c>
      <c r="X868" s="1"/>
    </row>
    <row r="869" spans="7:24">
      <c r="G869" s="21"/>
      <c r="H869" s="23"/>
      <c r="I869" s="23" t="str">
        <f>_xlfn.IFNA(VLOOKUP(A869,A870:$H$3524,8,0),"")</f>
        <v/>
      </c>
      <c r="J869" s="40" t="str">
        <f t="shared" si="74"/>
        <v/>
      </c>
      <c r="K869" s="24" t="str">
        <f t="shared" si="75"/>
        <v/>
      </c>
      <c r="L869" s="25" t="str">
        <f t="shared" si="71"/>
        <v/>
      </c>
      <c r="M869" s="37"/>
      <c r="N869" s="37"/>
      <c r="O869" s="33" t="str">
        <f t="shared" si="72"/>
        <v/>
      </c>
      <c r="P869" s="33" t="str">
        <f t="shared" si="73"/>
        <v/>
      </c>
      <c r="X869" s="1"/>
    </row>
    <row r="870" spans="7:24">
      <c r="G870" s="21"/>
      <c r="H870" s="23"/>
      <c r="I870" s="23" t="str">
        <f>_xlfn.IFNA(VLOOKUP(A870,A871:$H$3524,8,0),"")</f>
        <v/>
      </c>
      <c r="J870" s="40" t="str">
        <f t="shared" si="74"/>
        <v/>
      </c>
      <c r="K870" s="24" t="str">
        <f t="shared" si="75"/>
        <v/>
      </c>
      <c r="L870" s="25" t="str">
        <f t="shared" si="71"/>
        <v/>
      </c>
      <c r="M870" s="37"/>
      <c r="N870" s="37"/>
      <c r="O870" s="33" t="str">
        <f t="shared" si="72"/>
        <v/>
      </c>
      <c r="P870" s="33" t="str">
        <f t="shared" si="73"/>
        <v/>
      </c>
      <c r="X870" s="1"/>
    </row>
    <row r="871" spans="7:24">
      <c r="G871" s="21"/>
      <c r="H871" s="23"/>
      <c r="I871" s="23" t="str">
        <f>_xlfn.IFNA(VLOOKUP(A871,A872:$H$3524,8,0),"")</f>
        <v/>
      </c>
      <c r="J871" s="40" t="str">
        <f t="shared" si="74"/>
        <v/>
      </c>
      <c r="K871" s="24" t="str">
        <f t="shared" si="75"/>
        <v/>
      </c>
      <c r="L871" s="25" t="str">
        <f t="shared" si="71"/>
        <v/>
      </c>
      <c r="M871" s="37"/>
      <c r="N871" s="37"/>
      <c r="O871" s="33" t="str">
        <f t="shared" si="72"/>
        <v/>
      </c>
      <c r="P871" s="33" t="str">
        <f t="shared" si="73"/>
        <v/>
      </c>
      <c r="X871" s="1"/>
    </row>
    <row r="872" spans="7:24">
      <c r="G872" s="21"/>
      <c r="H872" s="23"/>
      <c r="I872" s="23" t="str">
        <f>_xlfn.IFNA(VLOOKUP(A872,A873:$H$3524,8,0),"")</f>
        <v/>
      </c>
      <c r="J872" s="40" t="str">
        <f t="shared" si="74"/>
        <v/>
      </c>
      <c r="K872" s="24" t="str">
        <f t="shared" si="75"/>
        <v/>
      </c>
      <c r="L872" s="25" t="str">
        <f t="shared" si="71"/>
        <v/>
      </c>
      <c r="M872" s="37"/>
      <c r="N872" s="37"/>
      <c r="O872" s="33" t="str">
        <f t="shared" si="72"/>
        <v/>
      </c>
      <c r="P872" s="33" t="str">
        <f t="shared" si="73"/>
        <v/>
      </c>
      <c r="X872" s="1"/>
    </row>
    <row r="873" spans="7:24">
      <c r="G873" s="21"/>
      <c r="H873" s="23"/>
      <c r="I873" s="23" t="str">
        <f>_xlfn.IFNA(VLOOKUP(A873,A874:$H$3524,8,0),"")</f>
        <v/>
      </c>
      <c r="J873" s="40" t="str">
        <f t="shared" si="74"/>
        <v/>
      </c>
      <c r="K873" s="24" t="str">
        <f t="shared" si="75"/>
        <v/>
      </c>
      <c r="L873" s="25" t="str">
        <f t="shared" si="71"/>
        <v/>
      </c>
      <c r="M873" s="37"/>
      <c r="N873" s="37"/>
      <c r="O873" s="33" t="str">
        <f t="shared" si="72"/>
        <v/>
      </c>
      <c r="P873" s="33" t="str">
        <f t="shared" si="73"/>
        <v/>
      </c>
      <c r="X873" s="1"/>
    </row>
    <row r="874" spans="7:24">
      <c r="G874" s="21"/>
      <c r="H874" s="23"/>
      <c r="I874" s="23" t="str">
        <f>_xlfn.IFNA(VLOOKUP(A874,A875:$H$3524,8,0),"")</f>
        <v/>
      </c>
      <c r="J874" s="40" t="str">
        <f t="shared" si="74"/>
        <v/>
      </c>
      <c r="K874" s="24" t="str">
        <f t="shared" si="75"/>
        <v/>
      </c>
      <c r="L874" s="25" t="str">
        <f t="shared" si="71"/>
        <v/>
      </c>
      <c r="M874" s="37"/>
      <c r="N874" s="37"/>
      <c r="O874" s="33" t="str">
        <f t="shared" si="72"/>
        <v/>
      </c>
      <c r="P874" s="33" t="str">
        <f t="shared" si="73"/>
        <v/>
      </c>
      <c r="X874" s="1"/>
    </row>
    <row r="875" spans="7:24">
      <c r="G875" s="21"/>
      <c r="H875" s="23"/>
      <c r="I875" s="23" t="str">
        <f>_xlfn.IFNA(VLOOKUP(A875,A876:$H$3524,8,0),"")</f>
        <v/>
      </c>
      <c r="J875" s="40" t="str">
        <f t="shared" si="74"/>
        <v/>
      </c>
      <c r="K875" s="24" t="str">
        <f t="shared" si="75"/>
        <v/>
      </c>
      <c r="L875" s="25" t="str">
        <f t="shared" si="71"/>
        <v/>
      </c>
      <c r="M875" s="37"/>
      <c r="N875" s="37"/>
      <c r="O875" s="33" t="str">
        <f t="shared" si="72"/>
        <v/>
      </c>
      <c r="P875" s="33" t="str">
        <f t="shared" si="73"/>
        <v/>
      </c>
      <c r="X875" s="1"/>
    </row>
    <row r="876" spans="7:24">
      <c r="G876" s="21"/>
      <c r="H876" s="23"/>
      <c r="I876" s="23" t="str">
        <f>_xlfn.IFNA(VLOOKUP(A876,A877:$H$3524,8,0),"")</f>
        <v/>
      </c>
      <c r="J876" s="40" t="str">
        <f t="shared" si="74"/>
        <v/>
      </c>
      <c r="K876" s="24" t="str">
        <f t="shared" si="75"/>
        <v/>
      </c>
      <c r="L876" s="25" t="str">
        <f t="shared" si="71"/>
        <v/>
      </c>
      <c r="M876" s="37"/>
      <c r="N876" s="37"/>
      <c r="O876" s="33" t="str">
        <f t="shared" si="72"/>
        <v/>
      </c>
      <c r="P876" s="33" t="str">
        <f t="shared" si="73"/>
        <v/>
      </c>
      <c r="X876" s="1"/>
    </row>
    <row r="877" spans="7:24">
      <c r="G877" s="21"/>
      <c r="H877" s="23"/>
      <c r="I877" s="23" t="str">
        <f>_xlfn.IFNA(VLOOKUP(A877,A878:$H$3524,8,0),"")</f>
        <v/>
      </c>
      <c r="J877" s="40" t="str">
        <f t="shared" si="74"/>
        <v/>
      </c>
      <c r="K877" s="24" t="str">
        <f t="shared" si="75"/>
        <v/>
      </c>
      <c r="L877" s="25" t="str">
        <f t="shared" si="71"/>
        <v/>
      </c>
      <c r="M877" s="37"/>
      <c r="N877" s="37"/>
      <c r="O877" s="33" t="str">
        <f t="shared" si="72"/>
        <v/>
      </c>
      <c r="P877" s="33" t="str">
        <f t="shared" si="73"/>
        <v/>
      </c>
      <c r="X877" s="1"/>
    </row>
    <row r="878" spans="7:24">
      <c r="G878" s="21"/>
      <c r="H878" s="23"/>
      <c r="I878" s="23" t="str">
        <f>_xlfn.IFNA(VLOOKUP(A878,A879:$H$3524,8,0),"")</f>
        <v/>
      </c>
      <c r="J878" s="40" t="str">
        <f t="shared" si="74"/>
        <v/>
      </c>
      <c r="K878" s="24" t="str">
        <f t="shared" si="75"/>
        <v/>
      </c>
      <c r="L878" s="25" t="str">
        <f t="shared" si="71"/>
        <v/>
      </c>
      <c r="M878" s="37"/>
      <c r="N878" s="37"/>
      <c r="O878" s="33" t="str">
        <f t="shared" si="72"/>
        <v/>
      </c>
      <c r="P878" s="33" t="str">
        <f t="shared" si="73"/>
        <v/>
      </c>
      <c r="X878" s="1"/>
    </row>
    <row r="879" spans="7:24">
      <c r="G879" s="21"/>
      <c r="H879" s="23"/>
      <c r="I879" s="23" t="str">
        <f>_xlfn.IFNA(VLOOKUP(A879,A880:$H$3524,8,0),"")</f>
        <v/>
      </c>
      <c r="J879" s="40" t="str">
        <f t="shared" si="74"/>
        <v/>
      </c>
      <c r="K879" s="24" t="str">
        <f t="shared" si="75"/>
        <v/>
      </c>
      <c r="L879" s="25" t="str">
        <f t="shared" si="71"/>
        <v/>
      </c>
      <c r="M879" s="37"/>
      <c r="N879" s="37"/>
      <c r="O879" s="33" t="str">
        <f t="shared" si="72"/>
        <v/>
      </c>
      <c r="P879" s="33" t="str">
        <f t="shared" si="73"/>
        <v/>
      </c>
      <c r="X879" s="1"/>
    </row>
    <row r="880" spans="7:24">
      <c r="G880" s="21"/>
      <c r="H880" s="23"/>
      <c r="I880" s="23" t="str">
        <f>_xlfn.IFNA(VLOOKUP(A880,A881:$H$3524,8,0),"")</f>
        <v/>
      </c>
      <c r="J880" s="40" t="str">
        <f t="shared" si="74"/>
        <v/>
      </c>
      <c r="K880" s="24" t="str">
        <f t="shared" si="75"/>
        <v/>
      </c>
      <c r="L880" s="25" t="str">
        <f t="shared" si="71"/>
        <v/>
      </c>
      <c r="M880" s="37"/>
      <c r="N880" s="37"/>
      <c r="O880" s="33" t="str">
        <f t="shared" si="72"/>
        <v/>
      </c>
      <c r="P880" s="33" t="str">
        <f t="shared" si="73"/>
        <v/>
      </c>
      <c r="X880" s="1"/>
    </row>
    <row r="881" spans="7:24">
      <c r="G881" s="21"/>
      <c r="H881" s="23"/>
      <c r="I881" s="23" t="str">
        <f>_xlfn.IFNA(VLOOKUP(A881,A882:$H$3524,8,0),"")</f>
        <v/>
      </c>
      <c r="J881" s="40" t="str">
        <f t="shared" si="74"/>
        <v/>
      </c>
      <c r="K881" s="24" t="str">
        <f t="shared" si="75"/>
        <v/>
      </c>
      <c r="L881" s="25" t="str">
        <f t="shared" si="71"/>
        <v/>
      </c>
      <c r="M881" s="37"/>
      <c r="N881" s="37"/>
      <c r="O881" s="33" t="str">
        <f t="shared" si="72"/>
        <v/>
      </c>
      <c r="P881" s="33" t="str">
        <f t="shared" si="73"/>
        <v/>
      </c>
      <c r="X881" s="1"/>
    </row>
    <row r="882" spans="7:24">
      <c r="G882" s="21"/>
      <c r="H882" s="23"/>
      <c r="I882" s="23" t="str">
        <f>_xlfn.IFNA(VLOOKUP(A882,A883:$H$3524,8,0),"")</f>
        <v/>
      </c>
      <c r="J882" s="40" t="str">
        <f t="shared" si="74"/>
        <v/>
      </c>
      <c r="K882" s="24" t="str">
        <f t="shared" si="75"/>
        <v/>
      </c>
      <c r="L882" s="25" t="str">
        <f t="shared" si="71"/>
        <v/>
      </c>
      <c r="M882" s="37"/>
      <c r="N882" s="37"/>
      <c r="O882" s="33" t="str">
        <f t="shared" si="72"/>
        <v/>
      </c>
      <c r="P882" s="33" t="str">
        <f t="shared" si="73"/>
        <v/>
      </c>
      <c r="X882" s="1"/>
    </row>
    <row r="883" spans="7:24">
      <c r="G883" s="21"/>
      <c r="H883" s="23"/>
      <c r="I883" s="23" t="str">
        <f>_xlfn.IFNA(VLOOKUP(A883,A884:$H$3524,8,0),"")</f>
        <v/>
      </c>
      <c r="J883" s="40" t="str">
        <f t="shared" si="74"/>
        <v/>
      </c>
      <c r="K883" s="24" t="str">
        <f t="shared" si="75"/>
        <v/>
      </c>
      <c r="L883" s="25" t="str">
        <f t="shared" si="71"/>
        <v/>
      </c>
      <c r="M883" s="37"/>
      <c r="N883" s="37"/>
      <c r="O883" s="33" t="str">
        <f t="shared" si="72"/>
        <v/>
      </c>
      <c r="P883" s="33" t="str">
        <f t="shared" si="73"/>
        <v/>
      </c>
      <c r="X883" s="1"/>
    </row>
    <row r="884" spans="7:24">
      <c r="G884" s="21"/>
      <c r="H884" s="23"/>
      <c r="I884" s="23" t="str">
        <f>_xlfn.IFNA(VLOOKUP(A884,A885:$H$3524,8,0),"")</f>
        <v/>
      </c>
      <c r="J884" s="40" t="str">
        <f t="shared" si="74"/>
        <v/>
      </c>
      <c r="K884" s="24" t="str">
        <f t="shared" si="75"/>
        <v/>
      </c>
      <c r="L884" s="25" t="str">
        <f t="shared" si="71"/>
        <v/>
      </c>
      <c r="M884" s="37"/>
      <c r="N884" s="37"/>
      <c r="O884" s="33" t="str">
        <f t="shared" si="72"/>
        <v/>
      </c>
      <c r="P884" s="33" t="str">
        <f t="shared" si="73"/>
        <v/>
      </c>
      <c r="X884" s="1"/>
    </row>
    <row r="885" spans="7:24">
      <c r="G885" s="21"/>
      <c r="H885" s="23"/>
      <c r="I885" s="23" t="str">
        <f>_xlfn.IFNA(VLOOKUP(A885,A886:$H$3524,8,0),"")</f>
        <v/>
      </c>
      <c r="J885" s="40" t="str">
        <f t="shared" si="74"/>
        <v/>
      </c>
      <c r="K885" s="24" t="str">
        <f t="shared" si="75"/>
        <v/>
      </c>
      <c r="L885" s="25" t="str">
        <f t="shared" si="71"/>
        <v/>
      </c>
      <c r="M885" s="37"/>
      <c r="N885" s="37"/>
      <c r="O885" s="33" t="str">
        <f t="shared" si="72"/>
        <v/>
      </c>
      <c r="P885" s="33" t="str">
        <f t="shared" si="73"/>
        <v/>
      </c>
      <c r="X885" s="1"/>
    </row>
    <row r="886" spans="7:24">
      <c r="G886" s="21"/>
      <c r="H886" s="23"/>
      <c r="I886" s="23" t="str">
        <f>_xlfn.IFNA(VLOOKUP(A886,A887:$H$3524,8,0),"")</f>
        <v/>
      </c>
      <c r="J886" s="40" t="str">
        <f t="shared" si="74"/>
        <v/>
      </c>
      <c r="K886" s="24" t="str">
        <f t="shared" si="75"/>
        <v/>
      </c>
      <c r="L886" s="25" t="str">
        <f t="shared" si="71"/>
        <v/>
      </c>
      <c r="M886" s="37"/>
      <c r="N886" s="37"/>
      <c r="O886" s="33" t="str">
        <f t="shared" si="72"/>
        <v/>
      </c>
      <c r="P886" s="33" t="str">
        <f t="shared" si="73"/>
        <v/>
      </c>
      <c r="X886" s="1"/>
    </row>
    <row r="887" spans="7:24">
      <c r="G887" s="21"/>
      <c r="H887" s="23"/>
      <c r="I887" s="23" t="str">
        <f>_xlfn.IFNA(VLOOKUP(A887,A888:$H$3524,8,0),"")</f>
        <v/>
      </c>
      <c r="J887" s="40" t="str">
        <f t="shared" si="74"/>
        <v/>
      </c>
      <c r="K887" s="24" t="str">
        <f t="shared" si="75"/>
        <v/>
      </c>
      <c r="L887" s="25" t="str">
        <f t="shared" ref="L887:L950" si="76">IF(K887="","",IF(B887="Break","Break",IF(K887&lt;&gt;0,"Work Finished",IF(B887="OFF","Work Finished",IF(I887="","Working","Work Finished")))))</f>
        <v/>
      </c>
      <c r="M887" s="37"/>
      <c r="N887" s="37"/>
      <c r="O887" s="33" t="str">
        <f t="shared" ref="O887:O950" si="77">IF(AND(J887="",M887="",N887=""),"",J887-M887-N887)</f>
        <v/>
      </c>
      <c r="P887" s="33" t="str">
        <f t="shared" ref="P887:P950" si="78">IF(HOUR(H887)=0,"",HOUR(H887))</f>
        <v/>
      </c>
      <c r="X887" s="1"/>
    </row>
    <row r="888" spans="7:24">
      <c r="G888" s="21"/>
      <c r="H888" s="23"/>
      <c r="I888" s="23" t="str">
        <f>_xlfn.IFNA(VLOOKUP(A888,A889:$H$3524,8,0),"")</f>
        <v/>
      </c>
      <c r="J888" s="40" t="str">
        <f t="shared" si="74"/>
        <v/>
      </c>
      <c r="K888" s="24" t="str">
        <f t="shared" si="75"/>
        <v/>
      </c>
      <c r="L888" s="25" t="str">
        <f t="shared" si="76"/>
        <v/>
      </c>
      <c r="M888" s="37"/>
      <c r="N888" s="37"/>
      <c r="O888" s="33" t="str">
        <f t="shared" si="77"/>
        <v/>
      </c>
      <c r="P888" s="33" t="str">
        <f t="shared" si="78"/>
        <v/>
      </c>
      <c r="X888" s="1"/>
    </row>
    <row r="889" spans="7:24">
      <c r="G889" s="21"/>
      <c r="H889" s="23"/>
      <c r="I889" s="23" t="str">
        <f>_xlfn.IFNA(VLOOKUP(A889,A890:$H$3524,8,0),"")</f>
        <v/>
      </c>
      <c r="J889" s="40" t="str">
        <f t="shared" si="74"/>
        <v/>
      </c>
      <c r="K889" s="24" t="str">
        <f t="shared" si="75"/>
        <v/>
      </c>
      <c r="L889" s="25" t="str">
        <f t="shared" si="76"/>
        <v/>
      </c>
      <c r="M889" s="37"/>
      <c r="N889" s="37"/>
      <c r="O889" s="33" t="str">
        <f t="shared" si="77"/>
        <v/>
      </c>
      <c r="P889" s="33" t="str">
        <f t="shared" si="78"/>
        <v/>
      </c>
      <c r="X889" s="1"/>
    </row>
    <row r="890" spans="7:24">
      <c r="G890" s="21"/>
      <c r="H890" s="23"/>
      <c r="I890" s="23" t="str">
        <f>_xlfn.IFNA(VLOOKUP(A890,A891:$H$3524,8,0),"")</f>
        <v/>
      </c>
      <c r="J890" s="40" t="str">
        <f t="shared" si="74"/>
        <v/>
      </c>
      <c r="K890" s="24" t="str">
        <f t="shared" si="75"/>
        <v/>
      </c>
      <c r="L890" s="25" t="str">
        <f t="shared" si="76"/>
        <v/>
      </c>
      <c r="M890" s="37"/>
      <c r="N890" s="37"/>
      <c r="O890" s="33" t="str">
        <f t="shared" si="77"/>
        <v/>
      </c>
      <c r="P890" s="33" t="str">
        <f t="shared" si="78"/>
        <v/>
      </c>
      <c r="X890" s="1"/>
    </row>
    <row r="891" spans="7:24">
      <c r="G891" s="21"/>
      <c r="H891" s="23"/>
      <c r="I891" s="23" t="str">
        <f>_xlfn.IFNA(VLOOKUP(A891,A892:$H$3524,8,0),"")</f>
        <v/>
      </c>
      <c r="J891" s="40" t="str">
        <f t="shared" si="74"/>
        <v/>
      </c>
      <c r="K891" s="24" t="str">
        <f t="shared" si="75"/>
        <v/>
      </c>
      <c r="L891" s="25" t="str">
        <f t="shared" si="76"/>
        <v/>
      </c>
      <c r="M891" s="37"/>
      <c r="N891" s="37"/>
      <c r="O891" s="33" t="str">
        <f t="shared" si="77"/>
        <v/>
      </c>
      <c r="P891" s="33" t="str">
        <f t="shared" si="78"/>
        <v/>
      </c>
      <c r="X891" s="1"/>
    </row>
    <row r="892" spans="7:24">
      <c r="G892" s="21"/>
      <c r="H892" s="23"/>
      <c r="I892" s="23" t="str">
        <f>_xlfn.IFNA(VLOOKUP(A892,A893:$H$3524,8,0),"")</f>
        <v/>
      </c>
      <c r="J892" s="40" t="str">
        <f t="shared" si="74"/>
        <v/>
      </c>
      <c r="K892" s="24" t="str">
        <f t="shared" si="75"/>
        <v/>
      </c>
      <c r="L892" s="25" t="str">
        <f t="shared" si="76"/>
        <v/>
      </c>
      <c r="M892" s="37"/>
      <c r="N892" s="37"/>
      <c r="O892" s="33" t="str">
        <f t="shared" si="77"/>
        <v/>
      </c>
      <c r="P892" s="33" t="str">
        <f t="shared" si="78"/>
        <v/>
      </c>
      <c r="X892" s="1"/>
    </row>
    <row r="893" spans="7:24">
      <c r="G893" s="21"/>
      <c r="H893" s="23"/>
      <c r="I893" s="23" t="str">
        <f>_xlfn.IFNA(VLOOKUP(A893,A894:$H$3524,8,0),"")</f>
        <v/>
      </c>
      <c r="J893" s="40" t="str">
        <f t="shared" si="74"/>
        <v/>
      </c>
      <c r="K893" s="24" t="str">
        <f t="shared" si="75"/>
        <v/>
      </c>
      <c r="L893" s="25" t="str">
        <f t="shared" si="76"/>
        <v/>
      </c>
      <c r="M893" s="37"/>
      <c r="N893" s="37"/>
      <c r="O893" s="33" t="str">
        <f t="shared" si="77"/>
        <v/>
      </c>
      <c r="P893" s="33" t="str">
        <f t="shared" si="78"/>
        <v/>
      </c>
      <c r="X893" s="1"/>
    </row>
    <row r="894" spans="7:24">
      <c r="G894" s="21"/>
      <c r="H894" s="23"/>
      <c r="I894" s="23" t="str">
        <f>_xlfn.IFNA(VLOOKUP(A894,A895:$H$3524,8,0),"")</f>
        <v/>
      </c>
      <c r="J894" s="40" t="str">
        <f t="shared" si="74"/>
        <v/>
      </c>
      <c r="K894" s="24" t="str">
        <f t="shared" si="75"/>
        <v/>
      </c>
      <c r="L894" s="25" t="str">
        <f t="shared" si="76"/>
        <v/>
      </c>
      <c r="M894" s="37"/>
      <c r="N894" s="37"/>
      <c r="O894" s="33" t="str">
        <f t="shared" si="77"/>
        <v/>
      </c>
      <c r="P894" s="33" t="str">
        <f t="shared" si="78"/>
        <v/>
      </c>
      <c r="X894" s="1"/>
    </row>
    <row r="895" spans="7:24">
      <c r="G895" s="21"/>
      <c r="H895" s="23"/>
      <c r="I895" s="23" t="str">
        <f>_xlfn.IFNA(VLOOKUP(A895,A896:$H$3524,8,0),"")</f>
        <v/>
      </c>
      <c r="J895" s="40" t="str">
        <f t="shared" si="74"/>
        <v/>
      </c>
      <c r="K895" s="24" t="str">
        <f t="shared" si="75"/>
        <v/>
      </c>
      <c r="L895" s="25" t="str">
        <f t="shared" si="76"/>
        <v/>
      </c>
      <c r="M895" s="37"/>
      <c r="N895" s="37"/>
      <c r="O895" s="33" t="str">
        <f t="shared" si="77"/>
        <v/>
      </c>
      <c r="P895" s="33" t="str">
        <f t="shared" si="78"/>
        <v/>
      </c>
      <c r="X895" s="1"/>
    </row>
    <row r="896" spans="7:24">
      <c r="G896" s="21"/>
      <c r="H896" s="23"/>
      <c r="I896" s="23" t="str">
        <f>_xlfn.IFNA(VLOOKUP(A896,A897:$H$3524,8,0),"")</f>
        <v/>
      </c>
      <c r="J896" s="40" t="str">
        <f t="shared" si="74"/>
        <v/>
      </c>
      <c r="K896" s="24" t="str">
        <f t="shared" si="75"/>
        <v/>
      </c>
      <c r="L896" s="25" t="str">
        <f t="shared" si="76"/>
        <v/>
      </c>
      <c r="M896" s="37"/>
      <c r="N896" s="37"/>
      <c r="O896" s="33" t="str">
        <f t="shared" si="77"/>
        <v/>
      </c>
      <c r="P896" s="33" t="str">
        <f t="shared" si="78"/>
        <v/>
      </c>
      <c r="X896" s="1"/>
    </row>
    <row r="897" spans="7:24">
      <c r="G897" s="21"/>
      <c r="H897" s="23"/>
      <c r="I897" s="23" t="str">
        <f>_xlfn.IFNA(VLOOKUP(A897,A898:$H$3524,8,0),"")</f>
        <v/>
      </c>
      <c r="J897" s="40" t="str">
        <f t="shared" si="74"/>
        <v/>
      </c>
      <c r="K897" s="24" t="str">
        <f t="shared" si="75"/>
        <v/>
      </c>
      <c r="L897" s="25" t="str">
        <f t="shared" si="76"/>
        <v/>
      </c>
      <c r="M897" s="37"/>
      <c r="N897" s="37"/>
      <c r="O897" s="33" t="str">
        <f t="shared" si="77"/>
        <v/>
      </c>
      <c r="P897" s="33" t="str">
        <f t="shared" si="78"/>
        <v/>
      </c>
      <c r="X897" s="1"/>
    </row>
    <row r="898" spans="7:24">
      <c r="G898" s="21"/>
      <c r="H898" s="23"/>
      <c r="I898" s="23" t="str">
        <f>_xlfn.IFNA(VLOOKUP(A898,A899:$H$3524,8,0),"")</f>
        <v/>
      </c>
      <c r="J898" s="40" t="str">
        <f t="shared" si="74"/>
        <v/>
      </c>
      <c r="K898" s="24" t="str">
        <f t="shared" si="75"/>
        <v/>
      </c>
      <c r="L898" s="25" t="str">
        <f t="shared" si="76"/>
        <v/>
      </c>
      <c r="M898" s="37"/>
      <c r="N898" s="37"/>
      <c r="O898" s="33" t="str">
        <f t="shared" si="77"/>
        <v/>
      </c>
      <c r="P898" s="33" t="str">
        <f t="shared" si="78"/>
        <v/>
      </c>
      <c r="X898" s="1"/>
    </row>
    <row r="899" spans="7:24">
      <c r="G899" s="21"/>
      <c r="H899" s="23"/>
      <c r="I899" s="23" t="str">
        <f>_xlfn.IFNA(VLOOKUP(A899,A900:$H$3524,8,0),"")</f>
        <v/>
      </c>
      <c r="J899" s="40" t="str">
        <f t="shared" si="74"/>
        <v/>
      </c>
      <c r="K899" s="24" t="str">
        <f t="shared" si="75"/>
        <v/>
      </c>
      <c r="L899" s="25" t="str">
        <f t="shared" si="76"/>
        <v/>
      </c>
      <c r="M899" s="37"/>
      <c r="N899" s="37"/>
      <c r="O899" s="33" t="str">
        <f t="shared" si="77"/>
        <v/>
      </c>
      <c r="P899" s="33" t="str">
        <f t="shared" si="78"/>
        <v/>
      </c>
      <c r="X899" s="1"/>
    </row>
    <row r="900" spans="7:24">
      <c r="G900" s="21"/>
      <c r="H900" s="23"/>
      <c r="I900" s="23" t="str">
        <f>_xlfn.IFNA(VLOOKUP(A900,A901:$H$3524,8,0),"")</f>
        <v/>
      </c>
      <c r="J900" s="40" t="str">
        <f t="shared" si="74"/>
        <v/>
      </c>
      <c r="K900" s="24" t="str">
        <f t="shared" si="75"/>
        <v/>
      </c>
      <c r="L900" s="25" t="str">
        <f t="shared" si="76"/>
        <v/>
      </c>
      <c r="M900" s="37"/>
      <c r="N900" s="37"/>
      <c r="O900" s="33" t="str">
        <f t="shared" si="77"/>
        <v/>
      </c>
      <c r="P900" s="33" t="str">
        <f t="shared" si="78"/>
        <v/>
      </c>
      <c r="X900" s="1"/>
    </row>
    <row r="901" spans="7:24">
      <c r="G901" s="21"/>
      <c r="H901" s="23"/>
      <c r="I901" s="23" t="str">
        <f>_xlfn.IFNA(VLOOKUP(A901,A902:$H$3524,8,0),"")</f>
        <v/>
      </c>
      <c r="J901" s="40" t="str">
        <f t="shared" si="74"/>
        <v/>
      </c>
      <c r="K901" s="24" t="str">
        <f t="shared" si="75"/>
        <v/>
      </c>
      <c r="L901" s="25" t="str">
        <f t="shared" si="76"/>
        <v/>
      </c>
      <c r="M901" s="37"/>
      <c r="N901" s="37"/>
      <c r="O901" s="33" t="str">
        <f t="shared" si="77"/>
        <v/>
      </c>
      <c r="P901" s="33" t="str">
        <f t="shared" si="78"/>
        <v/>
      </c>
      <c r="X901" s="1"/>
    </row>
    <row r="902" spans="7:24">
      <c r="G902" s="21"/>
      <c r="H902" s="23"/>
      <c r="I902" s="23" t="str">
        <f>_xlfn.IFNA(VLOOKUP(A902,A903:$H$3524,8,0),"")</f>
        <v/>
      </c>
      <c r="J902" s="40" t="str">
        <f t="shared" ref="J902:J965" si="79">IF(B902="OFF",0,IF(AND(D902&lt;&gt;"",E902&lt;&gt;""),E902-D902+1,""))</f>
        <v/>
      </c>
      <c r="K902" s="24" t="str">
        <f t="shared" si="75"/>
        <v/>
      </c>
      <c r="L902" s="25" t="str">
        <f t="shared" si="76"/>
        <v/>
      </c>
      <c r="M902" s="37"/>
      <c r="N902" s="37"/>
      <c r="O902" s="33" t="str">
        <f t="shared" si="77"/>
        <v/>
      </c>
      <c r="P902" s="33" t="str">
        <f t="shared" si="78"/>
        <v/>
      </c>
      <c r="X902" s="1"/>
    </row>
    <row r="903" spans="7:24">
      <c r="G903" s="21"/>
      <c r="H903" s="23"/>
      <c r="I903" s="23" t="str">
        <f>_xlfn.IFNA(VLOOKUP(A903,A904:$H$3524,8,0),"")</f>
        <v/>
      </c>
      <c r="J903" s="40" t="str">
        <f t="shared" si="79"/>
        <v/>
      </c>
      <c r="K903" s="24" t="str">
        <f t="shared" si="75"/>
        <v/>
      </c>
      <c r="L903" s="25" t="str">
        <f t="shared" si="76"/>
        <v/>
      </c>
      <c r="M903" s="37"/>
      <c r="N903" s="37"/>
      <c r="O903" s="33" t="str">
        <f t="shared" si="77"/>
        <v/>
      </c>
      <c r="P903" s="33" t="str">
        <f t="shared" si="78"/>
        <v/>
      </c>
      <c r="X903" s="1"/>
    </row>
    <row r="904" spans="7:24">
      <c r="G904" s="21"/>
      <c r="H904" s="23"/>
      <c r="I904" s="23" t="str">
        <f>_xlfn.IFNA(VLOOKUP(A904,A905:$H$3524,8,0),"")</f>
        <v/>
      </c>
      <c r="J904" s="40" t="str">
        <f t="shared" si="79"/>
        <v/>
      </c>
      <c r="K904" s="24" t="str">
        <f t="shared" si="75"/>
        <v/>
      </c>
      <c r="L904" s="25" t="str">
        <f t="shared" si="76"/>
        <v/>
      </c>
      <c r="M904" s="37"/>
      <c r="N904" s="37"/>
      <c r="O904" s="33" t="str">
        <f t="shared" si="77"/>
        <v/>
      </c>
      <c r="P904" s="33" t="str">
        <f t="shared" si="78"/>
        <v/>
      </c>
      <c r="X904" s="1"/>
    </row>
    <row r="905" spans="7:24">
      <c r="G905" s="21"/>
      <c r="H905" s="23"/>
      <c r="I905" s="23" t="str">
        <f>_xlfn.IFNA(VLOOKUP(A905,A906:$H$3524,8,0),"")</f>
        <v/>
      </c>
      <c r="J905" s="40" t="str">
        <f t="shared" si="79"/>
        <v/>
      </c>
      <c r="K905" s="24" t="str">
        <f t="shared" si="75"/>
        <v/>
      </c>
      <c r="L905" s="25" t="str">
        <f t="shared" si="76"/>
        <v/>
      </c>
      <c r="M905" s="37"/>
      <c r="N905" s="37"/>
      <c r="O905" s="33" t="str">
        <f t="shared" si="77"/>
        <v/>
      </c>
      <c r="P905" s="33" t="str">
        <f t="shared" si="78"/>
        <v/>
      </c>
      <c r="X905" s="1"/>
    </row>
    <row r="906" spans="7:24">
      <c r="G906" s="21"/>
      <c r="H906" s="23"/>
      <c r="I906" s="23" t="str">
        <f>_xlfn.IFNA(VLOOKUP(A906,A907:$H$3524,8,0),"")</f>
        <v/>
      </c>
      <c r="J906" s="40" t="str">
        <f t="shared" si="79"/>
        <v/>
      </c>
      <c r="K906" s="24" t="str">
        <f t="shared" si="75"/>
        <v/>
      </c>
      <c r="L906" s="25" t="str">
        <f t="shared" si="76"/>
        <v/>
      </c>
      <c r="M906" s="37"/>
      <c r="N906" s="37"/>
      <c r="O906" s="33" t="str">
        <f t="shared" si="77"/>
        <v/>
      </c>
      <c r="P906" s="33" t="str">
        <f t="shared" si="78"/>
        <v/>
      </c>
      <c r="X906" s="1"/>
    </row>
    <row r="907" spans="7:24">
      <c r="G907" s="21"/>
      <c r="H907" s="23"/>
      <c r="I907" s="23" t="str">
        <f>_xlfn.IFNA(VLOOKUP(A907,A908:$H$3524,8,0),"")</f>
        <v/>
      </c>
      <c r="J907" s="40" t="str">
        <f t="shared" si="79"/>
        <v/>
      </c>
      <c r="K907" s="24" t="str">
        <f t="shared" si="75"/>
        <v/>
      </c>
      <c r="L907" s="25" t="str">
        <f t="shared" si="76"/>
        <v/>
      </c>
      <c r="M907" s="37"/>
      <c r="N907" s="37"/>
      <c r="O907" s="33" t="str">
        <f t="shared" si="77"/>
        <v/>
      </c>
      <c r="P907" s="33" t="str">
        <f t="shared" si="78"/>
        <v/>
      </c>
      <c r="X907" s="1"/>
    </row>
    <row r="908" spans="7:24">
      <c r="G908" s="21"/>
      <c r="H908" s="23"/>
      <c r="I908" s="23" t="str">
        <f>_xlfn.IFNA(VLOOKUP(A908,A909:$H$3524,8,0),"")</f>
        <v/>
      </c>
      <c r="J908" s="40" t="str">
        <f t="shared" si="79"/>
        <v/>
      </c>
      <c r="K908" s="24" t="str">
        <f t="shared" si="75"/>
        <v/>
      </c>
      <c r="L908" s="25" t="str">
        <f t="shared" si="76"/>
        <v/>
      </c>
      <c r="M908" s="37"/>
      <c r="N908" s="37"/>
      <c r="O908" s="33" t="str">
        <f t="shared" si="77"/>
        <v/>
      </c>
      <c r="P908" s="33" t="str">
        <f t="shared" si="78"/>
        <v/>
      </c>
      <c r="X908" s="1"/>
    </row>
    <row r="909" spans="7:24">
      <c r="G909" s="21"/>
      <c r="H909" s="23"/>
      <c r="I909" s="23" t="str">
        <f>_xlfn.IFNA(VLOOKUP(A909,A910:$H$3524,8,0),"")</f>
        <v/>
      </c>
      <c r="J909" s="40" t="str">
        <f t="shared" si="79"/>
        <v/>
      </c>
      <c r="K909" s="24" t="str">
        <f t="shared" si="75"/>
        <v/>
      </c>
      <c r="L909" s="25" t="str">
        <f t="shared" si="76"/>
        <v/>
      </c>
      <c r="M909" s="37"/>
      <c r="N909" s="37"/>
      <c r="O909" s="33" t="str">
        <f t="shared" si="77"/>
        <v/>
      </c>
      <c r="P909" s="33" t="str">
        <f t="shared" si="78"/>
        <v/>
      </c>
      <c r="X909" s="1"/>
    </row>
    <row r="910" spans="7:24">
      <c r="G910" s="21"/>
      <c r="H910" s="23"/>
      <c r="I910" s="23" t="str">
        <f>_xlfn.IFNA(VLOOKUP(A910,A911:$H$3524,8,0),"")</f>
        <v/>
      </c>
      <c r="J910" s="40" t="str">
        <f t="shared" si="79"/>
        <v/>
      </c>
      <c r="K910" s="24" t="str">
        <f t="shared" si="75"/>
        <v/>
      </c>
      <c r="L910" s="25" t="str">
        <f t="shared" si="76"/>
        <v/>
      </c>
      <c r="M910" s="37"/>
      <c r="N910" s="37"/>
      <c r="O910" s="33" t="str">
        <f t="shared" si="77"/>
        <v/>
      </c>
      <c r="P910" s="33" t="str">
        <f t="shared" si="78"/>
        <v/>
      </c>
      <c r="X910" s="1"/>
    </row>
    <row r="911" spans="7:24">
      <c r="G911" s="21"/>
      <c r="H911" s="23"/>
      <c r="I911" s="23" t="str">
        <f>_xlfn.IFNA(VLOOKUP(A911,A912:$H$3524,8,0),"")</f>
        <v/>
      </c>
      <c r="J911" s="40" t="str">
        <f t="shared" si="79"/>
        <v/>
      </c>
      <c r="K911" s="24" t="str">
        <f t="shared" si="75"/>
        <v/>
      </c>
      <c r="L911" s="25" t="str">
        <f t="shared" si="76"/>
        <v/>
      </c>
      <c r="M911" s="37"/>
      <c r="N911" s="37"/>
      <c r="O911" s="33" t="str">
        <f t="shared" si="77"/>
        <v/>
      </c>
      <c r="P911" s="33" t="str">
        <f t="shared" si="78"/>
        <v/>
      </c>
      <c r="X911" s="1"/>
    </row>
    <row r="912" spans="7:24">
      <c r="G912" s="21"/>
      <c r="H912" s="23"/>
      <c r="I912" s="23" t="str">
        <f>_xlfn.IFNA(VLOOKUP(A912,A913:$H$3524,8,0),"")</f>
        <v/>
      </c>
      <c r="J912" s="40" t="str">
        <f t="shared" si="79"/>
        <v/>
      </c>
      <c r="K912" s="24" t="str">
        <f t="shared" si="75"/>
        <v/>
      </c>
      <c r="L912" s="25" t="str">
        <f t="shared" si="76"/>
        <v/>
      </c>
      <c r="M912" s="37"/>
      <c r="N912" s="37"/>
      <c r="O912" s="33" t="str">
        <f t="shared" si="77"/>
        <v/>
      </c>
      <c r="P912" s="33" t="str">
        <f t="shared" si="78"/>
        <v/>
      </c>
      <c r="X912" s="1"/>
    </row>
    <row r="913" spans="7:24">
      <c r="G913" s="21"/>
      <c r="H913" s="23"/>
      <c r="I913" s="23" t="str">
        <f>_xlfn.IFNA(VLOOKUP(A913,A914:$H$3524,8,0),"")</f>
        <v/>
      </c>
      <c r="J913" s="40" t="str">
        <f t="shared" si="79"/>
        <v/>
      </c>
      <c r="K913" s="24" t="str">
        <f t="shared" si="75"/>
        <v/>
      </c>
      <c r="L913" s="25" t="str">
        <f t="shared" si="76"/>
        <v/>
      </c>
      <c r="M913" s="37"/>
      <c r="N913" s="37"/>
      <c r="O913" s="33" t="str">
        <f t="shared" si="77"/>
        <v/>
      </c>
      <c r="P913" s="33" t="str">
        <f t="shared" si="78"/>
        <v/>
      </c>
      <c r="X913" s="1"/>
    </row>
    <row r="914" spans="7:24">
      <c r="G914" s="21"/>
      <c r="H914" s="23"/>
      <c r="I914" s="23" t="str">
        <f>_xlfn.IFNA(VLOOKUP(A914,A915:$H$3524,8,0),"")</f>
        <v/>
      </c>
      <c r="J914" s="40" t="str">
        <f t="shared" si="79"/>
        <v/>
      </c>
      <c r="K914" s="24" t="str">
        <f t="shared" si="75"/>
        <v/>
      </c>
      <c r="L914" s="25" t="str">
        <f t="shared" si="76"/>
        <v/>
      </c>
      <c r="M914" s="37"/>
      <c r="N914" s="37"/>
      <c r="O914" s="33" t="str">
        <f t="shared" si="77"/>
        <v/>
      </c>
      <c r="P914" s="33" t="str">
        <f t="shared" si="78"/>
        <v/>
      </c>
      <c r="X914" s="1"/>
    </row>
    <row r="915" spans="7:24">
      <c r="G915" s="21"/>
      <c r="H915" s="23"/>
      <c r="I915" s="23" t="str">
        <f>_xlfn.IFNA(VLOOKUP(A915,A916:$H$3524,8,0),"")</f>
        <v/>
      </c>
      <c r="J915" s="40" t="str">
        <f t="shared" si="79"/>
        <v/>
      </c>
      <c r="K915" s="24" t="str">
        <f t="shared" si="75"/>
        <v/>
      </c>
      <c r="L915" s="25" t="str">
        <f t="shared" si="76"/>
        <v/>
      </c>
      <c r="M915" s="37"/>
      <c r="N915" s="37"/>
      <c r="O915" s="33" t="str">
        <f t="shared" si="77"/>
        <v/>
      </c>
      <c r="P915" s="33" t="str">
        <f t="shared" si="78"/>
        <v/>
      </c>
      <c r="X915" s="1"/>
    </row>
    <row r="916" spans="7:24">
      <c r="G916" s="21"/>
      <c r="H916" s="23"/>
      <c r="I916" s="23" t="str">
        <f>_xlfn.IFNA(VLOOKUP(A916,A917:$H$3524,8,0),"")</f>
        <v/>
      </c>
      <c r="J916" s="40" t="str">
        <f t="shared" si="79"/>
        <v/>
      </c>
      <c r="K916" s="24" t="str">
        <f t="shared" si="75"/>
        <v/>
      </c>
      <c r="L916" s="25" t="str">
        <f t="shared" si="76"/>
        <v/>
      </c>
      <c r="M916" s="37"/>
      <c r="N916" s="37"/>
      <c r="O916" s="33" t="str">
        <f t="shared" si="77"/>
        <v/>
      </c>
      <c r="P916" s="33" t="str">
        <f t="shared" si="78"/>
        <v/>
      </c>
      <c r="X916" s="1"/>
    </row>
    <row r="917" spans="7:24">
      <c r="G917" s="21"/>
      <c r="H917" s="23"/>
      <c r="I917" s="23" t="str">
        <f>_xlfn.IFNA(VLOOKUP(A917,A918:$H$3524,8,0),"")</f>
        <v/>
      </c>
      <c r="J917" s="40" t="str">
        <f t="shared" si="79"/>
        <v/>
      </c>
      <c r="K917" s="24" t="str">
        <f t="shared" si="75"/>
        <v/>
      </c>
      <c r="L917" s="25" t="str">
        <f t="shared" si="76"/>
        <v/>
      </c>
      <c r="M917" s="37"/>
      <c r="N917" s="37"/>
      <c r="O917" s="33" t="str">
        <f t="shared" si="77"/>
        <v/>
      </c>
      <c r="P917" s="33" t="str">
        <f t="shared" si="78"/>
        <v/>
      </c>
      <c r="X917" s="1"/>
    </row>
    <row r="918" spans="7:24">
      <c r="G918" s="21"/>
      <c r="H918" s="23"/>
      <c r="I918" s="23" t="str">
        <f>_xlfn.IFNA(VLOOKUP(A918,A919:$H$3524,8,0),"")</f>
        <v/>
      </c>
      <c r="J918" s="40" t="str">
        <f t="shared" si="79"/>
        <v/>
      </c>
      <c r="K918" s="24" t="str">
        <f t="shared" ref="K918:K981" si="80">IF(H918="","",IFERROR((I918-H918)*24,0))</f>
        <v/>
      </c>
      <c r="L918" s="25" t="str">
        <f t="shared" si="76"/>
        <v/>
      </c>
      <c r="M918" s="37"/>
      <c r="N918" s="37"/>
      <c r="O918" s="33" t="str">
        <f t="shared" si="77"/>
        <v/>
      </c>
      <c r="P918" s="33" t="str">
        <f t="shared" si="78"/>
        <v/>
      </c>
      <c r="X918" s="1"/>
    </row>
    <row r="919" spans="7:24">
      <c r="G919" s="21"/>
      <c r="H919" s="23"/>
      <c r="I919" s="23" t="str">
        <f>_xlfn.IFNA(VLOOKUP(A919,A920:$H$3524,8,0),"")</f>
        <v/>
      </c>
      <c r="J919" s="40" t="str">
        <f t="shared" si="79"/>
        <v/>
      </c>
      <c r="K919" s="24" t="str">
        <f t="shared" si="80"/>
        <v/>
      </c>
      <c r="L919" s="25" t="str">
        <f t="shared" si="76"/>
        <v/>
      </c>
      <c r="M919" s="37"/>
      <c r="N919" s="37"/>
      <c r="O919" s="33" t="str">
        <f t="shared" si="77"/>
        <v/>
      </c>
      <c r="P919" s="33" t="str">
        <f t="shared" si="78"/>
        <v/>
      </c>
      <c r="X919" s="1"/>
    </row>
    <row r="920" spans="7:24">
      <c r="G920" s="21"/>
      <c r="H920" s="23"/>
      <c r="I920" s="23" t="str">
        <f>_xlfn.IFNA(VLOOKUP(A920,A921:$H$3524,8,0),"")</f>
        <v/>
      </c>
      <c r="J920" s="40" t="str">
        <f t="shared" si="79"/>
        <v/>
      </c>
      <c r="K920" s="24" t="str">
        <f t="shared" si="80"/>
        <v/>
      </c>
      <c r="L920" s="25" t="str">
        <f t="shared" si="76"/>
        <v/>
      </c>
      <c r="M920" s="37"/>
      <c r="N920" s="37"/>
      <c r="O920" s="33" t="str">
        <f t="shared" si="77"/>
        <v/>
      </c>
      <c r="P920" s="33" t="str">
        <f t="shared" si="78"/>
        <v/>
      </c>
      <c r="X920" s="1"/>
    </row>
    <row r="921" spans="7:24">
      <c r="G921" s="21"/>
      <c r="H921" s="23"/>
      <c r="I921" s="23" t="str">
        <f>_xlfn.IFNA(VLOOKUP(A921,A922:$H$3524,8,0),"")</f>
        <v/>
      </c>
      <c r="J921" s="40" t="str">
        <f t="shared" si="79"/>
        <v/>
      </c>
      <c r="K921" s="24" t="str">
        <f t="shared" si="80"/>
        <v/>
      </c>
      <c r="L921" s="25" t="str">
        <f t="shared" si="76"/>
        <v/>
      </c>
      <c r="M921" s="37"/>
      <c r="N921" s="37"/>
      <c r="O921" s="33" t="str">
        <f t="shared" si="77"/>
        <v/>
      </c>
      <c r="P921" s="33" t="str">
        <f t="shared" si="78"/>
        <v/>
      </c>
      <c r="X921" s="1"/>
    </row>
    <row r="922" spans="7:24">
      <c r="G922" s="21"/>
      <c r="H922" s="23"/>
      <c r="I922" s="23" t="str">
        <f>_xlfn.IFNA(VLOOKUP(A922,A923:$H$3524,8,0),"")</f>
        <v/>
      </c>
      <c r="J922" s="40" t="str">
        <f t="shared" si="79"/>
        <v/>
      </c>
      <c r="K922" s="24" t="str">
        <f t="shared" si="80"/>
        <v/>
      </c>
      <c r="L922" s="25" t="str">
        <f t="shared" si="76"/>
        <v/>
      </c>
      <c r="M922" s="37"/>
      <c r="N922" s="37"/>
      <c r="O922" s="33" t="str">
        <f t="shared" si="77"/>
        <v/>
      </c>
      <c r="P922" s="33" t="str">
        <f t="shared" si="78"/>
        <v/>
      </c>
      <c r="X922" s="1"/>
    </row>
    <row r="923" spans="7:24">
      <c r="G923" s="21"/>
      <c r="H923" s="23"/>
      <c r="I923" s="23" t="str">
        <f>_xlfn.IFNA(VLOOKUP(A923,A924:$H$3524,8,0),"")</f>
        <v/>
      </c>
      <c r="J923" s="40" t="str">
        <f t="shared" si="79"/>
        <v/>
      </c>
      <c r="K923" s="24" t="str">
        <f t="shared" si="80"/>
        <v/>
      </c>
      <c r="L923" s="25" t="str">
        <f t="shared" si="76"/>
        <v/>
      </c>
      <c r="M923" s="37"/>
      <c r="N923" s="37"/>
      <c r="O923" s="33" t="str">
        <f t="shared" si="77"/>
        <v/>
      </c>
      <c r="P923" s="33" t="str">
        <f t="shared" si="78"/>
        <v/>
      </c>
      <c r="X923" s="1"/>
    </row>
    <row r="924" spans="7:24">
      <c r="G924" s="21"/>
      <c r="H924" s="23"/>
      <c r="I924" s="23" t="str">
        <f>_xlfn.IFNA(VLOOKUP(A924,A925:$H$3524,8,0),"")</f>
        <v/>
      </c>
      <c r="J924" s="40" t="str">
        <f t="shared" si="79"/>
        <v/>
      </c>
      <c r="K924" s="24" t="str">
        <f t="shared" si="80"/>
        <v/>
      </c>
      <c r="L924" s="25" t="str">
        <f t="shared" si="76"/>
        <v/>
      </c>
      <c r="M924" s="37"/>
      <c r="N924" s="37"/>
      <c r="O924" s="33" t="str">
        <f t="shared" si="77"/>
        <v/>
      </c>
      <c r="P924" s="33" t="str">
        <f t="shared" si="78"/>
        <v/>
      </c>
      <c r="X924" s="1"/>
    </row>
    <row r="925" spans="7:24">
      <c r="G925" s="21"/>
      <c r="H925" s="23"/>
      <c r="I925" s="23" t="str">
        <f>_xlfn.IFNA(VLOOKUP(A925,A926:$H$3524,8,0),"")</f>
        <v/>
      </c>
      <c r="J925" s="40" t="str">
        <f t="shared" si="79"/>
        <v/>
      </c>
      <c r="K925" s="24" t="str">
        <f t="shared" si="80"/>
        <v/>
      </c>
      <c r="L925" s="25" t="str">
        <f t="shared" si="76"/>
        <v/>
      </c>
      <c r="M925" s="37"/>
      <c r="N925" s="37"/>
      <c r="O925" s="33" t="str">
        <f t="shared" si="77"/>
        <v/>
      </c>
      <c r="P925" s="33" t="str">
        <f t="shared" si="78"/>
        <v/>
      </c>
      <c r="X925" s="1"/>
    </row>
    <row r="926" spans="7:24">
      <c r="G926" s="21"/>
      <c r="H926" s="23"/>
      <c r="I926" s="23" t="str">
        <f>_xlfn.IFNA(VLOOKUP(A926,A927:$H$3524,8,0),"")</f>
        <v/>
      </c>
      <c r="J926" s="40" t="str">
        <f t="shared" si="79"/>
        <v/>
      </c>
      <c r="K926" s="24" t="str">
        <f t="shared" si="80"/>
        <v/>
      </c>
      <c r="L926" s="25" t="str">
        <f t="shared" si="76"/>
        <v/>
      </c>
      <c r="M926" s="37"/>
      <c r="N926" s="37"/>
      <c r="O926" s="33" t="str">
        <f t="shared" si="77"/>
        <v/>
      </c>
      <c r="P926" s="33" t="str">
        <f t="shared" si="78"/>
        <v/>
      </c>
      <c r="X926" s="1"/>
    </row>
    <row r="927" spans="7:24">
      <c r="G927" s="21"/>
      <c r="H927" s="23"/>
      <c r="I927" s="23" t="str">
        <f>_xlfn.IFNA(VLOOKUP(A927,A928:$H$3524,8,0),"")</f>
        <v/>
      </c>
      <c r="J927" s="40" t="str">
        <f t="shared" si="79"/>
        <v/>
      </c>
      <c r="K927" s="24" t="str">
        <f t="shared" si="80"/>
        <v/>
      </c>
      <c r="L927" s="25" t="str">
        <f t="shared" si="76"/>
        <v/>
      </c>
      <c r="M927" s="37"/>
      <c r="N927" s="37"/>
      <c r="O927" s="33" t="str">
        <f t="shared" si="77"/>
        <v/>
      </c>
      <c r="P927" s="33" t="str">
        <f t="shared" si="78"/>
        <v/>
      </c>
      <c r="X927" s="1"/>
    </row>
    <row r="928" spans="7:24">
      <c r="G928" s="21"/>
      <c r="H928" s="23"/>
      <c r="I928" s="23" t="str">
        <f>_xlfn.IFNA(VLOOKUP(A928,A929:$H$3524,8,0),"")</f>
        <v/>
      </c>
      <c r="J928" s="40" t="str">
        <f t="shared" si="79"/>
        <v/>
      </c>
      <c r="K928" s="24" t="str">
        <f t="shared" si="80"/>
        <v/>
      </c>
      <c r="L928" s="25" t="str">
        <f t="shared" si="76"/>
        <v/>
      </c>
      <c r="M928" s="37"/>
      <c r="N928" s="37"/>
      <c r="O928" s="33" t="str">
        <f t="shared" si="77"/>
        <v/>
      </c>
      <c r="P928" s="33" t="str">
        <f t="shared" si="78"/>
        <v/>
      </c>
      <c r="X928" s="1"/>
    </row>
    <row r="929" spans="7:24">
      <c r="G929" s="21"/>
      <c r="H929" s="23"/>
      <c r="I929" s="23" t="str">
        <f>_xlfn.IFNA(VLOOKUP(A929,A930:$H$3524,8,0),"")</f>
        <v/>
      </c>
      <c r="J929" s="40" t="str">
        <f t="shared" si="79"/>
        <v/>
      </c>
      <c r="K929" s="24" t="str">
        <f t="shared" si="80"/>
        <v/>
      </c>
      <c r="L929" s="25" t="str">
        <f t="shared" si="76"/>
        <v/>
      </c>
      <c r="M929" s="37"/>
      <c r="N929" s="37"/>
      <c r="O929" s="33" t="str">
        <f t="shared" si="77"/>
        <v/>
      </c>
      <c r="P929" s="33" t="str">
        <f t="shared" si="78"/>
        <v/>
      </c>
      <c r="X929" s="1"/>
    </row>
    <row r="930" spans="7:24">
      <c r="G930" s="21"/>
      <c r="H930" s="23"/>
      <c r="I930" s="23" t="str">
        <f>_xlfn.IFNA(VLOOKUP(A930,A931:$H$3524,8,0),"")</f>
        <v/>
      </c>
      <c r="J930" s="40" t="str">
        <f t="shared" si="79"/>
        <v/>
      </c>
      <c r="K930" s="24" t="str">
        <f t="shared" si="80"/>
        <v/>
      </c>
      <c r="L930" s="25" t="str">
        <f t="shared" si="76"/>
        <v/>
      </c>
      <c r="M930" s="37"/>
      <c r="N930" s="37"/>
      <c r="O930" s="33" t="str">
        <f t="shared" si="77"/>
        <v/>
      </c>
      <c r="P930" s="33" t="str">
        <f t="shared" si="78"/>
        <v/>
      </c>
      <c r="X930" s="1"/>
    </row>
    <row r="931" spans="7:24">
      <c r="G931" s="21"/>
      <c r="H931" s="23"/>
      <c r="I931" s="23" t="str">
        <f>_xlfn.IFNA(VLOOKUP(A931,A932:$H$3524,8,0),"")</f>
        <v/>
      </c>
      <c r="J931" s="40" t="str">
        <f t="shared" si="79"/>
        <v/>
      </c>
      <c r="K931" s="24" t="str">
        <f t="shared" si="80"/>
        <v/>
      </c>
      <c r="L931" s="25" t="str">
        <f t="shared" si="76"/>
        <v/>
      </c>
      <c r="M931" s="37"/>
      <c r="N931" s="37"/>
      <c r="O931" s="33" t="str">
        <f t="shared" si="77"/>
        <v/>
      </c>
      <c r="P931" s="33" t="str">
        <f t="shared" si="78"/>
        <v/>
      </c>
      <c r="X931" s="1"/>
    </row>
    <row r="932" spans="7:24">
      <c r="G932" s="21"/>
      <c r="H932" s="23"/>
      <c r="I932" s="23" t="str">
        <f>_xlfn.IFNA(VLOOKUP(A932,A933:$H$3524,8,0),"")</f>
        <v/>
      </c>
      <c r="J932" s="40" t="str">
        <f t="shared" si="79"/>
        <v/>
      </c>
      <c r="K932" s="24" t="str">
        <f t="shared" si="80"/>
        <v/>
      </c>
      <c r="L932" s="25" t="str">
        <f t="shared" si="76"/>
        <v/>
      </c>
      <c r="M932" s="37"/>
      <c r="N932" s="37"/>
      <c r="O932" s="33" t="str">
        <f t="shared" si="77"/>
        <v/>
      </c>
      <c r="P932" s="33" t="str">
        <f t="shared" si="78"/>
        <v/>
      </c>
      <c r="X932" s="1"/>
    </row>
    <row r="933" spans="7:24">
      <c r="G933" s="21"/>
      <c r="H933" s="23"/>
      <c r="I933" s="23" t="str">
        <f>_xlfn.IFNA(VLOOKUP(A933,A934:$H$3524,8,0),"")</f>
        <v/>
      </c>
      <c r="J933" s="40" t="str">
        <f t="shared" si="79"/>
        <v/>
      </c>
      <c r="K933" s="24" t="str">
        <f t="shared" si="80"/>
        <v/>
      </c>
      <c r="L933" s="25" t="str">
        <f t="shared" si="76"/>
        <v/>
      </c>
      <c r="M933" s="37"/>
      <c r="N933" s="37"/>
      <c r="O933" s="33" t="str">
        <f t="shared" si="77"/>
        <v/>
      </c>
      <c r="P933" s="33" t="str">
        <f t="shared" si="78"/>
        <v/>
      </c>
      <c r="X933" s="1"/>
    </row>
    <row r="934" spans="7:24">
      <c r="G934" s="21"/>
      <c r="H934" s="23"/>
      <c r="I934" s="23" t="str">
        <f>_xlfn.IFNA(VLOOKUP(A934,A935:$H$3524,8,0),"")</f>
        <v/>
      </c>
      <c r="J934" s="40" t="str">
        <f t="shared" si="79"/>
        <v/>
      </c>
      <c r="K934" s="24" t="str">
        <f t="shared" si="80"/>
        <v/>
      </c>
      <c r="L934" s="25" t="str">
        <f t="shared" si="76"/>
        <v/>
      </c>
      <c r="M934" s="37"/>
      <c r="N934" s="37"/>
      <c r="O934" s="33" t="str">
        <f t="shared" si="77"/>
        <v/>
      </c>
      <c r="P934" s="33" t="str">
        <f t="shared" si="78"/>
        <v/>
      </c>
      <c r="X934" s="1"/>
    </row>
    <row r="935" spans="7:24">
      <c r="G935" s="21"/>
      <c r="H935" s="23"/>
      <c r="I935" s="23" t="str">
        <f>_xlfn.IFNA(VLOOKUP(A935,A936:$H$3524,8,0),"")</f>
        <v/>
      </c>
      <c r="J935" s="40" t="str">
        <f t="shared" si="79"/>
        <v/>
      </c>
      <c r="K935" s="24" t="str">
        <f t="shared" si="80"/>
        <v/>
      </c>
      <c r="L935" s="25" t="str">
        <f t="shared" si="76"/>
        <v/>
      </c>
      <c r="M935" s="37"/>
      <c r="N935" s="37"/>
      <c r="O935" s="33" t="str">
        <f t="shared" si="77"/>
        <v/>
      </c>
      <c r="P935" s="33" t="str">
        <f t="shared" si="78"/>
        <v/>
      </c>
      <c r="X935" s="1"/>
    </row>
    <row r="936" spans="7:24">
      <c r="G936" s="21"/>
      <c r="H936" s="23"/>
      <c r="I936" s="23" t="str">
        <f>_xlfn.IFNA(VLOOKUP(A936,A937:$H$3524,8,0),"")</f>
        <v/>
      </c>
      <c r="J936" s="40" t="str">
        <f t="shared" si="79"/>
        <v/>
      </c>
      <c r="K936" s="24" t="str">
        <f t="shared" si="80"/>
        <v/>
      </c>
      <c r="L936" s="25" t="str">
        <f t="shared" si="76"/>
        <v/>
      </c>
      <c r="M936" s="37"/>
      <c r="N936" s="37"/>
      <c r="O936" s="33" t="str">
        <f t="shared" si="77"/>
        <v/>
      </c>
      <c r="P936" s="33" t="str">
        <f t="shared" si="78"/>
        <v/>
      </c>
      <c r="X936" s="1"/>
    </row>
    <row r="937" spans="7:24">
      <c r="G937" s="21"/>
      <c r="H937" s="23"/>
      <c r="I937" s="23" t="str">
        <f>_xlfn.IFNA(VLOOKUP(A937,A938:$H$3524,8,0),"")</f>
        <v/>
      </c>
      <c r="J937" s="40" t="str">
        <f t="shared" si="79"/>
        <v/>
      </c>
      <c r="K937" s="24" t="str">
        <f t="shared" si="80"/>
        <v/>
      </c>
      <c r="L937" s="25" t="str">
        <f t="shared" si="76"/>
        <v/>
      </c>
      <c r="M937" s="37"/>
      <c r="N937" s="37"/>
      <c r="O937" s="33" t="str">
        <f t="shared" si="77"/>
        <v/>
      </c>
      <c r="P937" s="33" t="str">
        <f t="shared" si="78"/>
        <v/>
      </c>
      <c r="X937" s="1"/>
    </row>
    <row r="938" spans="7:24">
      <c r="G938" s="21"/>
      <c r="H938" s="23"/>
      <c r="I938" s="23" t="str">
        <f>_xlfn.IFNA(VLOOKUP(A938,A939:$H$3524,8,0),"")</f>
        <v/>
      </c>
      <c r="J938" s="40" t="str">
        <f t="shared" si="79"/>
        <v/>
      </c>
      <c r="K938" s="24" t="str">
        <f t="shared" si="80"/>
        <v/>
      </c>
      <c r="L938" s="25" t="str">
        <f t="shared" si="76"/>
        <v/>
      </c>
      <c r="M938" s="37"/>
      <c r="N938" s="37"/>
      <c r="O938" s="33" t="str">
        <f t="shared" si="77"/>
        <v/>
      </c>
      <c r="P938" s="33" t="str">
        <f t="shared" si="78"/>
        <v/>
      </c>
      <c r="X938" s="1"/>
    </row>
    <row r="939" spans="7:24">
      <c r="G939" s="21"/>
      <c r="H939" s="23"/>
      <c r="I939" s="23" t="str">
        <f>_xlfn.IFNA(VLOOKUP(A939,A940:$H$3524,8,0),"")</f>
        <v/>
      </c>
      <c r="J939" s="40" t="str">
        <f t="shared" si="79"/>
        <v/>
      </c>
      <c r="K939" s="24" t="str">
        <f t="shared" si="80"/>
        <v/>
      </c>
      <c r="L939" s="25" t="str">
        <f t="shared" si="76"/>
        <v/>
      </c>
      <c r="M939" s="37"/>
      <c r="N939" s="37"/>
      <c r="O939" s="33" t="str">
        <f t="shared" si="77"/>
        <v/>
      </c>
      <c r="P939" s="33" t="str">
        <f t="shared" si="78"/>
        <v/>
      </c>
      <c r="X939" s="1"/>
    </row>
    <row r="940" spans="7:24">
      <c r="G940" s="21"/>
      <c r="H940" s="23"/>
      <c r="I940" s="23" t="str">
        <f>_xlfn.IFNA(VLOOKUP(A940,A941:$H$3524,8,0),"")</f>
        <v/>
      </c>
      <c r="J940" s="40" t="str">
        <f t="shared" si="79"/>
        <v/>
      </c>
      <c r="K940" s="24" t="str">
        <f t="shared" si="80"/>
        <v/>
      </c>
      <c r="L940" s="25" t="str">
        <f t="shared" si="76"/>
        <v/>
      </c>
      <c r="M940" s="37"/>
      <c r="N940" s="37"/>
      <c r="O940" s="33" t="str">
        <f t="shared" si="77"/>
        <v/>
      </c>
      <c r="P940" s="33" t="str">
        <f t="shared" si="78"/>
        <v/>
      </c>
      <c r="X940" s="1"/>
    </row>
    <row r="941" spans="7:24">
      <c r="G941" s="21"/>
      <c r="H941" s="23"/>
      <c r="I941" s="23" t="str">
        <f>_xlfn.IFNA(VLOOKUP(A941,A942:$H$3524,8,0),"")</f>
        <v/>
      </c>
      <c r="J941" s="40" t="str">
        <f t="shared" si="79"/>
        <v/>
      </c>
      <c r="K941" s="24" t="str">
        <f t="shared" si="80"/>
        <v/>
      </c>
      <c r="L941" s="25" t="str">
        <f t="shared" si="76"/>
        <v/>
      </c>
      <c r="M941" s="37"/>
      <c r="N941" s="37"/>
      <c r="O941" s="33" t="str">
        <f t="shared" si="77"/>
        <v/>
      </c>
      <c r="P941" s="33" t="str">
        <f t="shared" si="78"/>
        <v/>
      </c>
      <c r="X941" s="1"/>
    </row>
    <row r="942" spans="7:24">
      <c r="G942" s="21"/>
      <c r="H942" s="23"/>
      <c r="I942" s="23" t="str">
        <f>_xlfn.IFNA(VLOOKUP(A942,A943:$H$3524,8,0),"")</f>
        <v/>
      </c>
      <c r="J942" s="40" t="str">
        <f t="shared" si="79"/>
        <v/>
      </c>
      <c r="K942" s="24" t="str">
        <f t="shared" si="80"/>
        <v/>
      </c>
      <c r="L942" s="25" t="str">
        <f t="shared" si="76"/>
        <v/>
      </c>
      <c r="M942" s="37"/>
      <c r="N942" s="37"/>
      <c r="O942" s="33" t="str">
        <f t="shared" si="77"/>
        <v/>
      </c>
      <c r="P942" s="33" t="str">
        <f t="shared" si="78"/>
        <v/>
      </c>
      <c r="X942" s="1"/>
    </row>
    <row r="943" spans="7:24">
      <c r="G943" s="21"/>
      <c r="H943" s="23"/>
      <c r="I943" s="23" t="str">
        <f>_xlfn.IFNA(VLOOKUP(A943,A944:$H$3524,8,0),"")</f>
        <v/>
      </c>
      <c r="J943" s="40" t="str">
        <f t="shared" si="79"/>
        <v/>
      </c>
      <c r="K943" s="24" t="str">
        <f t="shared" si="80"/>
        <v/>
      </c>
      <c r="L943" s="25" t="str">
        <f t="shared" si="76"/>
        <v/>
      </c>
      <c r="M943" s="37"/>
      <c r="N943" s="37"/>
      <c r="O943" s="33" t="str">
        <f t="shared" si="77"/>
        <v/>
      </c>
      <c r="P943" s="33" t="str">
        <f t="shared" si="78"/>
        <v/>
      </c>
      <c r="X943" s="1"/>
    </row>
    <row r="944" spans="7:24">
      <c r="G944" s="21"/>
      <c r="H944" s="23"/>
      <c r="I944" s="23" t="str">
        <f>_xlfn.IFNA(VLOOKUP(A944,A945:$H$3524,8,0),"")</f>
        <v/>
      </c>
      <c r="J944" s="40" t="str">
        <f t="shared" si="79"/>
        <v/>
      </c>
      <c r="K944" s="24" t="str">
        <f t="shared" si="80"/>
        <v/>
      </c>
      <c r="L944" s="25" t="str">
        <f t="shared" si="76"/>
        <v/>
      </c>
      <c r="M944" s="37"/>
      <c r="N944" s="37"/>
      <c r="O944" s="33" t="str">
        <f t="shared" si="77"/>
        <v/>
      </c>
      <c r="P944" s="33" t="str">
        <f t="shared" si="78"/>
        <v/>
      </c>
      <c r="X944" s="1"/>
    </row>
    <row r="945" spans="7:24">
      <c r="G945" s="21"/>
      <c r="H945" s="23"/>
      <c r="I945" s="23" t="str">
        <f>_xlfn.IFNA(VLOOKUP(A945,A946:$H$3524,8,0),"")</f>
        <v/>
      </c>
      <c r="J945" s="40" t="str">
        <f t="shared" si="79"/>
        <v/>
      </c>
      <c r="K945" s="24" t="str">
        <f t="shared" si="80"/>
        <v/>
      </c>
      <c r="L945" s="25" t="str">
        <f t="shared" si="76"/>
        <v/>
      </c>
      <c r="M945" s="37"/>
      <c r="N945" s="37"/>
      <c r="O945" s="33" t="str">
        <f t="shared" si="77"/>
        <v/>
      </c>
      <c r="P945" s="33" t="str">
        <f t="shared" si="78"/>
        <v/>
      </c>
      <c r="X945" s="1"/>
    </row>
    <row r="946" spans="7:24">
      <c r="G946" s="21"/>
      <c r="H946" s="23"/>
      <c r="I946" s="23" t="str">
        <f>_xlfn.IFNA(VLOOKUP(A946,A947:$H$3524,8,0),"")</f>
        <v/>
      </c>
      <c r="J946" s="40" t="str">
        <f t="shared" si="79"/>
        <v/>
      </c>
      <c r="K946" s="24" t="str">
        <f t="shared" si="80"/>
        <v/>
      </c>
      <c r="L946" s="25" t="str">
        <f t="shared" si="76"/>
        <v/>
      </c>
      <c r="M946" s="37"/>
      <c r="N946" s="37"/>
      <c r="O946" s="33" t="str">
        <f t="shared" si="77"/>
        <v/>
      </c>
      <c r="P946" s="33" t="str">
        <f t="shared" si="78"/>
        <v/>
      </c>
      <c r="X946" s="1"/>
    </row>
    <row r="947" spans="7:24">
      <c r="G947" s="21"/>
      <c r="H947" s="23"/>
      <c r="I947" s="23" t="str">
        <f>_xlfn.IFNA(VLOOKUP(A947,A948:$H$3524,8,0),"")</f>
        <v/>
      </c>
      <c r="J947" s="40" t="str">
        <f t="shared" si="79"/>
        <v/>
      </c>
      <c r="K947" s="24" t="str">
        <f t="shared" si="80"/>
        <v/>
      </c>
      <c r="L947" s="25" t="str">
        <f t="shared" si="76"/>
        <v/>
      </c>
      <c r="M947" s="37"/>
      <c r="N947" s="37"/>
      <c r="O947" s="33" t="str">
        <f t="shared" si="77"/>
        <v/>
      </c>
      <c r="P947" s="33" t="str">
        <f t="shared" si="78"/>
        <v/>
      </c>
      <c r="X947" s="1"/>
    </row>
    <row r="948" spans="7:24">
      <c r="G948" s="21"/>
      <c r="H948" s="23"/>
      <c r="I948" s="23" t="str">
        <f>_xlfn.IFNA(VLOOKUP(A948,A949:$H$3524,8,0),"")</f>
        <v/>
      </c>
      <c r="J948" s="40" t="str">
        <f t="shared" si="79"/>
        <v/>
      </c>
      <c r="K948" s="24" t="str">
        <f t="shared" si="80"/>
        <v/>
      </c>
      <c r="L948" s="25" t="str">
        <f t="shared" si="76"/>
        <v/>
      </c>
      <c r="M948" s="37"/>
      <c r="N948" s="37"/>
      <c r="O948" s="33" t="str">
        <f t="shared" si="77"/>
        <v/>
      </c>
      <c r="P948" s="33" t="str">
        <f t="shared" si="78"/>
        <v/>
      </c>
      <c r="X948" s="1"/>
    </row>
    <row r="949" spans="7:24">
      <c r="G949" s="21"/>
      <c r="H949" s="23"/>
      <c r="I949" s="23" t="str">
        <f>_xlfn.IFNA(VLOOKUP(A949,A950:$H$3524,8,0),"")</f>
        <v/>
      </c>
      <c r="J949" s="40" t="str">
        <f t="shared" si="79"/>
        <v/>
      </c>
      <c r="K949" s="24" t="str">
        <f t="shared" si="80"/>
        <v/>
      </c>
      <c r="L949" s="25" t="str">
        <f t="shared" si="76"/>
        <v/>
      </c>
      <c r="M949" s="37"/>
      <c r="N949" s="37"/>
      <c r="O949" s="33" t="str">
        <f t="shared" si="77"/>
        <v/>
      </c>
      <c r="P949" s="33" t="str">
        <f t="shared" si="78"/>
        <v/>
      </c>
      <c r="X949" s="1"/>
    </row>
    <row r="950" spans="7:24">
      <c r="G950" s="21"/>
      <c r="H950" s="23"/>
      <c r="I950" s="23" t="str">
        <f>_xlfn.IFNA(VLOOKUP(A950,A951:$H$3524,8,0),"")</f>
        <v/>
      </c>
      <c r="J950" s="40" t="str">
        <f t="shared" si="79"/>
        <v/>
      </c>
      <c r="K950" s="24" t="str">
        <f t="shared" si="80"/>
        <v/>
      </c>
      <c r="L950" s="25" t="str">
        <f t="shared" si="76"/>
        <v/>
      </c>
      <c r="M950" s="37"/>
      <c r="N950" s="37"/>
      <c r="O950" s="33" t="str">
        <f t="shared" si="77"/>
        <v/>
      </c>
      <c r="P950" s="33" t="str">
        <f t="shared" si="78"/>
        <v/>
      </c>
      <c r="X950" s="1"/>
    </row>
    <row r="951" spans="7:24">
      <c r="G951" s="21"/>
      <c r="H951" s="23"/>
      <c r="I951" s="23" t="str">
        <f>_xlfn.IFNA(VLOOKUP(A951,A952:$H$3524,8,0),"")</f>
        <v/>
      </c>
      <c r="J951" s="40" t="str">
        <f t="shared" si="79"/>
        <v/>
      </c>
      <c r="K951" s="24" t="str">
        <f t="shared" si="80"/>
        <v/>
      </c>
      <c r="L951" s="25" t="str">
        <f t="shared" ref="L951:L1014" si="81">IF(K951="","",IF(B951="Break","Break",IF(K951&lt;&gt;0,"Work Finished",IF(B951="OFF","Work Finished",IF(I951="","Working","Work Finished")))))</f>
        <v/>
      </c>
      <c r="M951" s="37"/>
      <c r="N951" s="37"/>
      <c r="O951" s="33" t="str">
        <f t="shared" ref="O951:O1014" si="82">IF(AND(J951="",M951="",N951=""),"",J951-M951-N951)</f>
        <v/>
      </c>
      <c r="P951" s="33" t="str">
        <f t="shared" ref="P951:P1014" si="83">IF(HOUR(H951)=0,"",HOUR(H951))</f>
        <v/>
      </c>
      <c r="X951" s="1"/>
    </row>
    <row r="952" spans="7:24">
      <c r="G952" s="21"/>
      <c r="H952" s="23"/>
      <c r="I952" s="23" t="str">
        <f>_xlfn.IFNA(VLOOKUP(A952,A953:$H$3524,8,0),"")</f>
        <v/>
      </c>
      <c r="J952" s="40" t="str">
        <f t="shared" si="79"/>
        <v/>
      </c>
      <c r="K952" s="24" t="str">
        <f t="shared" si="80"/>
        <v/>
      </c>
      <c r="L952" s="25" t="str">
        <f t="shared" si="81"/>
        <v/>
      </c>
      <c r="M952" s="37"/>
      <c r="N952" s="37"/>
      <c r="O952" s="33" t="str">
        <f t="shared" si="82"/>
        <v/>
      </c>
      <c r="P952" s="33" t="str">
        <f t="shared" si="83"/>
        <v/>
      </c>
      <c r="X952" s="1"/>
    </row>
    <row r="953" spans="7:24">
      <c r="G953" s="21"/>
      <c r="H953" s="23"/>
      <c r="I953" s="23" t="str">
        <f>_xlfn.IFNA(VLOOKUP(A953,A954:$H$3524,8,0),"")</f>
        <v/>
      </c>
      <c r="J953" s="40" t="str">
        <f t="shared" si="79"/>
        <v/>
      </c>
      <c r="K953" s="24" t="str">
        <f t="shared" si="80"/>
        <v/>
      </c>
      <c r="L953" s="25" t="str">
        <f t="shared" si="81"/>
        <v/>
      </c>
      <c r="M953" s="37"/>
      <c r="N953" s="37"/>
      <c r="O953" s="33" t="str">
        <f t="shared" si="82"/>
        <v/>
      </c>
      <c r="P953" s="33" t="str">
        <f t="shared" si="83"/>
        <v/>
      </c>
      <c r="X953" s="1"/>
    </row>
    <row r="954" spans="7:24">
      <c r="G954" s="21"/>
      <c r="H954" s="23"/>
      <c r="I954" s="23" t="str">
        <f>_xlfn.IFNA(VLOOKUP(A954,A955:$H$3524,8,0),"")</f>
        <v/>
      </c>
      <c r="J954" s="40" t="str">
        <f t="shared" si="79"/>
        <v/>
      </c>
      <c r="K954" s="24" t="str">
        <f t="shared" si="80"/>
        <v/>
      </c>
      <c r="L954" s="25" t="str">
        <f t="shared" si="81"/>
        <v/>
      </c>
      <c r="M954" s="37"/>
      <c r="N954" s="37"/>
      <c r="O954" s="33" t="str">
        <f t="shared" si="82"/>
        <v/>
      </c>
      <c r="P954" s="33" t="str">
        <f t="shared" si="83"/>
        <v/>
      </c>
      <c r="X954" s="1"/>
    </row>
    <row r="955" spans="7:24">
      <c r="G955" s="21"/>
      <c r="H955" s="23"/>
      <c r="I955" s="23" t="str">
        <f>_xlfn.IFNA(VLOOKUP(A955,A956:$H$3524,8,0),"")</f>
        <v/>
      </c>
      <c r="J955" s="40" t="str">
        <f t="shared" si="79"/>
        <v/>
      </c>
      <c r="K955" s="24" t="str">
        <f t="shared" si="80"/>
        <v/>
      </c>
      <c r="L955" s="25" t="str">
        <f t="shared" si="81"/>
        <v/>
      </c>
      <c r="M955" s="37"/>
      <c r="N955" s="37"/>
      <c r="O955" s="33" t="str">
        <f t="shared" si="82"/>
        <v/>
      </c>
      <c r="P955" s="33" t="str">
        <f t="shared" si="83"/>
        <v/>
      </c>
      <c r="X955" s="1"/>
    </row>
    <row r="956" spans="7:24">
      <c r="G956" s="21"/>
      <c r="H956" s="23"/>
      <c r="I956" s="23" t="str">
        <f>_xlfn.IFNA(VLOOKUP(A956,A957:$H$3524,8,0),"")</f>
        <v/>
      </c>
      <c r="J956" s="40" t="str">
        <f t="shared" si="79"/>
        <v/>
      </c>
      <c r="K956" s="24" t="str">
        <f t="shared" si="80"/>
        <v/>
      </c>
      <c r="L956" s="25" t="str">
        <f t="shared" si="81"/>
        <v/>
      </c>
      <c r="M956" s="37"/>
      <c r="N956" s="37"/>
      <c r="O956" s="33" t="str">
        <f t="shared" si="82"/>
        <v/>
      </c>
      <c r="P956" s="33" t="str">
        <f t="shared" si="83"/>
        <v/>
      </c>
      <c r="X956" s="1"/>
    </row>
    <row r="957" spans="7:24">
      <c r="G957" s="21"/>
      <c r="H957" s="23"/>
      <c r="I957" s="23" t="str">
        <f>_xlfn.IFNA(VLOOKUP(A957,A958:$H$3524,8,0),"")</f>
        <v/>
      </c>
      <c r="J957" s="40" t="str">
        <f t="shared" si="79"/>
        <v/>
      </c>
      <c r="K957" s="24" t="str">
        <f t="shared" si="80"/>
        <v/>
      </c>
      <c r="L957" s="25" t="str">
        <f t="shared" si="81"/>
        <v/>
      </c>
      <c r="M957" s="37"/>
      <c r="N957" s="37"/>
      <c r="O957" s="33" t="str">
        <f t="shared" si="82"/>
        <v/>
      </c>
      <c r="P957" s="33" t="str">
        <f t="shared" si="83"/>
        <v/>
      </c>
      <c r="X957" s="1"/>
    </row>
    <row r="958" spans="7:24">
      <c r="G958" s="21"/>
      <c r="H958" s="23"/>
      <c r="I958" s="23" t="str">
        <f>_xlfn.IFNA(VLOOKUP(A958,A959:$H$3524,8,0),"")</f>
        <v/>
      </c>
      <c r="J958" s="40" t="str">
        <f t="shared" si="79"/>
        <v/>
      </c>
      <c r="K958" s="24" t="str">
        <f t="shared" si="80"/>
        <v/>
      </c>
      <c r="L958" s="25" t="str">
        <f t="shared" si="81"/>
        <v/>
      </c>
      <c r="M958" s="37"/>
      <c r="N958" s="37"/>
      <c r="O958" s="33" t="str">
        <f t="shared" si="82"/>
        <v/>
      </c>
      <c r="P958" s="33" t="str">
        <f t="shared" si="83"/>
        <v/>
      </c>
      <c r="X958" s="1"/>
    </row>
    <row r="959" spans="7:24">
      <c r="G959" s="21"/>
      <c r="H959" s="23"/>
      <c r="I959" s="23" t="str">
        <f>_xlfn.IFNA(VLOOKUP(A959,A960:$H$3524,8,0),"")</f>
        <v/>
      </c>
      <c r="J959" s="40" t="str">
        <f t="shared" si="79"/>
        <v/>
      </c>
      <c r="K959" s="24" t="str">
        <f t="shared" si="80"/>
        <v/>
      </c>
      <c r="L959" s="25" t="str">
        <f t="shared" si="81"/>
        <v/>
      </c>
      <c r="M959" s="37"/>
      <c r="N959" s="37"/>
      <c r="O959" s="33" t="str">
        <f t="shared" si="82"/>
        <v/>
      </c>
      <c r="P959" s="33" t="str">
        <f t="shared" si="83"/>
        <v/>
      </c>
      <c r="X959" s="1"/>
    </row>
    <row r="960" spans="7:24">
      <c r="G960" s="21"/>
      <c r="H960" s="23"/>
      <c r="I960" s="23" t="str">
        <f>_xlfn.IFNA(VLOOKUP(A960,A961:$H$3524,8,0),"")</f>
        <v/>
      </c>
      <c r="J960" s="40" t="str">
        <f t="shared" si="79"/>
        <v/>
      </c>
      <c r="K960" s="24" t="str">
        <f t="shared" si="80"/>
        <v/>
      </c>
      <c r="L960" s="25" t="str">
        <f t="shared" si="81"/>
        <v/>
      </c>
      <c r="M960" s="37"/>
      <c r="N960" s="37"/>
      <c r="O960" s="33" t="str">
        <f t="shared" si="82"/>
        <v/>
      </c>
      <c r="P960" s="33" t="str">
        <f t="shared" si="83"/>
        <v/>
      </c>
      <c r="X960" s="1"/>
    </row>
    <row r="961" spans="7:24">
      <c r="G961" s="21"/>
      <c r="H961" s="23"/>
      <c r="I961" s="23" t="str">
        <f>_xlfn.IFNA(VLOOKUP(A961,A962:$H$3524,8,0),"")</f>
        <v/>
      </c>
      <c r="J961" s="40" t="str">
        <f t="shared" si="79"/>
        <v/>
      </c>
      <c r="K961" s="24" t="str">
        <f t="shared" si="80"/>
        <v/>
      </c>
      <c r="L961" s="25" t="str">
        <f t="shared" si="81"/>
        <v/>
      </c>
      <c r="M961" s="37"/>
      <c r="N961" s="37"/>
      <c r="O961" s="33" t="str">
        <f t="shared" si="82"/>
        <v/>
      </c>
      <c r="P961" s="33" t="str">
        <f t="shared" si="83"/>
        <v/>
      </c>
      <c r="X961" s="1"/>
    </row>
    <row r="962" spans="7:24">
      <c r="G962" s="21"/>
      <c r="H962" s="23"/>
      <c r="I962" s="23" t="str">
        <f>_xlfn.IFNA(VLOOKUP(A962,A963:$H$3524,8,0),"")</f>
        <v/>
      </c>
      <c r="J962" s="40" t="str">
        <f t="shared" si="79"/>
        <v/>
      </c>
      <c r="K962" s="24" t="str">
        <f t="shared" si="80"/>
        <v/>
      </c>
      <c r="L962" s="25" t="str">
        <f t="shared" si="81"/>
        <v/>
      </c>
      <c r="M962" s="37"/>
      <c r="N962" s="37"/>
      <c r="O962" s="33" t="str">
        <f t="shared" si="82"/>
        <v/>
      </c>
      <c r="P962" s="33" t="str">
        <f t="shared" si="83"/>
        <v/>
      </c>
      <c r="X962" s="1"/>
    </row>
    <row r="963" spans="7:24">
      <c r="G963" s="21"/>
      <c r="H963" s="23"/>
      <c r="I963" s="23" t="str">
        <f>_xlfn.IFNA(VLOOKUP(A963,A964:$H$3524,8,0),"")</f>
        <v/>
      </c>
      <c r="J963" s="40" t="str">
        <f t="shared" si="79"/>
        <v/>
      </c>
      <c r="K963" s="24" t="str">
        <f t="shared" si="80"/>
        <v/>
      </c>
      <c r="L963" s="25" t="str">
        <f t="shared" si="81"/>
        <v/>
      </c>
      <c r="M963" s="37"/>
      <c r="N963" s="37"/>
      <c r="O963" s="33" t="str">
        <f t="shared" si="82"/>
        <v/>
      </c>
      <c r="P963" s="33" t="str">
        <f t="shared" si="83"/>
        <v/>
      </c>
      <c r="X963" s="1"/>
    </row>
    <row r="964" spans="7:24">
      <c r="G964" s="21"/>
      <c r="H964" s="23"/>
      <c r="I964" s="23" t="str">
        <f>_xlfn.IFNA(VLOOKUP(A964,A965:$H$3524,8,0),"")</f>
        <v/>
      </c>
      <c r="J964" s="40" t="str">
        <f t="shared" si="79"/>
        <v/>
      </c>
      <c r="K964" s="24" t="str">
        <f t="shared" si="80"/>
        <v/>
      </c>
      <c r="L964" s="25" t="str">
        <f t="shared" si="81"/>
        <v/>
      </c>
      <c r="M964" s="37"/>
      <c r="N964" s="37"/>
      <c r="O964" s="33" t="str">
        <f t="shared" si="82"/>
        <v/>
      </c>
      <c r="P964" s="33" t="str">
        <f t="shared" si="83"/>
        <v/>
      </c>
      <c r="X964" s="1"/>
    </row>
    <row r="965" spans="7:24">
      <c r="G965" s="21"/>
      <c r="H965" s="23"/>
      <c r="I965" s="23" t="str">
        <f>_xlfn.IFNA(VLOOKUP(A965,A966:$H$3524,8,0),"")</f>
        <v/>
      </c>
      <c r="J965" s="40" t="str">
        <f t="shared" si="79"/>
        <v/>
      </c>
      <c r="K965" s="24" t="str">
        <f t="shared" si="80"/>
        <v/>
      </c>
      <c r="L965" s="25" t="str">
        <f t="shared" si="81"/>
        <v/>
      </c>
      <c r="M965" s="37"/>
      <c r="N965" s="37"/>
      <c r="O965" s="33" t="str">
        <f t="shared" si="82"/>
        <v/>
      </c>
      <c r="P965" s="33" t="str">
        <f t="shared" si="83"/>
        <v/>
      </c>
      <c r="X965" s="1"/>
    </row>
    <row r="966" spans="7:24">
      <c r="G966" s="21"/>
      <c r="H966" s="23"/>
      <c r="I966" s="23" t="str">
        <f>_xlfn.IFNA(VLOOKUP(A966,A967:$H$3524,8,0),"")</f>
        <v/>
      </c>
      <c r="J966" s="40" t="str">
        <f t="shared" ref="J966:J1029" si="84">IF(B966="OFF",0,IF(AND(D966&lt;&gt;"",E966&lt;&gt;""),E966-D966+1,""))</f>
        <v/>
      </c>
      <c r="K966" s="24" t="str">
        <f t="shared" si="80"/>
        <v/>
      </c>
      <c r="L966" s="25" t="str">
        <f t="shared" si="81"/>
        <v/>
      </c>
      <c r="M966" s="37"/>
      <c r="N966" s="37"/>
      <c r="O966" s="33" t="str">
        <f t="shared" si="82"/>
        <v/>
      </c>
      <c r="P966" s="33" t="str">
        <f t="shared" si="83"/>
        <v/>
      </c>
      <c r="X966" s="1"/>
    </row>
    <row r="967" spans="7:24">
      <c r="G967" s="21"/>
      <c r="H967" s="23"/>
      <c r="I967" s="23" t="str">
        <f>_xlfn.IFNA(VLOOKUP(A967,A968:$H$3524,8,0),"")</f>
        <v/>
      </c>
      <c r="J967" s="40" t="str">
        <f t="shared" si="84"/>
        <v/>
      </c>
      <c r="K967" s="24" t="str">
        <f t="shared" si="80"/>
        <v/>
      </c>
      <c r="L967" s="25" t="str">
        <f t="shared" si="81"/>
        <v/>
      </c>
      <c r="M967" s="37"/>
      <c r="N967" s="37"/>
      <c r="O967" s="33" t="str">
        <f t="shared" si="82"/>
        <v/>
      </c>
      <c r="P967" s="33" t="str">
        <f t="shared" si="83"/>
        <v/>
      </c>
      <c r="X967" s="1"/>
    </row>
    <row r="968" spans="7:24">
      <c r="G968" s="21"/>
      <c r="H968" s="23"/>
      <c r="I968" s="23" t="str">
        <f>_xlfn.IFNA(VLOOKUP(A968,A969:$H$3524,8,0),"")</f>
        <v/>
      </c>
      <c r="J968" s="40" t="str">
        <f t="shared" si="84"/>
        <v/>
      </c>
      <c r="K968" s="24" t="str">
        <f t="shared" si="80"/>
        <v/>
      </c>
      <c r="L968" s="25" t="str">
        <f t="shared" si="81"/>
        <v/>
      </c>
      <c r="M968" s="37"/>
      <c r="N968" s="37"/>
      <c r="O968" s="33" t="str">
        <f t="shared" si="82"/>
        <v/>
      </c>
      <c r="P968" s="33" t="str">
        <f t="shared" si="83"/>
        <v/>
      </c>
      <c r="X968" s="1"/>
    </row>
    <row r="969" spans="7:24">
      <c r="G969" s="21"/>
      <c r="H969" s="23"/>
      <c r="I969" s="23" t="str">
        <f>_xlfn.IFNA(VLOOKUP(A969,A970:$H$3524,8,0),"")</f>
        <v/>
      </c>
      <c r="J969" s="40" t="str">
        <f t="shared" si="84"/>
        <v/>
      </c>
      <c r="K969" s="24" t="str">
        <f t="shared" si="80"/>
        <v/>
      </c>
      <c r="L969" s="25" t="str">
        <f t="shared" si="81"/>
        <v/>
      </c>
      <c r="M969" s="37"/>
      <c r="N969" s="37"/>
      <c r="O969" s="33" t="str">
        <f t="shared" si="82"/>
        <v/>
      </c>
      <c r="P969" s="33" t="str">
        <f t="shared" si="83"/>
        <v/>
      </c>
      <c r="X969" s="1"/>
    </row>
    <row r="970" spans="7:24">
      <c r="G970" s="21"/>
      <c r="H970" s="23"/>
      <c r="I970" s="23" t="str">
        <f>_xlfn.IFNA(VLOOKUP(A970,A971:$H$3524,8,0),"")</f>
        <v/>
      </c>
      <c r="J970" s="40" t="str">
        <f t="shared" si="84"/>
        <v/>
      </c>
      <c r="K970" s="24" t="str">
        <f t="shared" si="80"/>
        <v/>
      </c>
      <c r="L970" s="25" t="str">
        <f t="shared" si="81"/>
        <v/>
      </c>
      <c r="M970" s="37"/>
      <c r="N970" s="37"/>
      <c r="O970" s="33" t="str">
        <f t="shared" si="82"/>
        <v/>
      </c>
      <c r="P970" s="33" t="str">
        <f t="shared" si="83"/>
        <v/>
      </c>
      <c r="X970" s="1"/>
    </row>
    <row r="971" spans="7:24">
      <c r="G971" s="21"/>
      <c r="H971" s="23"/>
      <c r="I971" s="23" t="str">
        <f>_xlfn.IFNA(VLOOKUP(A971,A972:$H$3524,8,0),"")</f>
        <v/>
      </c>
      <c r="J971" s="40" t="str">
        <f t="shared" si="84"/>
        <v/>
      </c>
      <c r="K971" s="24" t="str">
        <f t="shared" si="80"/>
        <v/>
      </c>
      <c r="L971" s="25" t="str">
        <f t="shared" si="81"/>
        <v/>
      </c>
      <c r="M971" s="37"/>
      <c r="N971" s="37"/>
      <c r="O971" s="33" t="str">
        <f t="shared" si="82"/>
        <v/>
      </c>
      <c r="P971" s="33" t="str">
        <f t="shared" si="83"/>
        <v/>
      </c>
      <c r="X971" s="1"/>
    </row>
    <row r="972" spans="7:24">
      <c r="G972" s="21"/>
      <c r="H972" s="23"/>
      <c r="I972" s="23" t="str">
        <f>_xlfn.IFNA(VLOOKUP(A972,A973:$H$3524,8,0),"")</f>
        <v/>
      </c>
      <c r="J972" s="40" t="str">
        <f t="shared" si="84"/>
        <v/>
      </c>
      <c r="K972" s="24" t="str">
        <f t="shared" si="80"/>
        <v/>
      </c>
      <c r="L972" s="25" t="str">
        <f t="shared" si="81"/>
        <v/>
      </c>
      <c r="M972" s="37"/>
      <c r="N972" s="37"/>
      <c r="O972" s="33" t="str">
        <f t="shared" si="82"/>
        <v/>
      </c>
      <c r="P972" s="33" t="str">
        <f t="shared" si="83"/>
        <v/>
      </c>
      <c r="X972" s="1"/>
    </row>
    <row r="973" spans="7:24">
      <c r="G973" s="21"/>
      <c r="H973" s="23"/>
      <c r="I973" s="23" t="str">
        <f>_xlfn.IFNA(VLOOKUP(A973,A974:$H$3524,8,0),"")</f>
        <v/>
      </c>
      <c r="J973" s="40" t="str">
        <f t="shared" si="84"/>
        <v/>
      </c>
      <c r="K973" s="24" t="str">
        <f t="shared" si="80"/>
        <v/>
      </c>
      <c r="L973" s="25" t="str">
        <f t="shared" si="81"/>
        <v/>
      </c>
      <c r="M973" s="37"/>
      <c r="N973" s="37"/>
      <c r="O973" s="33" t="str">
        <f t="shared" si="82"/>
        <v/>
      </c>
      <c r="P973" s="33" t="str">
        <f t="shared" si="83"/>
        <v/>
      </c>
      <c r="X973" s="1"/>
    </row>
    <row r="974" spans="7:24">
      <c r="G974" s="21"/>
      <c r="H974" s="23"/>
      <c r="I974" s="23" t="str">
        <f>_xlfn.IFNA(VLOOKUP(A974,A975:$H$3524,8,0),"")</f>
        <v/>
      </c>
      <c r="J974" s="40" t="str">
        <f t="shared" si="84"/>
        <v/>
      </c>
      <c r="K974" s="24" t="str">
        <f t="shared" si="80"/>
        <v/>
      </c>
      <c r="L974" s="25" t="str">
        <f t="shared" si="81"/>
        <v/>
      </c>
      <c r="M974" s="37"/>
      <c r="N974" s="37"/>
      <c r="O974" s="33" t="str">
        <f t="shared" si="82"/>
        <v/>
      </c>
      <c r="P974" s="33" t="str">
        <f t="shared" si="83"/>
        <v/>
      </c>
      <c r="X974" s="1"/>
    </row>
    <row r="975" spans="7:24">
      <c r="G975" s="21"/>
      <c r="H975" s="23"/>
      <c r="I975" s="23" t="str">
        <f>_xlfn.IFNA(VLOOKUP(A975,A976:$H$3524,8,0),"")</f>
        <v/>
      </c>
      <c r="J975" s="40" t="str">
        <f t="shared" si="84"/>
        <v/>
      </c>
      <c r="K975" s="24" t="str">
        <f t="shared" si="80"/>
        <v/>
      </c>
      <c r="L975" s="25" t="str">
        <f t="shared" si="81"/>
        <v/>
      </c>
      <c r="M975" s="37"/>
      <c r="N975" s="37"/>
      <c r="O975" s="33" t="str">
        <f t="shared" si="82"/>
        <v/>
      </c>
      <c r="P975" s="33" t="str">
        <f t="shared" si="83"/>
        <v/>
      </c>
      <c r="X975" s="1"/>
    </row>
    <row r="976" spans="7:24">
      <c r="G976" s="21"/>
      <c r="H976" s="23"/>
      <c r="I976" s="23" t="str">
        <f>_xlfn.IFNA(VLOOKUP(A976,A977:$H$3524,8,0),"")</f>
        <v/>
      </c>
      <c r="J976" s="40" t="str">
        <f t="shared" si="84"/>
        <v/>
      </c>
      <c r="K976" s="24" t="str">
        <f t="shared" si="80"/>
        <v/>
      </c>
      <c r="L976" s="25" t="str">
        <f t="shared" si="81"/>
        <v/>
      </c>
      <c r="M976" s="37"/>
      <c r="N976" s="37"/>
      <c r="O976" s="33" t="str">
        <f t="shared" si="82"/>
        <v/>
      </c>
      <c r="P976" s="33" t="str">
        <f t="shared" si="83"/>
        <v/>
      </c>
      <c r="X976" s="1"/>
    </row>
    <row r="977" spans="7:24">
      <c r="G977" s="21"/>
      <c r="H977" s="23"/>
      <c r="I977" s="23" t="str">
        <f>_xlfn.IFNA(VLOOKUP(A977,A978:$H$3524,8,0),"")</f>
        <v/>
      </c>
      <c r="J977" s="40" t="str">
        <f t="shared" si="84"/>
        <v/>
      </c>
      <c r="K977" s="24" t="str">
        <f t="shared" si="80"/>
        <v/>
      </c>
      <c r="L977" s="25" t="str">
        <f t="shared" si="81"/>
        <v/>
      </c>
      <c r="M977" s="37"/>
      <c r="N977" s="37"/>
      <c r="O977" s="33" t="str">
        <f t="shared" si="82"/>
        <v/>
      </c>
      <c r="P977" s="33" t="str">
        <f t="shared" si="83"/>
        <v/>
      </c>
      <c r="X977" s="1"/>
    </row>
    <row r="978" spans="7:24">
      <c r="G978" s="21"/>
      <c r="H978" s="23"/>
      <c r="I978" s="23" t="str">
        <f>_xlfn.IFNA(VLOOKUP(A978,A979:$H$3524,8,0),"")</f>
        <v/>
      </c>
      <c r="J978" s="40" t="str">
        <f t="shared" si="84"/>
        <v/>
      </c>
      <c r="K978" s="24" t="str">
        <f t="shared" si="80"/>
        <v/>
      </c>
      <c r="L978" s="25" t="str">
        <f t="shared" si="81"/>
        <v/>
      </c>
      <c r="M978" s="37"/>
      <c r="N978" s="37"/>
      <c r="O978" s="33" t="str">
        <f t="shared" si="82"/>
        <v/>
      </c>
      <c r="P978" s="33" t="str">
        <f t="shared" si="83"/>
        <v/>
      </c>
      <c r="X978" s="1"/>
    </row>
    <row r="979" spans="7:24">
      <c r="G979" s="21"/>
      <c r="H979" s="23"/>
      <c r="I979" s="23" t="str">
        <f>_xlfn.IFNA(VLOOKUP(A979,A980:$H$3524,8,0),"")</f>
        <v/>
      </c>
      <c r="J979" s="40" t="str">
        <f t="shared" si="84"/>
        <v/>
      </c>
      <c r="K979" s="24" t="str">
        <f t="shared" si="80"/>
        <v/>
      </c>
      <c r="L979" s="25" t="str">
        <f t="shared" si="81"/>
        <v/>
      </c>
      <c r="M979" s="37"/>
      <c r="N979" s="37"/>
      <c r="O979" s="33" t="str">
        <f t="shared" si="82"/>
        <v/>
      </c>
      <c r="P979" s="33" t="str">
        <f t="shared" si="83"/>
        <v/>
      </c>
      <c r="X979" s="1"/>
    </row>
    <row r="980" spans="7:24">
      <c r="G980" s="21"/>
      <c r="H980" s="23"/>
      <c r="I980" s="23" t="str">
        <f>_xlfn.IFNA(VLOOKUP(A980,A981:$H$3524,8,0),"")</f>
        <v/>
      </c>
      <c r="J980" s="40" t="str">
        <f t="shared" si="84"/>
        <v/>
      </c>
      <c r="K980" s="24" t="str">
        <f t="shared" si="80"/>
        <v/>
      </c>
      <c r="L980" s="25" t="str">
        <f t="shared" si="81"/>
        <v/>
      </c>
      <c r="M980" s="37"/>
      <c r="N980" s="37"/>
      <c r="O980" s="33" t="str">
        <f t="shared" si="82"/>
        <v/>
      </c>
      <c r="P980" s="33" t="str">
        <f t="shared" si="83"/>
        <v/>
      </c>
      <c r="X980" s="1"/>
    </row>
    <row r="981" spans="7:24">
      <c r="G981" s="21"/>
      <c r="H981" s="23"/>
      <c r="I981" s="23" t="str">
        <f>_xlfn.IFNA(VLOOKUP(A981,A982:$H$3524,8,0),"")</f>
        <v/>
      </c>
      <c r="J981" s="40" t="str">
        <f t="shared" si="84"/>
        <v/>
      </c>
      <c r="K981" s="24" t="str">
        <f t="shared" si="80"/>
        <v/>
      </c>
      <c r="L981" s="25" t="str">
        <f t="shared" si="81"/>
        <v/>
      </c>
      <c r="M981" s="37"/>
      <c r="N981" s="37"/>
      <c r="O981" s="33" t="str">
        <f t="shared" si="82"/>
        <v/>
      </c>
      <c r="P981" s="33" t="str">
        <f t="shared" si="83"/>
        <v/>
      </c>
      <c r="X981" s="1"/>
    </row>
    <row r="982" spans="7:24">
      <c r="G982" s="21"/>
      <c r="H982" s="23"/>
      <c r="I982" s="23" t="str">
        <f>_xlfn.IFNA(VLOOKUP(A982,A983:$H$3524,8,0),"")</f>
        <v/>
      </c>
      <c r="J982" s="40" t="str">
        <f t="shared" si="84"/>
        <v/>
      </c>
      <c r="K982" s="24" t="str">
        <f t="shared" ref="K982:K1045" si="85">IF(H982="","",IFERROR((I982-H982)*24,0))</f>
        <v/>
      </c>
      <c r="L982" s="25" t="str">
        <f t="shared" si="81"/>
        <v/>
      </c>
      <c r="M982" s="37"/>
      <c r="N982" s="37"/>
      <c r="O982" s="33" t="str">
        <f t="shared" si="82"/>
        <v/>
      </c>
      <c r="P982" s="33" t="str">
        <f t="shared" si="83"/>
        <v/>
      </c>
      <c r="X982" s="1"/>
    </row>
    <row r="983" spans="7:24">
      <c r="G983" s="21"/>
      <c r="H983" s="23"/>
      <c r="I983" s="23" t="str">
        <f>_xlfn.IFNA(VLOOKUP(A983,A984:$H$3524,8,0),"")</f>
        <v/>
      </c>
      <c r="J983" s="40" t="str">
        <f t="shared" si="84"/>
        <v/>
      </c>
      <c r="K983" s="24" t="str">
        <f t="shared" si="85"/>
        <v/>
      </c>
      <c r="L983" s="25" t="str">
        <f t="shared" si="81"/>
        <v/>
      </c>
      <c r="M983" s="37"/>
      <c r="N983" s="37"/>
      <c r="O983" s="33" t="str">
        <f t="shared" si="82"/>
        <v/>
      </c>
      <c r="P983" s="33" t="str">
        <f t="shared" si="83"/>
        <v/>
      </c>
      <c r="X983" s="1"/>
    </row>
    <row r="984" spans="7:24">
      <c r="G984" s="21"/>
      <c r="H984" s="23"/>
      <c r="I984" s="23" t="str">
        <f>_xlfn.IFNA(VLOOKUP(A984,A985:$H$3524,8,0),"")</f>
        <v/>
      </c>
      <c r="J984" s="40" t="str">
        <f t="shared" si="84"/>
        <v/>
      </c>
      <c r="K984" s="24" t="str">
        <f t="shared" si="85"/>
        <v/>
      </c>
      <c r="L984" s="25" t="str">
        <f t="shared" si="81"/>
        <v/>
      </c>
      <c r="M984" s="37"/>
      <c r="N984" s="37"/>
      <c r="O984" s="33" t="str">
        <f t="shared" si="82"/>
        <v/>
      </c>
      <c r="P984" s="33" t="str">
        <f t="shared" si="83"/>
        <v/>
      </c>
      <c r="X984" s="1"/>
    </row>
    <row r="985" spans="7:24">
      <c r="G985" s="21"/>
      <c r="H985" s="23"/>
      <c r="I985" s="23" t="str">
        <f>_xlfn.IFNA(VLOOKUP(A985,A986:$H$3524,8,0),"")</f>
        <v/>
      </c>
      <c r="J985" s="40" t="str">
        <f t="shared" si="84"/>
        <v/>
      </c>
      <c r="K985" s="24" t="str">
        <f t="shared" si="85"/>
        <v/>
      </c>
      <c r="L985" s="25" t="str">
        <f t="shared" si="81"/>
        <v/>
      </c>
      <c r="M985" s="37"/>
      <c r="N985" s="37"/>
      <c r="O985" s="33" t="str">
        <f t="shared" si="82"/>
        <v/>
      </c>
      <c r="P985" s="33" t="str">
        <f t="shared" si="83"/>
        <v/>
      </c>
      <c r="X985" s="1"/>
    </row>
    <row r="986" spans="7:24">
      <c r="G986" s="21"/>
      <c r="H986" s="23"/>
      <c r="I986" s="23" t="str">
        <f>_xlfn.IFNA(VLOOKUP(A986,A987:$H$3524,8,0),"")</f>
        <v/>
      </c>
      <c r="J986" s="40" t="str">
        <f t="shared" si="84"/>
        <v/>
      </c>
      <c r="K986" s="24" t="str">
        <f t="shared" si="85"/>
        <v/>
      </c>
      <c r="L986" s="25" t="str">
        <f t="shared" si="81"/>
        <v/>
      </c>
      <c r="M986" s="37"/>
      <c r="N986" s="37"/>
      <c r="O986" s="33" t="str">
        <f t="shared" si="82"/>
        <v/>
      </c>
      <c r="P986" s="33" t="str">
        <f t="shared" si="83"/>
        <v/>
      </c>
      <c r="X986" s="1"/>
    </row>
    <row r="987" spans="7:24">
      <c r="G987" s="21"/>
      <c r="H987" s="23"/>
      <c r="I987" s="23" t="str">
        <f>_xlfn.IFNA(VLOOKUP(A987,A988:$H$3524,8,0),"")</f>
        <v/>
      </c>
      <c r="J987" s="40" t="str">
        <f t="shared" si="84"/>
        <v/>
      </c>
      <c r="K987" s="24" t="str">
        <f t="shared" si="85"/>
        <v/>
      </c>
      <c r="L987" s="25" t="str">
        <f t="shared" si="81"/>
        <v/>
      </c>
      <c r="M987" s="37"/>
      <c r="N987" s="37"/>
      <c r="O987" s="33" t="str">
        <f t="shared" si="82"/>
        <v/>
      </c>
      <c r="P987" s="33" t="str">
        <f t="shared" si="83"/>
        <v/>
      </c>
      <c r="X987" s="1"/>
    </row>
    <row r="988" spans="7:24">
      <c r="G988" s="21"/>
      <c r="H988" s="23"/>
      <c r="I988" s="23" t="str">
        <f>_xlfn.IFNA(VLOOKUP(A988,A989:$H$3524,8,0),"")</f>
        <v/>
      </c>
      <c r="J988" s="40" t="str">
        <f t="shared" si="84"/>
        <v/>
      </c>
      <c r="K988" s="24" t="str">
        <f t="shared" si="85"/>
        <v/>
      </c>
      <c r="L988" s="25" t="str">
        <f t="shared" si="81"/>
        <v/>
      </c>
      <c r="M988" s="37"/>
      <c r="N988" s="37"/>
      <c r="O988" s="33" t="str">
        <f t="shared" si="82"/>
        <v/>
      </c>
      <c r="P988" s="33" t="str">
        <f t="shared" si="83"/>
        <v/>
      </c>
      <c r="X988" s="1"/>
    </row>
    <row r="989" spans="7:24">
      <c r="G989" s="21"/>
      <c r="H989" s="23"/>
      <c r="I989" s="23" t="str">
        <f>_xlfn.IFNA(VLOOKUP(A989,A990:$H$3524,8,0),"")</f>
        <v/>
      </c>
      <c r="J989" s="40" t="str">
        <f t="shared" si="84"/>
        <v/>
      </c>
      <c r="K989" s="24" t="str">
        <f t="shared" si="85"/>
        <v/>
      </c>
      <c r="L989" s="25" t="str">
        <f t="shared" si="81"/>
        <v/>
      </c>
      <c r="M989" s="37"/>
      <c r="N989" s="37"/>
      <c r="O989" s="33" t="str">
        <f t="shared" si="82"/>
        <v/>
      </c>
      <c r="P989" s="33" t="str">
        <f t="shared" si="83"/>
        <v/>
      </c>
      <c r="X989" s="1"/>
    </row>
    <row r="990" spans="7:24">
      <c r="G990" s="21"/>
      <c r="H990" s="23"/>
      <c r="I990" s="23" t="str">
        <f>_xlfn.IFNA(VLOOKUP(A990,A991:$H$3524,8,0),"")</f>
        <v/>
      </c>
      <c r="J990" s="40" t="str">
        <f t="shared" si="84"/>
        <v/>
      </c>
      <c r="K990" s="24" t="str">
        <f t="shared" si="85"/>
        <v/>
      </c>
      <c r="L990" s="25" t="str">
        <f t="shared" si="81"/>
        <v/>
      </c>
      <c r="M990" s="37"/>
      <c r="N990" s="37"/>
      <c r="O990" s="33" t="str">
        <f t="shared" si="82"/>
        <v/>
      </c>
      <c r="P990" s="33" t="str">
        <f t="shared" si="83"/>
        <v/>
      </c>
      <c r="X990" s="1"/>
    </row>
    <row r="991" spans="7:24">
      <c r="G991" s="21"/>
      <c r="H991" s="23"/>
      <c r="I991" s="23" t="str">
        <f>_xlfn.IFNA(VLOOKUP(A991,A992:$H$3524,8,0),"")</f>
        <v/>
      </c>
      <c r="J991" s="40" t="str">
        <f t="shared" si="84"/>
        <v/>
      </c>
      <c r="K991" s="24" t="str">
        <f t="shared" si="85"/>
        <v/>
      </c>
      <c r="L991" s="25" t="str">
        <f t="shared" si="81"/>
        <v/>
      </c>
      <c r="M991" s="37"/>
      <c r="N991" s="37"/>
      <c r="O991" s="33" t="str">
        <f t="shared" si="82"/>
        <v/>
      </c>
      <c r="P991" s="33" t="str">
        <f t="shared" si="83"/>
        <v/>
      </c>
      <c r="X991" s="1"/>
    </row>
    <row r="992" spans="7:24">
      <c r="G992" s="21"/>
      <c r="H992" s="23"/>
      <c r="I992" s="23" t="str">
        <f>_xlfn.IFNA(VLOOKUP(A992,A993:$H$3524,8,0),"")</f>
        <v/>
      </c>
      <c r="J992" s="40" t="str">
        <f t="shared" si="84"/>
        <v/>
      </c>
      <c r="K992" s="24" t="str">
        <f t="shared" si="85"/>
        <v/>
      </c>
      <c r="L992" s="25" t="str">
        <f t="shared" si="81"/>
        <v/>
      </c>
      <c r="M992" s="37"/>
      <c r="N992" s="37"/>
      <c r="O992" s="33" t="str">
        <f t="shared" si="82"/>
        <v/>
      </c>
      <c r="P992" s="33" t="str">
        <f t="shared" si="83"/>
        <v/>
      </c>
      <c r="X992" s="1"/>
    </row>
    <row r="993" spans="7:24">
      <c r="G993" s="21"/>
      <c r="H993" s="23"/>
      <c r="I993" s="23" t="str">
        <f>_xlfn.IFNA(VLOOKUP(A993,A994:$H$3524,8,0),"")</f>
        <v/>
      </c>
      <c r="J993" s="40" t="str">
        <f t="shared" si="84"/>
        <v/>
      </c>
      <c r="K993" s="24" t="str">
        <f t="shared" si="85"/>
        <v/>
      </c>
      <c r="L993" s="25" t="str">
        <f t="shared" si="81"/>
        <v/>
      </c>
      <c r="M993" s="37"/>
      <c r="N993" s="37"/>
      <c r="O993" s="33" t="str">
        <f t="shared" si="82"/>
        <v/>
      </c>
      <c r="P993" s="33" t="str">
        <f t="shared" si="83"/>
        <v/>
      </c>
      <c r="X993" s="1"/>
    </row>
    <row r="994" spans="7:24">
      <c r="G994" s="21"/>
      <c r="H994" s="23"/>
      <c r="I994" s="23" t="str">
        <f>_xlfn.IFNA(VLOOKUP(A994,A995:$H$3524,8,0),"")</f>
        <v/>
      </c>
      <c r="J994" s="40" t="str">
        <f t="shared" si="84"/>
        <v/>
      </c>
      <c r="K994" s="24" t="str">
        <f t="shared" si="85"/>
        <v/>
      </c>
      <c r="L994" s="25" t="str">
        <f t="shared" si="81"/>
        <v/>
      </c>
      <c r="M994" s="37"/>
      <c r="N994" s="37"/>
      <c r="O994" s="33" t="str">
        <f t="shared" si="82"/>
        <v/>
      </c>
      <c r="P994" s="33" t="str">
        <f t="shared" si="83"/>
        <v/>
      </c>
      <c r="X994" s="1"/>
    </row>
    <row r="995" spans="7:24">
      <c r="G995" s="21"/>
      <c r="H995" s="23"/>
      <c r="I995" s="23" t="str">
        <f>_xlfn.IFNA(VLOOKUP(A995,A996:$H$3524,8,0),"")</f>
        <v/>
      </c>
      <c r="J995" s="40" t="str">
        <f t="shared" si="84"/>
        <v/>
      </c>
      <c r="K995" s="24" t="str">
        <f t="shared" si="85"/>
        <v/>
      </c>
      <c r="L995" s="25" t="str">
        <f t="shared" si="81"/>
        <v/>
      </c>
      <c r="M995" s="37"/>
      <c r="N995" s="37"/>
      <c r="O995" s="33" t="str">
        <f t="shared" si="82"/>
        <v/>
      </c>
      <c r="P995" s="33" t="str">
        <f t="shared" si="83"/>
        <v/>
      </c>
      <c r="X995" s="1"/>
    </row>
    <row r="996" spans="7:24">
      <c r="G996" s="21"/>
      <c r="H996" s="23"/>
      <c r="I996" s="23" t="str">
        <f>_xlfn.IFNA(VLOOKUP(A996,A997:$H$3524,8,0),"")</f>
        <v/>
      </c>
      <c r="J996" s="40" t="str">
        <f t="shared" si="84"/>
        <v/>
      </c>
      <c r="K996" s="24" t="str">
        <f t="shared" si="85"/>
        <v/>
      </c>
      <c r="L996" s="25" t="str">
        <f t="shared" si="81"/>
        <v/>
      </c>
      <c r="M996" s="37"/>
      <c r="N996" s="37"/>
      <c r="O996" s="33" t="str">
        <f t="shared" si="82"/>
        <v/>
      </c>
      <c r="P996" s="33" t="str">
        <f t="shared" si="83"/>
        <v/>
      </c>
      <c r="X996" s="1"/>
    </row>
    <row r="997" spans="7:24">
      <c r="G997" s="21"/>
      <c r="H997" s="23"/>
      <c r="I997" s="23" t="str">
        <f>_xlfn.IFNA(VLOOKUP(A997,A998:$H$3524,8,0),"")</f>
        <v/>
      </c>
      <c r="J997" s="40" t="str">
        <f t="shared" si="84"/>
        <v/>
      </c>
      <c r="K997" s="24" t="str">
        <f t="shared" si="85"/>
        <v/>
      </c>
      <c r="L997" s="25" t="str">
        <f t="shared" si="81"/>
        <v/>
      </c>
      <c r="M997" s="37"/>
      <c r="N997" s="37"/>
      <c r="O997" s="33" t="str">
        <f t="shared" si="82"/>
        <v/>
      </c>
      <c r="P997" s="33" t="str">
        <f t="shared" si="83"/>
        <v/>
      </c>
      <c r="X997" s="1"/>
    </row>
    <row r="998" spans="7:24">
      <c r="G998" s="21"/>
      <c r="H998" s="23"/>
      <c r="I998" s="23" t="str">
        <f>_xlfn.IFNA(VLOOKUP(A998,A999:$H$3524,8,0),"")</f>
        <v/>
      </c>
      <c r="J998" s="40" t="str">
        <f t="shared" si="84"/>
        <v/>
      </c>
      <c r="K998" s="24" t="str">
        <f t="shared" si="85"/>
        <v/>
      </c>
      <c r="L998" s="25" t="str">
        <f t="shared" si="81"/>
        <v/>
      </c>
      <c r="M998" s="37"/>
      <c r="N998" s="37"/>
      <c r="O998" s="33" t="str">
        <f t="shared" si="82"/>
        <v/>
      </c>
      <c r="P998" s="33" t="str">
        <f t="shared" si="83"/>
        <v/>
      </c>
      <c r="X998" s="1"/>
    </row>
    <row r="999" spans="7:24">
      <c r="G999" s="21"/>
      <c r="H999" s="23"/>
      <c r="I999" s="23" t="str">
        <f>_xlfn.IFNA(VLOOKUP(A999,A1000:$H$3524,8,0),"")</f>
        <v/>
      </c>
      <c r="J999" s="40" t="str">
        <f t="shared" si="84"/>
        <v/>
      </c>
      <c r="K999" s="24" t="str">
        <f t="shared" si="85"/>
        <v/>
      </c>
      <c r="L999" s="25" t="str">
        <f t="shared" si="81"/>
        <v/>
      </c>
      <c r="M999" s="37"/>
      <c r="N999" s="37"/>
      <c r="O999" s="33" t="str">
        <f t="shared" si="82"/>
        <v/>
      </c>
      <c r="P999" s="33" t="str">
        <f t="shared" si="83"/>
        <v/>
      </c>
      <c r="X999" s="1"/>
    </row>
    <row r="1000" spans="7:24">
      <c r="G1000" s="21"/>
      <c r="H1000" s="23"/>
      <c r="I1000" s="23" t="str">
        <f>_xlfn.IFNA(VLOOKUP(A1000,A1001:$H$3524,8,0),"")</f>
        <v/>
      </c>
      <c r="J1000" s="40" t="str">
        <f t="shared" si="84"/>
        <v/>
      </c>
      <c r="K1000" s="24" t="str">
        <f t="shared" si="85"/>
        <v/>
      </c>
      <c r="L1000" s="25" t="str">
        <f t="shared" si="81"/>
        <v/>
      </c>
      <c r="M1000" s="37"/>
      <c r="N1000" s="37"/>
      <c r="O1000" s="33" t="str">
        <f t="shared" si="82"/>
        <v/>
      </c>
      <c r="P1000" s="33" t="str">
        <f t="shared" si="83"/>
        <v/>
      </c>
      <c r="X1000" s="1"/>
    </row>
    <row r="1001" spans="7:24">
      <c r="G1001" s="21"/>
      <c r="H1001" s="23"/>
      <c r="I1001" s="23" t="str">
        <f>_xlfn.IFNA(VLOOKUP(A1001,A1002:$H$3524,8,0),"")</f>
        <v/>
      </c>
      <c r="J1001" s="40" t="str">
        <f t="shared" si="84"/>
        <v/>
      </c>
      <c r="K1001" s="24" t="str">
        <f t="shared" si="85"/>
        <v/>
      </c>
      <c r="L1001" s="25" t="str">
        <f t="shared" si="81"/>
        <v/>
      </c>
      <c r="M1001" s="37"/>
      <c r="N1001" s="37"/>
      <c r="O1001" s="33" t="str">
        <f t="shared" si="82"/>
        <v/>
      </c>
      <c r="P1001" s="33" t="str">
        <f t="shared" si="83"/>
        <v/>
      </c>
      <c r="X1001" s="1"/>
    </row>
    <row r="1002" spans="7:24">
      <c r="G1002" s="21"/>
      <c r="H1002" s="23"/>
      <c r="I1002" s="23" t="str">
        <f>_xlfn.IFNA(VLOOKUP(A1002,A1003:$H$3524,8,0),"")</f>
        <v/>
      </c>
      <c r="J1002" s="40" t="str">
        <f t="shared" si="84"/>
        <v/>
      </c>
      <c r="K1002" s="24" t="str">
        <f t="shared" si="85"/>
        <v/>
      </c>
      <c r="L1002" s="25" t="str">
        <f t="shared" si="81"/>
        <v/>
      </c>
      <c r="M1002" s="37"/>
      <c r="N1002" s="37"/>
      <c r="O1002" s="33" t="str">
        <f t="shared" si="82"/>
        <v/>
      </c>
      <c r="P1002" s="33" t="str">
        <f t="shared" si="83"/>
        <v/>
      </c>
      <c r="X1002" s="1"/>
    </row>
    <row r="1003" spans="7:24">
      <c r="G1003" s="21"/>
      <c r="H1003" s="23"/>
      <c r="I1003" s="23" t="str">
        <f>_xlfn.IFNA(VLOOKUP(A1003,A1004:$H$3524,8,0),"")</f>
        <v/>
      </c>
      <c r="J1003" s="40" t="str">
        <f t="shared" si="84"/>
        <v/>
      </c>
      <c r="K1003" s="24" t="str">
        <f t="shared" si="85"/>
        <v/>
      </c>
      <c r="L1003" s="25" t="str">
        <f t="shared" si="81"/>
        <v/>
      </c>
      <c r="M1003" s="37"/>
      <c r="N1003" s="37"/>
      <c r="O1003" s="33" t="str">
        <f t="shared" si="82"/>
        <v/>
      </c>
      <c r="P1003" s="33" t="str">
        <f t="shared" si="83"/>
        <v/>
      </c>
      <c r="X1003" s="1"/>
    </row>
    <row r="1004" spans="7:24">
      <c r="G1004" s="21"/>
      <c r="H1004" s="23"/>
      <c r="I1004" s="23" t="str">
        <f>_xlfn.IFNA(VLOOKUP(A1004,A1005:$H$3524,8,0),"")</f>
        <v/>
      </c>
      <c r="J1004" s="40" t="str">
        <f t="shared" si="84"/>
        <v/>
      </c>
      <c r="K1004" s="24" t="str">
        <f t="shared" si="85"/>
        <v/>
      </c>
      <c r="L1004" s="25" t="str">
        <f t="shared" si="81"/>
        <v/>
      </c>
      <c r="M1004" s="37"/>
      <c r="N1004" s="37"/>
      <c r="O1004" s="33" t="str">
        <f t="shared" si="82"/>
        <v/>
      </c>
      <c r="P1004" s="33" t="str">
        <f t="shared" si="83"/>
        <v/>
      </c>
      <c r="X1004" s="1"/>
    </row>
    <row r="1005" spans="7:24">
      <c r="G1005" s="21"/>
      <c r="H1005" s="23"/>
      <c r="I1005" s="23" t="str">
        <f>_xlfn.IFNA(VLOOKUP(A1005,A1006:$H$3524,8,0),"")</f>
        <v/>
      </c>
      <c r="J1005" s="40" t="str">
        <f t="shared" si="84"/>
        <v/>
      </c>
      <c r="K1005" s="24" t="str">
        <f t="shared" si="85"/>
        <v/>
      </c>
      <c r="L1005" s="25" t="str">
        <f t="shared" si="81"/>
        <v/>
      </c>
      <c r="M1005" s="37"/>
      <c r="N1005" s="37"/>
      <c r="O1005" s="33" t="str">
        <f t="shared" si="82"/>
        <v/>
      </c>
      <c r="P1005" s="33" t="str">
        <f t="shared" si="83"/>
        <v/>
      </c>
      <c r="X1005" s="1"/>
    </row>
    <row r="1006" spans="7:24">
      <c r="G1006" s="21"/>
      <c r="H1006" s="23"/>
      <c r="I1006" s="23" t="str">
        <f>_xlfn.IFNA(VLOOKUP(A1006,A1007:$H$3524,8,0),"")</f>
        <v/>
      </c>
      <c r="J1006" s="40" t="str">
        <f t="shared" si="84"/>
        <v/>
      </c>
      <c r="K1006" s="24" t="str">
        <f t="shared" si="85"/>
        <v/>
      </c>
      <c r="L1006" s="25" t="str">
        <f t="shared" si="81"/>
        <v/>
      </c>
      <c r="M1006" s="37"/>
      <c r="N1006" s="37"/>
      <c r="O1006" s="33" t="str">
        <f t="shared" si="82"/>
        <v/>
      </c>
      <c r="P1006" s="33" t="str">
        <f t="shared" si="83"/>
        <v/>
      </c>
      <c r="X1006" s="1"/>
    </row>
    <row r="1007" spans="7:24">
      <c r="G1007" s="21"/>
      <c r="H1007" s="23"/>
      <c r="I1007" s="23" t="str">
        <f>_xlfn.IFNA(VLOOKUP(A1007,A1008:$H$3524,8,0),"")</f>
        <v/>
      </c>
      <c r="J1007" s="40" t="str">
        <f t="shared" si="84"/>
        <v/>
      </c>
      <c r="K1007" s="24" t="str">
        <f t="shared" si="85"/>
        <v/>
      </c>
      <c r="L1007" s="25" t="str">
        <f t="shared" si="81"/>
        <v/>
      </c>
      <c r="M1007" s="37"/>
      <c r="N1007" s="37"/>
      <c r="O1007" s="33" t="str">
        <f t="shared" si="82"/>
        <v/>
      </c>
      <c r="P1007" s="33" t="str">
        <f t="shared" si="83"/>
        <v/>
      </c>
      <c r="X1007" s="1"/>
    </row>
    <row r="1008" spans="7:24">
      <c r="G1008" s="21"/>
      <c r="H1008" s="23"/>
      <c r="I1008" s="23" t="str">
        <f>_xlfn.IFNA(VLOOKUP(A1008,A1009:$H$3524,8,0),"")</f>
        <v/>
      </c>
      <c r="J1008" s="40" t="str">
        <f t="shared" si="84"/>
        <v/>
      </c>
      <c r="K1008" s="24" t="str">
        <f t="shared" si="85"/>
        <v/>
      </c>
      <c r="L1008" s="25" t="str">
        <f t="shared" si="81"/>
        <v/>
      </c>
      <c r="M1008" s="37"/>
      <c r="N1008" s="37"/>
      <c r="O1008" s="33" t="str">
        <f t="shared" si="82"/>
        <v/>
      </c>
      <c r="P1008" s="33" t="str">
        <f t="shared" si="83"/>
        <v/>
      </c>
      <c r="X1008" s="1"/>
    </row>
    <row r="1009" spans="7:24">
      <c r="G1009" s="21"/>
      <c r="H1009" s="23"/>
      <c r="I1009" s="23" t="str">
        <f>_xlfn.IFNA(VLOOKUP(A1009,A1010:$H$3524,8,0),"")</f>
        <v/>
      </c>
      <c r="J1009" s="40" t="str">
        <f t="shared" si="84"/>
        <v/>
      </c>
      <c r="K1009" s="24" t="str">
        <f t="shared" si="85"/>
        <v/>
      </c>
      <c r="L1009" s="25" t="str">
        <f t="shared" si="81"/>
        <v/>
      </c>
      <c r="M1009" s="37"/>
      <c r="N1009" s="37"/>
      <c r="O1009" s="33" t="str">
        <f t="shared" si="82"/>
        <v/>
      </c>
      <c r="P1009" s="33" t="str">
        <f t="shared" si="83"/>
        <v/>
      </c>
      <c r="X1009" s="1"/>
    </row>
    <row r="1010" spans="7:24">
      <c r="G1010" s="21"/>
      <c r="H1010" s="23"/>
      <c r="I1010" s="23" t="str">
        <f>_xlfn.IFNA(VLOOKUP(A1010,A1011:$H$3524,8,0),"")</f>
        <v/>
      </c>
      <c r="J1010" s="40" t="str">
        <f t="shared" si="84"/>
        <v/>
      </c>
      <c r="K1010" s="24" t="str">
        <f t="shared" si="85"/>
        <v/>
      </c>
      <c r="L1010" s="25" t="str">
        <f t="shared" si="81"/>
        <v/>
      </c>
      <c r="M1010" s="37"/>
      <c r="N1010" s="37"/>
      <c r="O1010" s="33" t="str">
        <f t="shared" si="82"/>
        <v/>
      </c>
      <c r="P1010" s="33" t="str">
        <f t="shared" si="83"/>
        <v/>
      </c>
      <c r="X1010" s="1"/>
    </row>
    <row r="1011" spans="7:24">
      <c r="G1011" s="21"/>
      <c r="H1011" s="23"/>
      <c r="I1011" s="23" t="str">
        <f>_xlfn.IFNA(VLOOKUP(A1011,A1012:$H$3524,8,0),"")</f>
        <v/>
      </c>
      <c r="J1011" s="40" t="str">
        <f t="shared" si="84"/>
        <v/>
      </c>
      <c r="K1011" s="24" t="str">
        <f t="shared" si="85"/>
        <v/>
      </c>
      <c r="L1011" s="25" t="str">
        <f t="shared" si="81"/>
        <v/>
      </c>
      <c r="M1011" s="37"/>
      <c r="N1011" s="37"/>
      <c r="O1011" s="33" t="str">
        <f t="shared" si="82"/>
        <v/>
      </c>
      <c r="P1011" s="33" t="str">
        <f t="shared" si="83"/>
        <v/>
      </c>
      <c r="X1011" s="1"/>
    </row>
    <row r="1012" spans="7:24">
      <c r="G1012" s="21"/>
      <c r="H1012" s="23"/>
      <c r="I1012" s="23" t="str">
        <f>_xlfn.IFNA(VLOOKUP(A1012,A1013:$H$3524,8,0),"")</f>
        <v/>
      </c>
      <c r="J1012" s="40" t="str">
        <f t="shared" si="84"/>
        <v/>
      </c>
      <c r="K1012" s="24" t="str">
        <f t="shared" si="85"/>
        <v/>
      </c>
      <c r="L1012" s="25" t="str">
        <f t="shared" si="81"/>
        <v/>
      </c>
      <c r="M1012" s="37"/>
      <c r="N1012" s="37"/>
      <c r="O1012" s="33" t="str">
        <f t="shared" si="82"/>
        <v/>
      </c>
      <c r="P1012" s="33" t="str">
        <f t="shared" si="83"/>
        <v/>
      </c>
      <c r="X1012" s="1"/>
    </row>
    <row r="1013" spans="7:24">
      <c r="G1013" s="21"/>
      <c r="H1013" s="23"/>
      <c r="I1013" s="23" t="str">
        <f>_xlfn.IFNA(VLOOKUP(A1013,A1014:$H$3524,8,0),"")</f>
        <v/>
      </c>
      <c r="J1013" s="40" t="str">
        <f t="shared" si="84"/>
        <v/>
      </c>
      <c r="K1013" s="24" t="str">
        <f t="shared" si="85"/>
        <v/>
      </c>
      <c r="L1013" s="25" t="str">
        <f t="shared" si="81"/>
        <v/>
      </c>
      <c r="M1013" s="37"/>
      <c r="N1013" s="37"/>
      <c r="O1013" s="33" t="str">
        <f t="shared" si="82"/>
        <v/>
      </c>
      <c r="P1013" s="33" t="str">
        <f t="shared" si="83"/>
        <v/>
      </c>
      <c r="X1013" s="1"/>
    </row>
    <row r="1014" spans="7:24">
      <c r="G1014" s="21"/>
      <c r="H1014" s="23"/>
      <c r="I1014" s="23" t="str">
        <f>_xlfn.IFNA(VLOOKUP(A1014,A1015:$H$3524,8,0),"")</f>
        <v/>
      </c>
      <c r="J1014" s="40" t="str">
        <f t="shared" si="84"/>
        <v/>
      </c>
      <c r="K1014" s="24" t="str">
        <f t="shared" si="85"/>
        <v/>
      </c>
      <c r="L1014" s="25" t="str">
        <f t="shared" si="81"/>
        <v/>
      </c>
      <c r="M1014" s="37"/>
      <c r="N1014" s="37"/>
      <c r="O1014" s="33" t="str">
        <f t="shared" si="82"/>
        <v/>
      </c>
      <c r="P1014" s="33" t="str">
        <f t="shared" si="83"/>
        <v/>
      </c>
      <c r="X1014" s="1"/>
    </row>
    <row r="1015" spans="7:24">
      <c r="G1015" s="21"/>
      <c r="H1015" s="23"/>
      <c r="I1015" s="23" t="str">
        <f>_xlfn.IFNA(VLOOKUP(A1015,A1016:$H$3524,8,0),"")</f>
        <v/>
      </c>
      <c r="J1015" s="40" t="str">
        <f t="shared" si="84"/>
        <v/>
      </c>
      <c r="K1015" s="24" t="str">
        <f t="shared" si="85"/>
        <v/>
      </c>
      <c r="L1015" s="25" t="str">
        <f t="shared" ref="L1015:L1078" si="86">IF(K1015="","",IF(B1015="Break","Break",IF(K1015&lt;&gt;0,"Work Finished",IF(B1015="OFF","Work Finished",IF(I1015="","Working","Work Finished")))))</f>
        <v/>
      </c>
      <c r="M1015" s="37"/>
      <c r="N1015" s="37"/>
      <c r="O1015" s="33" t="str">
        <f t="shared" ref="O1015:O1078" si="87">IF(AND(J1015="",M1015="",N1015=""),"",J1015-M1015-N1015)</f>
        <v/>
      </c>
      <c r="P1015" s="33" t="str">
        <f t="shared" ref="P1015:P1078" si="88">IF(HOUR(H1015)=0,"",HOUR(H1015))</f>
        <v/>
      </c>
      <c r="X1015" s="1"/>
    </row>
    <row r="1016" spans="7:24">
      <c r="G1016" s="21"/>
      <c r="H1016" s="23"/>
      <c r="I1016" s="23" t="str">
        <f>_xlfn.IFNA(VLOOKUP(A1016,A1017:$H$3524,8,0),"")</f>
        <v/>
      </c>
      <c r="J1016" s="40" t="str">
        <f t="shared" si="84"/>
        <v/>
      </c>
      <c r="K1016" s="24" t="str">
        <f t="shared" si="85"/>
        <v/>
      </c>
      <c r="L1016" s="25" t="str">
        <f t="shared" si="86"/>
        <v/>
      </c>
      <c r="M1016" s="37"/>
      <c r="N1016" s="37"/>
      <c r="O1016" s="33" t="str">
        <f t="shared" si="87"/>
        <v/>
      </c>
      <c r="P1016" s="33" t="str">
        <f t="shared" si="88"/>
        <v/>
      </c>
      <c r="X1016" s="1"/>
    </row>
    <row r="1017" spans="7:24">
      <c r="G1017" s="21"/>
      <c r="H1017" s="23"/>
      <c r="I1017" s="23" t="str">
        <f>_xlfn.IFNA(VLOOKUP(A1017,A1018:$H$3524,8,0),"")</f>
        <v/>
      </c>
      <c r="J1017" s="40" t="str">
        <f t="shared" si="84"/>
        <v/>
      </c>
      <c r="K1017" s="24" t="str">
        <f t="shared" si="85"/>
        <v/>
      </c>
      <c r="L1017" s="25" t="str">
        <f t="shared" si="86"/>
        <v/>
      </c>
      <c r="M1017" s="37"/>
      <c r="N1017" s="37"/>
      <c r="O1017" s="33" t="str">
        <f t="shared" si="87"/>
        <v/>
      </c>
      <c r="P1017" s="33" t="str">
        <f t="shared" si="88"/>
        <v/>
      </c>
      <c r="X1017" s="1"/>
    </row>
    <row r="1018" spans="7:24">
      <c r="G1018" s="21"/>
      <c r="H1018" s="23"/>
      <c r="I1018" s="23" t="str">
        <f>_xlfn.IFNA(VLOOKUP(A1018,A1019:$H$3524,8,0),"")</f>
        <v/>
      </c>
      <c r="J1018" s="40" t="str">
        <f t="shared" si="84"/>
        <v/>
      </c>
      <c r="K1018" s="24" t="str">
        <f t="shared" si="85"/>
        <v/>
      </c>
      <c r="L1018" s="25" t="str">
        <f t="shared" si="86"/>
        <v/>
      </c>
      <c r="M1018" s="37"/>
      <c r="N1018" s="37"/>
      <c r="O1018" s="33" t="str">
        <f t="shared" si="87"/>
        <v/>
      </c>
      <c r="P1018" s="33" t="str">
        <f t="shared" si="88"/>
        <v/>
      </c>
      <c r="X1018" s="1"/>
    </row>
    <row r="1019" spans="7:24">
      <c r="G1019" s="21"/>
      <c r="H1019" s="23"/>
      <c r="I1019" s="23" t="str">
        <f>_xlfn.IFNA(VLOOKUP(A1019,A1020:$H$3524,8,0),"")</f>
        <v/>
      </c>
      <c r="J1019" s="40" t="str">
        <f t="shared" si="84"/>
        <v/>
      </c>
      <c r="K1019" s="24" t="str">
        <f t="shared" si="85"/>
        <v/>
      </c>
      <c r="L1019" s="25" t="str">
        <f t="shared" si="86"/>
        <v/>
      </c>
      <c r="M1019" s="37"/>
      <c r="N1019" s="37"/>
      <c r="O1019" s="33" t="str">
        <f t="shared" si="87"/>
        <v/>
      </c>
      <c r="P1019" s="33" t="str">
        <f t="shared" si="88"/>
        <v/>
      </c>
      <c r="X1019" s="1"/>
    </row>
    <row r="1020" spans="7:24">
      <c r="G1020" s="21"/>
      <c r="H1020" s="23"/>
      <c r="I1020" s="23" t="str">
        <f>_xlfn.IFNA(VLOOKUP(A1020,A1021:$H$3524,8,0),"")</f>
        <v/>
      </c>
      <c r="J1020" s="40" t="str">
        <f t="shared" si="84"/>
        <v/>
      </c>
      <c r="K1020" s="24" t="str">
        <f t="shared" si="85"/>
        <v/>
      </c>
      <c r="L1020" s="25" t="str">
        <f t="shared" si="86"/>
        <v/>
      </c>
      <c r="M1020" s="37"/>
      <c r="N1020" s="37"/>
      <c r="O1020" s="33" t="str">
        <f t="shared" si="87"/>
        <v/>
      </c>
      <c r="P1020" s="33" t="str">
        <f t="shared" si="88"/>
        <v/>
      </c>
      <c r="X1020" s="1"/>
    </row>
    <row r="1021" spans="7:24">
      <c r="G1021" s="21"/>
      <c r="H1021" s="23"/>
      <c r="I1021" s="23" t="str">
        <f>_xlfn.IFNA(VLOOKUP(A1021,A1022:$H$3524,8,0),"")</f>
        <v/>
      </c>
      <c r="J1021" s="40" t="str">
        <f t="shared" si="84"/>
        <v/>
      </c>
      <c r="K1021" s="24" t="str">
        <f t="shared" si="85"/>
        <v/>
      </c>
      <c r="L1021" s="25" t="str">
        <f t="shared" si="86"/>
        <v/>
      </c>
      <c r="M1021" s="37"/>
      <c r="N1021" s="37"/>
      <c r="O1021" s="33" t="str">
        <f t="shared" si="87"/>
        <v/>
      </c>
      <c r="P1021" s="33" t="str">
        <f t="shared" si="88"/>
        <v/>
      </c>
      <c r="X1021" s="1"/>
    </row>
    <row r="1022" spans="7:24">
      <c r="G1022" s="21"/>
      <c r="H1022" s="23"/>
      <c r="I1022" s="23" t="str">
        <f>_xlfn.IFNA(VLOOKUP(A1022,A1023:$H$3524,8,0),"")</f>
        <v/>
      </c>
      <c r="J1022" s="40" t="str">
        <f t="shared" si="84"/>
        <v/>
      </c>
      <c r="K1022" s="24" t="str">
        <f t="shared" si="85"/>
        <v/>
      </c>
      <c r="L1022" s="25" t="str">
        <f t="shared" si="86"/>
        <v/>
      </c>
      <c r="M1022" s="37"/>
      <c r="N1022" s="37"/>
      <c r="O1022" s="33" t="str">
        <f t="shared" si="87"/>
        <v/>
      </c>
      <c r="P1022" s="33" t="str">
        <f t="shared" si="88"/>
        <v/>
      </c>
      <c r="X1022" s="1"/>
    </row>
    <row r="1023" spans="7:24">
      <c r="G1023" s="21"/>
      <c r="H1023" s="23"/>
      <c r="I1023" s="23" t="str">
        <f>_xlfn.IFNA(VLOOKUP(A1023,A1024:$H$3524,8,0),"")</f>
        <v/>
      </c>
      <c r="J1023" s="40" t="str">
        <f t="shared" si="84"/>
        <v/>
      </c>
      <c r="K1023" s="24" t="str">
        <f t="shared" si="85"/>
        <v/>
      </c>
      <c r="L1023" s="25" t="str">
        <f t="shared" si="86"/>
        <v/>
      </c>
      <c r="M1023" s="37"/>
      <c r="N1023" s="37"/>
      <c r="O1023" s="33" t="str">
        <f t="shared" si="87"/>
        <v/>
      </c>
      <c r="P1023" s="33" t="str">
        <f t="shared" si="88"/>
        <v/>
      </c>
      <c r="X1023" s="1"/>
    </row>
    <row r="1024" spans="7:24">
      <c r="G1024" s="21"/>
      <c r="H1024" s="23"/>
      <c r="I1024" s="23" t="str">
        <f>_xlfn.IFNA(VLOOKUP(A1024,A1025:$H$3524,8,0),"")</f>
        <v/>
      </c>
      <c r="J1024" s="40" t="str">
        <f t="shared" si="84"/>
        <v/>
      </c>
      <c r="K1024" s="24" t="str">
        <f t="shared" si="85"/>
        <v/>
      </c>
      <c r="L1024" s="25" t="str">
        <f t="shared" si="86"/>
        <v/>
      </c>
      <c r="M1024" s="37"/>
      <c r="N1024" s="37"/>
      <c r="O1024" s="33" t="str">
        <f t="shared" si="87"/>
        <v/>
      </c>
      <c r="P1024" s="33" t="str">
        <f t="shared" si="88"/>
        <v/>
      </c>
      <c r="X1024" s="1"/>
    </row>
    <row r="1025" spans="7:24">
      <c r="G1025" s="21"/>
      <c r="H1025" s="23"/>
      <c r="I1025" s="23" t="str">
        <f>_xlfn.IFNA(VLOOKUP(A1025,A1026:$H$3524,8,0),"")</f>
        <v/>
      </c>
      <c r="J1025" s="40" t="str">
        <f t="shared" si="84"/>
        <v/>
      </c>
      <c r="K1025" s="24" t="str">
        <f t="shared" si="85"/>
        <v/>
      </c>
      <c r="L1025" s="25" t="str">
        <f t="shared" si="86"/>
        <v/>
      </c>
      <c r="M1025" s="37"/>
      <c r="N1025" s="37"/>
      <c r="O1025" s="33" t="str">
        <f t="shared" si="87"/>
        <v/>
      </c>
      <c r="P1025" s="33" t="str">
        <f t="shared" si="88"/>
        <v/>
      </c>
      <c r="X1025" s="1"/>
    </row>
    <row r="1026" spans="7:24">
      <c r="G1026" s="21"/>
      <c r="H1026" s="23"/>
      <c r="I1026" s="23" t="str">
        <f>_xlfn.IFNA(VLOOKUP(A1026,A1027:$H$3524,8,0),"")</f>
        <v/>
      </c>
      <c r="J1026" s="40" t="str">
        <f t="shared" si="84"/>
        <v/>
      </c>
      <c r="K1026" s="24" t="str">
        <f t="shared" si="85"/>
        <v/>
      </c>
      <c r="L1026" s="25" t="str">
        <f t="shared" si="86"/>
        <v/>
      </c>
      <c r="M1026" s="37"/>
      <c r="N1026" s="37"/>
      <c r="O1026" s="33" t="str">
        <f t="shared" si="87"/>
        <v/>
      </c>
      <c r="P1026" s="33" t="str">
        <f t="shared" si="88"/>
        <v/>
      </c>
      <c r="X1026" s="1"/>
    </row>
    <row r="1027" spans="7:24">
      <c r="G1027" s="21"/>
      <c r="H1027" s="23"/>
      <c r="I1027" s="23" t="str">
        <f>_xlfn.IFNA(VLOOKUP(A1027,A1028:$H$3524,8,0),"")</f>
        <v/>
      </c>
      <c r="J1027" s="40" t="str">
        <f t="shared" si="84"/>
        <v/>
      </c>
      <c r="K1027" s="24" t="str">
        <f t="shared" si="85"/>
        <v/>
      </c>
      <c r="L1027" s="25" t="str">
        <f t="shared" si="86"/>
        <v/>
      </c>
      <c r="M1027" s="37"/>
      <c r="N1027" s="37"/>
      <c r="O1027" s="33" t="str">
        <f t="shared" si="87"/>
        <v/>
      </c>
      <c r="P1027" s="33" t="str">
        <f t="shared" si="88"/>
        <v/>
      </c>
      <c r="X1027" s="1"/>
    </row>
    <row r="1028" spans="7:24">
      <c r="G1028" s="21"/>
      <c r="H1028" s="23"/>
      <c r="I1028" s="23" t="str">
        <f>_xlfn.IFNA(VLOOKUP(A1028,A1029:$H$3524,8,0),"")</f>
        <v/>
      </c>
      <c r="J1028" s="40" t="str">
        <f t="shared" si="84"/>
        <v/>
      </c>
      <c r="K1028" s="24" t="str">
        <f t="shared" si="85"/>
        <v/>
      </c>
      <c r="L1028" s="25" t="str">
        <f t="shared" si="86"/>
        <v/>
      </c>
      <c r="M1028" s="37"/>
      <c r="N1028" s="37"/>
      <c r="O1028" s="33" t="str">
        <f t="shared" si="87"/>
        <v/>
      </c>
      <c r="P1028" s="33" t="str">
        <f t="shared" si="88"/>
        <v/>
      </c>
      <c r="X1028" s="1"/>
    </row>
    <row r="1029" spans="7:24">
      <c r="G1029" s="21"/>
      <c r="H1029" s="23"/>
      <c r="I1029" s="23" t="str">
        <f>_xlfn.IFNA(VLOOKUP(A1029,A1030:$H$3524,8,0),"")</f>
        <v/>
      </c>
      <c r="J1029" s="40" t="str">
        <f t="shared" si="84"/>
        <v/>
      </c>
      <c r="K1029" s="24" t="str">
        <f t="shared" si="85"/>
        <v/>
      </c>
      <c r="L1029" s="25" t="str">
        <f t="shared" si="86"/>
        <v/>
      </c>
      <c r="M1029" s="37"/>
      <c r="N1029" s="37"/>
      <c r="O1029" s="33" t="str">
        <f t="shared" si="87"/>
        <v/>
      </c>
      <c r="P1029" s="33" t="str">
        <f t="shared" si="88"/>
        <v/>
      </c>
      <c r="X1029" s="1"/>
    </row>
    <row r="1030" spans="7:24">
      <c r="G1030" s="21"/>
      <c r="H1030" s="23"/>
      <c r="I1030" s="23" t="str">
        <f>_xlfn.IFNA(VLOOKUP(A1030,A1031:$H$3524,8,0),"")</f>
        <v/>
      </c>
      <c r="J1030" s="40" t="str">
        <f t="shared" ref="J1030:J1093" si="89">IF(B1030="OFF",0,IF(AND(D1030&lt;&gt;"",E1030&lt;&gt;""),E1030-D1030+1,""))</f>
        <v/>
      </c>
      <c r="K1030" s="24" t="str">
        <f t="shared" si="85"/>
        <v/>
      </c>
      <c r="L1030" s="25" t="str">
        <f t="shared" si="86"/>
        <v/>
      </c>
      <c r="M1030" s="37"/>
      <c r="N1030" s="37"/>
      <c r="O1030" s="33" t="str">
        <f t="shared" si="87"/>
        <v/>
      </c>
      <c r="P1030" s="33" t="str">
        <f t="shared" si="88"/>
        <v/>
      </c>
      <c r="X1030" s="1"/>
    </row>
    <row r="1031" spans="7:24">
      <c r="G1031" s="21"/>
      <c r="H1031" s="23"/>
      <c r="I1031" s="23" t="str">
        <f>_xlfn.IFNA(VLOOKUP(A1031,A1032:$H$3524,8,0),"")</f>
        <v/>
      </c>
      <c r="J1031" s="40" t="str">
        <f t="shared" si="89"/>
        <v/>
      </c>
      <c r="K1031" s="24" t="str">
        <f t="shared" si="85"/>
        <v/>
      </c>
      <c r="L1031" s="25" t="str">
        <f t="shared" si="86"/>
        <v/>
      </c>
      <c r="M1031" s="37"/>
      <c r="N1031" s="37"/>
      <c r="O1031" s="33" t="str">
        <f t="shared" si="87"/>
        <v/>
      </c>
      <c r="P1031" s="33" t="str">
        <f t="shared" si="88"/>
        <v/>
      </c>
      <c r="X1031" s="1"/>
    </row>
    <row r="1032" spans="7:24">
      <c r="G1032" s="21"/>
      <c r="H1032" s="23"/>
      <c r="I1032" s="23" t="str">
        <f>_xlfn.IFNA(VLOOKUP(A1032,A1033:$H$3524,8,0),"")</f>
        <v/>
      </c>
      <c r="J1032" s="40" t="str">
        <f t="shared" si="89"/>
        <v/>
      </c>
      <c r="K1032" s="24" t="str">
        <f t="shared" si="85"/>
        <v/>
      </c>
      <c r="L1032" s="25" t="str">
        <f t="shared" si="86"/>
        <v/>
      </c>
      <c r="M1032" s="37"/>
      <c r="N1032" s="37"/>
      <c r="O1032" s="33" t="str">
        <f t="shared" si="87"/>
        <v/>
      </c>
      <c r="P1032" s="33" t="str">
        <f t="shared" si="88"/>
        <v/>
      </c>
      <c r="X1032" s="1"/>
    </row>
    <row r="1033" spans="7:24">
      <c r="G1033" s="21"/>
      <c r="H1033" s="23"/>
      <c r="I1033" s="23" t="str">
        <f>_xlfn.IFNA(VLOOKUP(A1033,A1034:$H$3524,8,0),"")</f>
        <v/>
      </c>
      <c r="J1033" s="40" t="str">
        <f t="shared" si="89"/>
        <v/>
      </c>
      <c r="K1033" s="24" t="str">
        <f t="shared" si="85"/>
        <v/>
      </c>
      <c r="L1033" s="25" t="str">
        <f t="shared" si="86"/>
        <v/>
      </c>
      <c r="M1033" s="37"/>
      <c r="N1033" s="37"/>
      <c r="O1033" s="33" t="str">
        <f t="shared" si="87"/>
        <v/>
      </c>
      <c r="P1033" s="33" t="str">
        <f t="shared" si="88"/>
        <v/>
      </c>
      <c r="X1033" s="1"/>
    </row>
    <row r="1034" spans="7:24">
      <c r="G1034" s="21"/>
      <c r="H1034" s="23"/>
      <c r="I1034" s="23" t="str">
        <f>_xlfn.IFNA(VLOOKUP(A1034,A1035:$H$3524,8,0),"")</f>
        <v/>
      </c>
      <c r="J1034" s="40" t="str">
        <f t="shared" si="89"/>
        <v/>
      </c>
      <c r="K1034" s="24" t="str">
        <f t="shared" si="85"/>
        <v/>
      </c>
      <c r="L1034" s="25" t="str">
        <f t="shared" si="86"/>
        <v/>
      </c>
      <c r="M1034" s="37"/>
      <c r="N1034" s="37"/>
      <c r="O1034" s="33" t="str">
        <f t="shared" si="87"/>
        <v/>
      </c>
      <c r="P1034" s="33" t="str">
        <f t="shared" si="88"/>
        <v/>
      </c>
      <c r="X1034" s="1"/>
    </row>
    <row r="1035" spans="7:24">
      <c r="G1035" s="21"/>
      <c r="H1035" s="23"/>
      <c r="I1035" s="23" t="str">
        <f>_xlfn.IFNA(VLOOKUP(A1035,A1036:$H$3524,8,0),"")</f>
        <v/>
      </c>
      <c r="J1035" s="40" t="str">
        <f t="shared" si="89"/>
        <v/>
      </c>
      <c r="K1035" s="24" t="str">
        <f t="shared" si="85"/>
        <v/>
      </c>
      <c r="L1035" s="25" t="str">
        <f t="shared" si="86"/>
        <v/>
      </c>
      <c r="M1035" s="37"/>
      <c r="N1035" s="37"/>
      <c r="O1035" s="33" t="str">
        <f t="shared" si="87"/>
        <v/>
      </c>
      <c r="P1035" s="33" t="str">
        <f t="shared" si="88"/>
        <v/>
      </c>
      <c r="X1035" s="1"/>
    </row>
    <row r="1036" spans="7:24">
      <c r="G1036" s="21"/>
      <c r="H1036" s="23"/>
      <c r="I1036" s="23" t="str">
        <f>_xlfn.IFNA(VLOOKUP(A1036,A1037:$H$3524,8,0),"")</f>
        <v/>
      </c>
      <c r="J1036" s="40" t="str">
        <f t="shared" si="89"/>
        <v/>
      </c>
      <c r="K1036" s="24" t="str">
        <f t="shared" si="85"/>
        <v/>
      </c>
      <c r="L1036" s="25" t="str">
        <f t="shared" si="86"/>
        <v/>
      </c>
      <c r="M1036" s="37"/>
      <c r="N1036" s="37"/>
      <c r="O1036" s="33" t="str">
        <f t="shared" si="87"/>
        <v/>
      </c>
      <c r="P1036" s="33" t="str">
        <f t="shared" si="88"/>
        <v/>
      </c>
      <c r="X1036" s="1"/>
    </row>
    <row r="1037" spans="7:24">
      <c r="G1037" s="21"/>
      <c r="H1037" s="23"/>
      <c r="I1037" s="23" t="str">
        <f>_xlfn.IFNA(VLOOKUP(A1037,A1038:$H$3524,8,0),"")</f>
        <v/>
      </c>
      <c r="J1037" s="40" t="str">
        <f t="shared" si="89"/>
        <v/>
      </c>
      <c r="K1037" s="24" t="str">
        <f t="shared" si="85"/>
        <v/>
      </c>
      <c r="L1037" s="25" t="str">
        <f t="shared" si="86"/>
        <v/>
      </c>
      <c r="M1037" s="37"/>
      <c r="N1037" s="37"/>
      <c r="O1037" s="33" t="str">
        <f t="shared" si="87"/>
        <v/>
      </c>
      <c r="P1037" s="33" t="str">
        <f t="shared" si="88"/>
        <v/>
      </c>
      <c r="X1037" s="1"/>
    </row>
    <row r="1038" spans="7:24">
      <c r="G1038" s="21"/>
      <c r="H1038" s="23"/>
      <c r="I1038" s="23" t="str">
        <f>_xlfn.IFNA(VLOOKUP(A1038,A1039:$H$3524,8,0),"")</f>
        <v/>
      </c>
      <c r="J1038" s="40" t="str">
        <f t="shared" si="89"/>
        <v/>
      </c>
      <c r="K1038" s="24" t="str">
        <f t="shared" si="85"/>
        <v/>
      </c>
      <c r="L1038" s="25" t="str">
        <f t="shared" si="86"/>
        <v/>
      </c>
      <c r="M1038" s="37"/>
      <c r="N1038" s="37"/>
      <c r="O1038" s="33" t="str">
        <f t="shared" si="87"/>
        <v/>
      </c>
      <c r="P1038" s="33" t="str">
        <f t="shared" si="88"/>
        <v/>
      </c>
      <c r="X1038" s="1"/>
    </row>
    <row r="1039" spans="7:24">
      <c r="G1039" s="21"/>
      <c r="H1039" s="23"/>
      <c r="I1039" s="23" t="str">
        <f>_xlfn.IFNA(VLOOKUP(A1039,A1040:$H$3524,8,0),"")</f>
        <v/>
      </c>
      <c r="J1039" s="40" t="str">
        <f t="shared" si="89"/>
        <v/>
      </c>
      <c r="K1039" s="24" t="str">
        <f t="shared" si="85"/>
        <v/>
      </c>
      <c r="L1039" s="25" t="str">
        <f t="shared" si="86"/>
        <v/>
      </c>
      <c r="M1039" s="37"/>
      <c r="N1039" s="37"/>
      <c r="O1039" s="33" t="str">
        <f t="shared" si="87"/>
        <v/>
      </c>
      <c r="P1039" s="33" t="str">
        <f t="shared" si="88"/>
        <v/>
      </c>
      <c r="X1039" s="1"/>
    </row>
    <row r="1040" spans="7:24">
      <c r="G1040" s="21"/>
      <c r="H1040" s="23"/>
      <c r="I1040" s="23" t="str">
        <f>_xlfn.IFNA(VLOOKUP(A1040,A1041:$H$3524,8,0),"")</f>
        <v/>
      </c>
      <c r="J1040" s="40" t="str">
        <f t="shared" si="89"/>
        <v/>
      </c>
      <c r="K1040" s="24" t="str">
        <f t="shared" si="85"/>
        <v/>
      </c>
      <c r="L1040" s="25" t="str">
        <f t="shared" si="86"/>
        <v/>
      </c>
      <c r="M1040" s="37"/>
      <c r="N1040" s="37"/>
      <c r="O1040" s="33" t="str">
        <f t="shared" si="87"/>
        <v/>
      </c>
      <c r="P1040" s="33" t="str">
        <f t="shared" si="88"/>
        <v/>
      </c>
      <c r="X1040" s="1"/>
    </row>
    <row r="1041" spans="7:24">
      <c r="G1041" s="21"/>
      <c r="H1041" s="23"/>
      <c r="I1041" s="23" t="str">
        <f>_xlfn.IFNA(VLOOKUP(A1041,A1042:$H$3524,8,0),"")</f>
        <v/>
      </c>
      <c r="J1041" s="40" t="str">
        <f t="shared" si="89"/>
        <v/>
      </c>
      <c r="K1041" s="24" t="str">
        <f t="shared" si="85"/>
        <v/>
      </c>
      <c r="L1041" s="25" t="str">
        <f t="shared" si="86"/>
        <v/>
      </c>
      <c r="M1041" s="37"/>
      <c r="N1041" s="37"/>
      <c r="O1041" s="33" t="str">
        <f t="shared" si="87"/>
        <v/>
      </c>
      <c r="P1041" s="33" t="str">
        <f t="shared" si="88"/>
        <v/>
      </c>
      <c r="X1041" s="1"/>
    </row>
    <row r="1042" spans="7:24">
      <c r="G1042" s="21"/>
      <c r="H1042" s="23"/>
      <c r="I1042" s="23" t="str">
        <f>_xlfn.IFNA(VLOOKUP(A1042,A1043:$H$3524,8,0),"")</f>
        <v/>
      </c>
      <c r="J1042" s="40" t="str">
        <f t="shared" si="89"/>
        <v/>
      </c>
      <c r="K1042" s="24" t="str">
        <f t="shared" si="85"/>
        <v/>
      </c>
      <c r="L1042" s="25" t="str">
        <f t="shared" si="86"/>
        <v/>
      </c>
      <c r="M1042" s="37"/>
      <c r="N1042" s="37"/>
      <c r="O1042" s="33" t="str">
        <f t="shared" si="87"/>
        <v/>
      </c>
      <c r="P1042" s="33" t="str">
        <f t="shared" si="88"/>
        <v/>
      </c>
      <c r="X1042" s="1"/>
    </row>
    <row r="1043" spans="7:24">
      <c r="G1043" s="21"/>
      <c r="H1043" s="23"/>
      <c r="I1043" s="23" t="str">
        <f>_xlfn.IFNA(VLOOKUP(A1043,A1044:$H$3524,8,0),"")</f>
        <v/>
      </c>
      <c r="J1043" s="40" t="str">
        <f t="shared" si="89"/>
        <v/>
      </c>
      <c r="K1043" s="24" t="str">
        <f t="shared" si="85"/>
        <v/>
      </c>
      <c r="L1043" s="25" t="str">
        <f t="shared" si="86"/>
        <v/>
      </c>
      <c r="M1043" s="37"/>
      <c r="N1043" s="37"/>
      <c r="O1043" s="33" t="str">
        <f t="shared" si="87"/>
        <v/>
      </c>
      <c r="P1043" s="33" t="str">
        <f t="shared" si="88"/>
        <v/>
      </c>
      <c r="X1043" s="1"/>
    </row>
    <row r="1044" spans="7:24">
      <c r="G1044" s="21"/>
      <c r="H1044" s="23"/>
      <c r="I1044" s="23" t="str">
        <f>_xlfn.IFNA(VLOOKUP(A1044,A1045:$H$3524,8,0),"")</f>
        <v/>
      </c>
      <c r="J1044" s="40" t="str">
        <f t="shared" si="89"/>
        <v/>
      </c>
      <c r="K1044" s="24" t="str">
        <f t="shared" si="85"/>
        <v/>
      </c>
      <c r="L1044" s="25" t="str">
        <f t="shared" si="86"/>
        <v/>
      </c>
      <c r="M1044" s="37"/>
      <c r="N1044" s="37"/>
      <c r="O1044" s="33" t="str">
        <f t="shared" si="87"/>
        <v/>
      </c>
      <c r="P1044" s="33" t="str">
        <f t="shared" si="88"/>
        <v/>
      </c>
      <c r="X1044" s="1"/>
    </row>
    <row r="1045" spans="7:24">
      <c r="G1045" s="21"/>
      <c r="H1045" s="23"/>
      <c r="I1045" s="23" t="str">
        <f>_xlfn.IFNA(VLOOKUP(A1045,A1046:$H$3524,8,0),"")</f>
        <v/>
      </c>
      <c r="J1045" s="40" t="str">
        <f t="shared" si="89"/>
        <v/>
      </c>
      <c r="K1045" s="24" t="str">
        <f t="shared" si="85"/>
        <v/>
      </c>
      <c r="L1045" s="25" t="str">
        <f t="shared" si="86"/>
        <v/>
      </c>
      <c r="M1045" s="37"/>
      <c r="N1045" s="37"/>
      <c r="O1045" s="33" t="str">
        <f t="shared" si="87"/>
        <v/>
      </c>
      <c r="P1045" s="33" t="str">
        <f t="shared" si="88"/>
        <v/>
      </c>
      <c r="X1045" s="1"/>
    </row>
    <row r="1046" spans="7:24">
      <c r="G1046" s="21"/>
      <c r="H1046" s="23"/>
      <c r="I1046" s="23" t="str">
        <f>_xlfn.IFNA(VLOOKUP(A1046,A1047:$H$3524,8,0),"")</f>
        <v/>
      </c>
      <c r="J1046" s="40" t="str">
        <f t="shared" si="89"/>
        <v/>
      </c>
      <c r="K1046" s="24" t="str">
        <f t="shared" ref="K1046:K1109" si="90">IF(H1046="","",IFERROR((I1046-H1046)*24,0))</f>
        <v/>
      </c>
      <c r="L1046" s="25" t="str">
        <f t="shared" si="86"/>
        <v/>
      </c>
      <c r="M1046" s="37"/>
      <c r="N1046" s="37"/>
      <c r="O1046" s="33" t="str">
        <f t="shared" si="87"/>
        <v/>
      </c>
      <c r="P1046" s="33" t="str">
        <f t="shared" si="88"/>
        <v/>
      </c>
      <c r="X1046" s="1"/>
    </row>
    <row r="1047" spans="7:24">
      <c r="G1047" s="21"/>
      <c r="H1047" s="23"/>
      <c r="I1047" s="23" t="str">
        <f>_xlfn.IFNA(VLOOKUP(A1047,A1048:$H$3524,8,0),"")</f>
        <v/>
      </c>
      <c r="J1047" s="40" t="str">
        <f t="shared" si="89"/>
        <v/>
      </c>
      <c r="K1047" s="24" t="str">
        <f t="shared" si="90"/>
        <v/>
      </c>
      <c r="L1047" s="25" t="str">
        <f t="shared" si="86"/>
        <v/>
      </c>
      <c r="M1047" s="37"/>
      <c r="N1047" s="37"/>
      <c r="O1047" s="33" t="str">
        <f t="shared" si="87"/>
        <v/>
      </c>
      <c r="P1047" s="33" t="str">
        <f t="shared" si="88"/>
        <v/>
      </c>
      <c r="X1047" s="1"/>
    </row>
    <row r="1048" spans="7:24">
      <c r="G1048" s="21"/>
      <c r="H1048" s="23"/>
      <c r="I1048" s="23" t="str">
        <f>_xlfn.IFNA(VLOOKUP(A1048,A1049:$H$3524,8,0),"")</f>
        <v/>
      </c>
      <c r="J1048" s="40" t="str">
        <f t="shared" si="89"/>
        <v/>
      </c>
      <c r="K1048" s="24" t="str">
        <f t="shared" si="90"/>
        <v/>
      </c>
      <c r="L1048" s="25" t="str">
        <f t="shared" si="86"/>
        <v/>
      </c>
      <c r="M1048" s="37"/>
      <c r="N1048" s="37"/>
      <c r="O1048" s="33" t="str">
        <f t="shared" si="87"/>
        <v/>
      </c>
      <c r="P1048" s="33" t="str">
        <f t="shared" si="88"/>
        <v/>
      </c>
      <c r="X1048" s="1"/>
    </row>
    <row r="1049" spans="7:24">
      <c r="G1049" s="21"/>
      <c r="H1049" s="23"/>
      <c r="I1049" s="23" t="str">
        <f>_xlfn.IFNA(VLOOKUP(A1049,A1050:$H$3524,8,0),"")</f>
        <v/>
      </c>
      <c r="J1049" s="40" t="str">
        <f t="shared" si="89"/>
        <v/>
      </c>
      <c r="K1049" s="24" t="str">
        <f t="shared" si="90"/>
        <v/>
      </c>
      <c r="L1049" s="25" t="str">
        <f t="shared" si="86"/>
        <v/>
      </c>
      <c r="M1049" s="37"/>
      <c r="N1049" s="37"/>
      <c r="O1049" s="33" t="str">
        <f t="shared" si="87"/>
        <v/>
      </c>
      <c r="P1049" s="33" t="str">
        <f t="shared" si="88"/>
        <v/>
      </c>
      <c r="X1049" s="1"/>
    </row>
    <row r="1050" spans="7:24">
      <c r="G1050" s="21"/>
      <c r="H1050" s="23"/>
      <c r="I1050" s="23" t="str">
        <f>_xlfn.IFNA(VLOOKUP(A1050,A1051:$H$3524,8,0),"")</f>
        <v/>
      </c>
      <c r="J1050" s="40" t="str">
        <f t="shared" si="89"/>
        <v/>
      </c>
      <c r="K1050" s="24" t="str">
        <f t="shared" si="90"/>
        <v/>
      </c>
      <c r="L1050" s="25" t="str">
        <f t="shared" si="86"/>
        <v/>
      </c>
      <c r="M1050" s="37"/>
      <c r="N1050" s="37"/>
      <c r="O1050" s="33" t="str">
        <f t="shared" si="87"/>
        <v/>
      </c>
      <c r="P1050" s="33" t="str">
        <f t="shared" si="88"/>
        <v/>
      </c>
      <c r="X1050" s="1"/>
    </row>
    <row r="1051" spans="7:24">
      <c r="G1051" s="21"/>
      <c r="H1051" s="23"/>
      <c r="I1051" s="23" t="str">
        <f>_xlfn.IFNA(VLOOKUP(A1051,A1052:$H$3524,8,0),"")</f>
        <v/>
      </c>
      <c r="J1051" s="40" t="str">
        <f t="shared" si="89"/>
        <v/>
      </c>
      <c r="K1051" s="24" t="str">
        <f t="shared" si="90"/>
        <v/>
      </c>
      <c r="L1051" s="25" t="str">
        <f t="shared" si="86"/>
        <v/>
      </c>
      <c r="M1051" s="37"/>
      <c r="N1051" s="37"/>
      <c r="O1051" s="33" t="str">
        <f t="shared" si="87"/>
        <v/>
      </c>
      <c r="P1051" s="33" t="str">
        <f t="shared" si="88"/>
        <v/>
      </c>
      <c r="X1051" s="1"/>
    </row>
    <row r="1052" spans="7:24">
      <c r="G1052" s="21"/>
      <c r="H1052" s="23"/>
      <c r="I1052" s="23" t="str">
        <f>_xlfn.IFNA(VLOOKUP(A1052,A1053:$H$3524,8,0),"")</f>
        <v/>
      </c>
      <c r="J1052" s="40" t="str">
        <f t="shared" si="89"/>
        <v/>
      </c>
      <c r="K1052" s="24" t="str">
        <f t="shared" si="90"/>
        <v/>
      </c>
      <c r="L1052" s="25" t="str">
        <f t="shared" si="86"/>
        <v/>
      </c>
      <c r="M1052" s="37"/>
      <c r="N1052" s="37"/>
      <c r="O1052" s="33" t="str">
        <f t="shared" si="87"/>
        <v/>
      </c>
      <c r="P1052" s="33" t="str">
        <f t="shared" si="88"/>
        <v/>
      </c>
      <c r="X1052" s="1"/>
    </row>
    <row r="1053" spans="7:24">
      <c r="G1053" s="21"/>
      <c r="H1053" s="23"/>
      <c r="I1053" s="23" t="str">
        <f>_xlfn.IFNA(VLOOKUP(A1053,A1054:$H$3524,8,0),"")</f>
        <v/>
      </c>
      <c r="J1053" s="40" t="str">
        <f t="shared" si="89"/>
        <v/>
      </c>
      <c r="K1053" s="24" t="str">
        <f t="shared" si="90"/>
        <v/>
      </c>
      <c r="L1053" s="25" t="str">
        <f t="shared" si="86"/>
        <v/>
      </c>
      <c r="M1053" s="37"/>
      <c r="N1053" s="37"/>
      <c r="O1053" s="33" t="str">
        <f t="shared" si="87"/>
        <v/>
      </c>
      <c r="P1053" s="33" t="str">
        <f t="shared" si="88"/>
        <v/>
      </c>
      <c r="X1053" s="1"/>
    </row>
    <row r="1054" spans="7:24">
      <c r="G1054" s="21"/>
      <c r="H1054" s="23"/>
      <c r="I1054" s="23" t="str">
        <f>_xlfn.IFNA(VLOOKUP(A1054,A1055:$H$3524,8,0),"")</f>
        <v/>
      </c>
      <c r="J1054" s="40" t="str">
        <f t="shared" si="89"/>
        <v/>
      </c>
      <c r="K1054" s="24" t="str">
        <f t="shared" si="90"/>
        <v/>
      </c>
      <c r="L1054" s="25" t="str">
        <f t="shared" si="86"/>
        <v/>
      </c>
      <c r="M1054" s="37"/>
      <c r="N1054" s="37"/>
      <c r="O1054" s="33" t="str">
        <f t="shared" si="87"/>
        <v/>
      </c>
      <c r="P1054" s="33" t="str">
        <f t="shared" si="88"/>
        <v/>
      </c>
      <c r="X1054" s="1"/>
    </row>
    <row r="1055" spans="7:24">
      <c r="G1055" s="21"/>
      <c r="H1055" s="23"/>
      <c r="I1055" s="23" t="str">
        <f>_xlfn.IFNA(VLOOKUP(A1055,A1056:$H$3524,8,0),"")</f>
        <v/>
      </c>
      <c r="J1055" s="40" t="str">
        <f t="shared" si="89"/>
        <v/>
      </c>
      <c r="K1055" s="24" t="str">
        <f t="shared" si="90"/>
        <v/>
      </c>
      <c r="L1055" s="25" t="str">
        <f t="shared" si="86"/>
        <v/>
      </c>
      <c r="M1055" s="37"/>
      <c r="N1055" s="37"/>
      <c r="O1055" s="33" t="str">
        <f t="shared" si="87"/>
        <v/>
      </c>
      <c r="P1055" s="33" t="str">
        <f t="shared" si="88"/>
        <v/>
      </c>
      <c r="X1055" s="1"/>
    </row>
    <row r="1056" spans="7:24">
      <c r="G1056" s="21"/>
      <c r="H1056" s="23"/>
      <c r="I1056" s="23" t="str">
        <f>_xlfn.IFNA(VLOOKUP(A1056,A1057:$H$3524,8,0),"")</f>
        <v/>
      </c>
      <c r="J1056" s="40" t="str">
        <f t="shared" si="89"/>
        <v/>
      </c>
      <c r="K1056" s="24" t="str">
        <f t="shared" si="90"/>
        <v/>
      </c>
      <c r="L1056" s="25" t="str">
        <f t="shared" si="86"/>
        <v/>
      </c>
      <c r="M1056" s="37"/>
      <c r="N1056" s="37"/>
      <c r="O1056" s="33" t="str">
        <f t="shared" si="87"/>
        <v/>
      </c>
      <c r="P1056" s="33" t="str">
        <f t="shared" si="88"/>
        <v/>
      </c>
      <c r="X1056" s="1"/>
    </row>
    <row r="1057" spans="7:24">
      <c r="G1057" s="21"/>
      <c r="H1057" s="23"/>
      <c r="I1057" s="23" t="str">
        <f>_xlfn.IFNA(VLOOKUP(A1057,A1058:$H$3524,8,0),"")</f>
        <v/>
      </c>
      <c r="J1057" s="40" t="str">
        <f t="shared" si="89"/>
        <v/>
      </c>
      <c r="K1057" s="24" t="str">
        <f t="shared" si="90"/>
        <v/>
      </c>
      <c r="L1057" s="25" t="str">
        <f t="shared" si="86"/>
        <v/>
      </c>
      <c r="M1057" s="37"/>
      <c r="N1057" s="37"/>
      <c r="O1057" s="33" t="str">
        <f t="shared" si="87"/>
        <v/>
      </c>
      <c r="P1057" s="33" t="str">
        <f t="shared" si="88"/>
        <v/>
      </c>
      <c r="X1057" s="1"/>
    </row>
    <row r="1058" spans="7:24">
      <c r="G1058" s="21"/>
      <c r="H1058" s="23"/>
      <c r="I1058" s="23" t="str">
        <f>_xlfn.IFNA(VLOOKUP(A1058,A1059:$H$3524,8,0),"")</f>
        <v/>
      </c>
      <c r="J1058" s="40" t="str">
        <f t="shared" si="89"/>
        <v/>
      </c>
      <c r="K1058" s="24" t="str">
        <f t="shared" si="90"/>
        <v/>
      </c>
      <c r="L1058" s="25" t="str">
        <f t="shared" si="86"/>
        <v/>
      </c>
      <c r="M1058" s="37"/>
      <c r="N1058" s="37"/>
      <c r="O1058" s="33" t="str">
        <f t="shared" si="87"/>
        <v/>
      </c>
      <c r="P1058" s="33" t="str">
        <f t="shared" si="88"/>
        <v/>
      </c>
      <c r="X1058" s="1"/>
    </row>
    <row r="1059" spans="7:24">
      <c r="G1059" s="21"/>
      <c r="H1059" s="23"/>
      <c r="I1059" s="23" t="str">
        <f>_xlfn.IFNA(VLOOKUP(A1059,A1060:$H$3524,8,0),"")</f>
        <v/>
      </c>
      <c r="J1059" s="40" t="str">
        <f t="shared" si="89"/>
        <v/>
      </c>
      <c r="K1059" s="24" t="str">
        <f t="shared" si="90"/>
        <v/>
      </c>
      <c r="L1059" s="25" t="str">
        <f t="shared" si="86"/>
        <v/>
      </c>
      <c r="M1059" s="37"/>
      <c r="N1059" s="37"/>
      <c r="O1059" s="33" t="str">
        <f t="shared" si="87"/>
        <v/>
      </c>
      <c r="P1059" s="33" t="str">
        <f t="shared" si="88"/>
        <v/>
      </c>
      <c r="X1059" s="1"/>
    </row>
    <row r="1060" spans="7:24">
      <c r="G1060" s="21"/>
      <c r="H1060" s="23"/>
      <c r="I1060" s="23" t="str">
        <f>_xlfn.IFNA(VLOOKUP(A1060,A1061:$H$3524,8,0),"")</f>
        <v/>
      </c>
      <c r="J1060" s="40" t="str">
        <f t="shared" si="89"/>
        <v/>
      </c>
      <c r="K1060" s="24" t="str">
        <f t="shared" si="90"/>
        <v/>
      </c>
      <c r="L1060" s="25" t="str">
        <f t="shared" si="86"/>
        <v/>
      </c>
      <c r="M1060" s="37"/>
      <c r="N1060" s="37"/>
      <c r="O1060" s="33" t="str">
        <f t="shared" si="87"/>
        <v/>
      </c>
      <c r="P1060" s="33" t="str">
        <f t="shared" si="88"/>
        <v/>
      </c>
      <c r="X1060" s="1"/>
    </row>
    <row r="1061" spans="7:24">
      <c r="G1061" s="21"/>
      <c r="H1061" s="23"/>
      <c r="I1061" s="23" t="str">
        <f>_xlfn.IFNA(VLOOKUP(A1061,A1062:$H$3524,8,0),"")</f>
        <v/>
      </c>
      <c r="J1061" s="40" t="str">
        <f t="shared" si="89"/>
        <v/>
      </c>
      <c r="K1061" s="24" t="str">
        <f t="shared" si="90"/>
        <v/>
      </c>
      <c r="L1061" s="25" t="str">
        <f t="shared" si="86"/>
        <v/>
      </c>
      <c r="M1061" s="37"/>
      <c r="N1061" s="37"/>
      <c r="O1061" s="33" t="str">
        <f t="shared" si="87"/>
        <v/>
      </c>
      <c r="P1061" s="33" t="str">
        <f t="shared" si="88"/>
        <v/>
      </c>
      <c r="X1061" s="1"/>
    </row>
    <row r="1062" spans="7:24">
      <c r="G1062" s="21"/>
      <c r="H1062" s="23"/>
      <c r="I1062" s="23" t="str">
        <f>_xlfn.IFNA(VLOOKUP(A1062,A1063:$H$3524,8,0),"")</f>
        <v/>
      </c>
      <c r="J1062" s="40" t="str">
        <f t="shared" si="89"/>
        <v/>
      </c>
      <c r="K1062" s="24" t="str">
        <f t="shared" si="90"/>
        <v/>
      </c>
      <c r="L1062" s="25" t="str">
        <f t="shared" si="86"/>
        <v/>
      </c>
      <c r="M1062" s="37"/>
      <c r="N1062" s="37"/>
      <c r="O1062" s="33" t="str">
        <f t="shared" si="87"/>
        <v/>
      </c>
      <c r="P1062" s="33" t="str">
        <f t="shared" si="88"/>
        <v/>
      </c>
      <c r="X1062" s="1"/>
    </row>
    <row r="1063" spans="7:24">
      <c r="G1063" s="21"/>
      <c r="H1063" s="23"/>
      <c r="I1063" s="23" t="str">
        <f>_xlfn.IFNA(VLOOKUP(A1063,A1064:$H$3524,8,0),"")</f>
        <v/>
      </c>
      <c r="J1063" s="40" t="str">
        <f t="shared" si="89"/>
        <v/>
      </c>
      <c r="K1063" s="24" t="str">
        <f t="shared" si="90"/>
        <v/>
      </c>
      <c r="L1063" s="25" t="str">
        <f t="shared" si="86"/>
        <v/>
      </c>
      <c r="M1063" s="37"/>
      <c r="N1063" s="37"/>
      <c r="O1063" s="33" t="str">
        <f t="shared" si="87"/>
        <v/>
      </c>
      <c r="P1063" s="33" t="str">
        <f t="shared" si="88"/>
        <v/>
      </c>
      <c r="X1063" s="1"/>
    </row>
    <row r="1064" spans="7:24">
      <c r="G1064" s="21"/>
      <c r="H1064" s="23"/>
      <c r="I1064" s="23" t="str">
        <f>_xlfn.IFNA(VLOOKUP(A1064,A1065:$H$3524,8,0),"")</f>
        <v/>
      </c>
      <c r="J1064" s="40" t="str">
        <f t="shared" si="89"/>
        <v/>
      </c>
      <c r="K1064" s="24" t="str">
        <f t="shared" si="90"/>
        <v/>
      </c>
      <c r="L1064" s="25" t="str">
        <f t="shared" si="86"/>
        <v/>
      </c>
      <c r="M1064" s="37"/>
      <c r="N1064" s="37"/>
      <c r="O1064" s="33" t="str">
        <f t="shared" si="87"/>
        <v/>
      </c>
      <c r="P1064" s="33" t="str">
        <f t="shared" si="88"/>
        <v/>
      </c>
      <c r="X1064" s="1"/>
    </row>
    <row r="1065" spans="7:24">
      <c r="G1065" s="21"/>
      <c r="H1065" s="23"/>
      <c r="I1065" s="23" t="str">
        <f>_xlfn.IFNA(VLOOKUP(A1065,A1066:$H$3524,8,0),"")</f>
        <v/>
      </c>
      <c r="J1065" s="40" t="str">
        <f t="shared" si="89"/>
        <v/>
      </c>
      <c r="K1065" s="24" t="str">
        <f t="shared" si="90"/>
        <v/>
      </c>
      <c r="L1065" s="25" t="str">
        <f t="shared" si="86"/>
        <v/>
      </c>
      <c r="M1065" s="37"/>
      <c r="N1065" s="37"/>
      <c r="O1065" s="33" t="str">
        <f t="shared" si="87"/>
        <v/>
      </c>
      <c r="P1065" s="33" t="str">
        <f t="shared" si="88"/>
        <v/>
      </c>
      <c r="X1065" s="1"/>
    </row>
    <row r="1066" spans="7:24">
      <c r="G1066" s="21"/>
      <c r="H1066" s="23"/>
      <c r="I1066" s="23" t="str">
        <f>_xlfn.IFNA(VLOOKUP(A1066,A1067:$H$3524,8,0),"")</f>
        <v/>
      </c>
      <c r="J1066" s="40" t="str">
        <f t="shared" si="89"/>
        <v/>
      </c>
      <c r="K1066" s="24" t="str">
        <f t="shared" si="90"/>
        <v/>
      </c>
      <c r="L1066" s="25" t="str">
        <f t="shared" si="86"/>
        <v/>
      </c>
      <c r="M1066" s="37"/>
      <c r="N1066" s="37"/>
      <c r="O1066" s="33" t="str">
        <f t="shared" si="87"/>
        <v/>
      </c>
      <c r="P1066" s="33" t="str">
        <f t="shared" si="88"/>
        <v/>
      </c>
      <c r="X1066" s="1"/>
    </row>
    <row r="1067" spans="7:24">
      <c r="G1067" s="21"/>
      <c r="H1067" s="23"/>
      <c r="I1067" s="23" t="str">
        <f>_xlfn.IFNA(VLOOKUP(A1067,A1068:$H$3524,8,0),"")</f>
        <v/>
      </c>
      <c r="J1067" s="40" t="str">
        <f t="shared" si="89"/>
        <v/>
      </c>
      <c r="K1067" s="24" t="str">
        <f t="shared" si="90"/>
        <v/>
      </c>
      <c r="L1067" s="25" t="str">
        <f t="shared" si="86"/>
        <v/>
      </c>
      <c r="M1067" s="37"/>
      <c r="N1067" s="37"/>
      <c r="O1067" s="33" t="str">
        <f t="shared" si="87"/>
        <v/>
      </c>
      <c r="P1067" s="33" t="str">
        <f t="shared" si="88"/>
        <v/>
      </c>
      <c r="X1067" s="1"/>
    </row>
    <row r="1068" spans="7:24">
      <c r="G1068" s="21"/>
      <c r="H1068" s="23"/>
      <c r="I1068" s="23" t="str">
        <f>_xlfn.IFNA(VLOOKUP(A1068,A1069:$H$3524,8,0),"")</f>
        <v/>
      </c>
      <c r="J1068" s="40" t="str">
        <f t="shared" si="89"/>
        <v/>
      </c>
      <c r="K1068" s="24" t="str">
        <f t="shared" si="90"/>
        <v/>
      </c>
      <c r="L1068" s="25" t="str">
        <f t="shared" si="86"/>
        <v/>
      </c>
      <c r="M1068" s="37"/>
      <c r="N1068" s="37"/>
      <c r="O1068" s="33" t="str">
        <f t="shared" si="87"/>
        <v/>
      </c>
      <c r="P1068" s="33" t="str">
        <f t="shared" si="88"/>
        <v/>
      </c>
      <c r="X1068" s="1"/>
    </row>
    <row r="1069" spans="7:24">
      <c r="G1069" s="21"/>
      <c r="H1069" s="23"/>
      <c r="I1069" s="23" t="str">
        <f>_xlfn.IFNA(VLOOKUP(A1069,A1070:$H$3524,8,0),"")</f>
        <v/>
      </c>
      <c r="J1069" s="40" t="str">
        <f t="shared" si="89"/>
        <v/>
      </c>
      <c r="K1069" s="24" t="str">
        <f t="shared" si="90"/>
        <v/>
      </c>
      <c r="L1069" s="25" t="str">
        <f t="shared" si="86"/>
        <v/>
      </c>
      <c r="M1069" s="37"/>
      <c r="N1069" s="37"/>
      <c r="O1069" s="33" t="str">
        <f t="shared" si="87"/>
        <v/>
      </c>
      <c r="P1069" s="33" t="str">
        <f t="shared" si="88"/>
        <v/>
      </c>
      <c r="X1069" s="1"/>
    </row>
    <row r="1070" spans="7:24">
      <c r="G1070" s="21"/>
      <c r="H1070" s="23"/>
      <c r="I1070" s="23" t="str">
        <f>_xlfn.IFNA(VLOOKUP(A1070,A1071:$H$3524,8,0),"")</f>
        <v/>
      </c>
      <c r="J1070" s="40" t="str">
        <f t="shared" si="89"/>
        <v/>
      </c>
      <c r="K1070" s="24" t="str">
        <f t="shared" si="90"/>
        <v/>
      </c>
      <c r="L1070" s="25" t="str">
        <f t="shared" si="86"/>
        <v/>
      </c>
      <c r="M1070" s="37"/>
      <c r="N1070" s="37"/>
      <c r="O1070" s="33" t="str">
        <f t="shared" si="87"/>
        <v/>
      </c>
      <c r="P1070" s="33" t="str">
        <f t="shared" si="88"/>
        <v/>
      </c>
      <c r="X1070" s="1"/>
    </row>
    <row r="1071" spans="7:24">
      <c r="G1071" s="21"/>
      <c r="H1071" s="23"/>
      <c r="I1071" s="23" t="str">
        <f>_xlfn.IFNA(VLOOKUP(A1071,A1072:$H$3524,8,0),"")</f>
        <v/>
      </c>
      <c r="J1071" s="40" t="str">
        <f t="shared" si="89"/>
        <v/>
      </c>
      <c r="K1071" s="24" t="str">
        <f t="shared" si="90"/>
        <v/>
      </c>
      <c r="L1071" s="25" t="str">
        <f t="shared" si="86"/>
        <v/>
      </c>
      <c r="M1071" s="37"/>
      <c r="N1071" s="37"/>
      <c r="O1071" s="33" t="str">
        <f t="shared" si="87"/>
        <v/>
      </c>
      <c r="P1071" s="33" t="str">
        <f t="shared" si="88"/>
        <v/>
      </c>
      <c r="X1071" s="1"/>
    </row>
    <row r="1072" spans="7:24">
      <c r="G1072" s="21"/>
      <c r="H1072" s="23"/>
      <c r="I1072" s="23" t="str">
        <f>_xlfn.IFNA(VLOOKUP(A1072,A1073:$H$3524,8,0),"")</f>
        <v/>
      </c>
      <c r="J1072" s="40" t="str">
        <f t="shared" si="89"/>
        <v/>
      </c>
      <c r="K1072" s="24" t="str">
        <f t="shared" si="90"/>
        <v/>
      </c>
      <c r="L1072" s="25" t="str">
        <f t="shared" si="86"/>
        <v/>
      </c>
      <c r="M1072" s="37"/>
      <c r="N1072" s="37"/>
      <c r="O1072" s="33" t="str">
        <f t="shared" si="87"/>
        <v/>
      </c>
      <c r="P1072" s="33" t="str">
        <f t="shared" si="88"/>
        <v/>
      </c>
      <c r="X1072" s="1"/>
    </row>
    <row r="1073" spans="7:24">
      <c r="G1073" s="21"/>
      <c r="H1073" s="23"/>
      <c r="I1073" s="23" t="str">
        <f>_xlfn.IFNA(VLOOKUP(A1073,A1074:$H$3524,8,0),"")</f>
        <v/>
      </c>
      <c r="J1073" s="40" t="str">
        <f t="shared" si="89"/>
        <v/>
      </c>
      <c r="K1073" s="24" t="str">
        <f t="shared" si="90"/>
        <v/>
      </c>
      <c r="L1073" s="25" t="str">
        <f t="shared" si="86"/>
        <v/>
      </c>
      <c r="M1073" s="37"/>
      <c r="N1073" s="37"/>
      <c r="O1073" s="33" t="str">
        <f t="shared" si="87"/>
        <v/>
      </c>
      <c r="P1073" s="33" t="str">
        <f t="shared" si="88"/>
        <v/>
      </c>
      <c r="X1073" s="1"/>
    </row>
    <row r="1074" spans="7:24">
      <c r="G1074" s="21"/>
      <c r="H1074" s="23"/>
      <c r="I1074" s="23" t="str">
        <f>_xlfn.IFNA(VLOOKUP(A1074,A1075:$H$3524,8,0),"")</f>
        <v/>
      </c>
      <c r="J1074" s="40" t="str">
        <f t="shared" si="89"/>
        <v/>
      </c>
      <c r="K1074" s="24" t="str">
        <f t="shared" si="90"/>
        <v/>
      </c>
      <c r="L1074" s="25" t="str">
        <f t="shared" si="86"/>
        <v/>
      </c>
      <c r="M1074" s="37"/>
      <c r="N1074" s="37"/>
      <c r="O1074" s="33" t="str">
        <f t="shared" si="87"/>
        <v/>
      </c>
      <c r="P1074" s="33" t="str">
        <f t="shared" si="88"/>
        <v/>
      </c>
      <c r="X1074" s="1"/>
    </row>
    <row r="1075" spans="7:24">
      <c r="G1075" s="21"/>
      <c r="H1075" s="23"/>
      <c r="I1075" s="23" t="str">
        <f>_xlfn.IFNA(VLOOKUP(A1075,A1076:$H$3524,8,0),"")</f>
        <v/>
      </c>
      <c r="J1075" s="40" t="str">
        <f t="shared" si="89"/>
        <v/>
      </c>
      <c r="K1075" s="24" t="str">
        <f t="shared" si="90"/>
        <v/>
      </c>
      <c r="L1075" s="25" t="str">
        <f t="shared" si="86"/>
        <v/>
      </c>
      <c r="M1075" s="37"/>
      <c r="N1075" s="37"/>
      <c r="O1075" s="33" t="str">
        <f t="shared" si="87"/>
        <v/>
      </c>
      <c r="P1075" s="33" t="str">
        <f t="shared" si="88"/>
        <v/>
      </c>
      <c r="X1075" s="1"/>
    </row>
    <row r="1076" spans="7:24">
      <c r="G1076" s="21"/>
      <c r="H1076" s="23"/>
      <c r="I1076" s="23" t="str">
        <f>_xlfn.IFNA(VLOOKUP(A1076,A1077:$H$3524,8,0),"")</f>
        <v/>
      </c>
      <c r="J1076" s="40" t="str">
        <f t="shared" si="89"/>
        <v/>
      </c>
      <c r="K1076" s="24" t="str">
        <f t="shared" si="90"/>
        <v/>
      </c>
      <c r="L1076" s="25" t="str">
        <f t="shared" si="86"/>
        <v/>
      </c>
      <c r="M1076" s="37"/>
      <c r="N1076" s="37"/>
      <c r="O1076" s="33" t="str">
        <f t="shared" si="87"/>
        <v/>
      </c>
      <c r="P1076" s="33" t="str">
        <f t="shared" si="88"/>
        <v/>
      </c>
      <c r="X1076" s="1"/>
    </row>
    <row r="1077" spans="7:24">
      <c r="G1077" s="21"/>
      <c r="H1077" s="23"/>
      <c r="I1077" s="23" t="str">
        <f>_xlfn.IFNA(VLOOKUP(A1077,A1078:$H$3524,8,0),"")</f>
        <v/>
      </c>
      <c r="J1077" s="40" t="str">
        <f t="shared" si="89"/>
        <v/>
      </c>
      <c r="K1077" s="24" t="str">
        <f t="shared" si="90"/>
        <v/>
      </c>
      <c r="L1077" s="25" t="str">
        <f t="shared" si="86"/>
        <v/>
      </c>
      <c r="M1077" s="37"/>
      <c r="N1077" s="37"/>
      <c r="O1077" s="33" t="str">
        <f t="shared" si="87"/>
        <v/>
      </c>
      <c r="P1077" s="33" t="str">
        <f t="shared" si="88"/>
        <v/>
      </c>
      <c r="X1077" s="1"/>
    </row>
    <row r="1078" spans="7:24">
      <c r="G1078" s="21"/>
      <c r="H1078" s="23"/>
      <c r="I1078" s="23" t="str">
        <f>_xlfn.IFNA(VLOOKUP(A1078,A1079:$H$3524,8,0),"")</f>
        <v/>
      </c>
      <c r="J1078" s="40" t="str">
        <f t="shared" si="89"/>
        <v/>
      </c>
      <c r="K1078" s="24" t="str">
        <f t="shared" si="90"/>
        <v/>
      </c>
      <c r="L1078" s="25" t="str">
        <f t="shared" si="86"/>
        <v/>
      </c>
      <c r="M1078" s="37"/>
      <c r="N1078" s="37"/>
      <c r="O1078" s="33" t="str">
        <f t="shared" si="87"/>
        <v/>
      </c>
      <c r="P1078" s="33" t="str">
        <f t="shared" si="88"/>
        <v/>
      </c>
      <c r="X1078" s="1"/>
    </row>
    <row r="1079" spans="7:24">
      <c r="G1079" s="21"/>
      <c r="H1079" s="23"/>
      <c r="I1079" s="23" t="str">
        <f>_xlfn.IFNA(VLOOKUP(A1079,A1080:$H$3524,8,0),"")</f>
        <v/>
      </c>
      <c r="J1079" s="40" t="str">
        <f t="shared" si="89"/>
        <v/>
      </c>
      <c r="K1079" s="24" t="str">
        <f t="shared" si="90"/>
        <v/>
      </c>
      <c r="L1079" s="25" t="str">
        <f t="shared" ref="L1079:L1142" si="91">IF(K1079="","",IF(B1079="Break","Break",IF(K1079&lt;&gt;0,"Work Finished",IF(B1079="OFF","Work Finished",IF(I1079="","Working","Work Finished")))))</f>
        <v/>
      </c>
      <c r="M1079" s="37"/>
      <c r="N1079" s="37"/>
      <c r="O1079" s="33" t="str">
        <f t="shared" ref="O1079:O1142" si="92">IF(AND(J1079="",M1079="",N1079=""),"",J1079-M1079-N1079)</f>
        <v/>
      </c>
      <c r="P1079" s="33" t="str">
        <f t="shared" ref="P1079:P1142" si="93">IF(HOUR(H1079)=0,"",HOUR(H1079))</f>
        <v/>
      </c>
      <c r="X1079" s="1"/>
    </row>
    <row r="1080" spans="7:24">
      <c r="G1080" s="21"/>
      <c r="H1080" s="23"/>
      <c r="I1080" s="23" t="str">
        <f>_xlfn.IFNA(VLOOKUP(A1080,A1081:$H$3524,8,0),"")</f>
        <v/>
      </c>
      <c r="J1080" s="40" t="str">
        <f t="shared" si="89"/>
        <v/>
      </c>
      <c r="K1080" s="24" t="str">
        <f t="shared" si="90"/>
        <v/>
      </c>
      <c r="L1080" s="25" t="str">
        <f t="shared" si="91"/>
        <v/>
      </c>
      <c r="M1080" s="37"/>
      <c r="N1080" s="37"/>
      <c r="O1080" s="33" t="str">
        <f t="shared" si="92"/>
        <v/>
      </c>
      <c r="P1080" s="33" t="str">
        <f t="shared" si="93"/>
        <v/>
      </c>
      <c r="X1080" s="1"/>
    </row>
    <row r="1081" spans="7:24">
      <c r="G1081" s="21"/>
      <c r="H1081" s="23"/>
      <c r="I1081" s="23" t="str">
        <f>_xlfn.IFNA(VLOOKUP(A1081,A1082:$H$3524,8,0),"")</f>
        <v/>
      </c>
      <c r="J1081" s="40" t="str">
        <f t="shared" si="89"/>
        <v/>
      </c>
      <c r="K1081" s="24" t="str">
        <f t="shared" si="90"/>
        <v/>
      </c>
      <c r="L1081" s="25" t="str">
        <f t="shared" si="91"/>
        <v/>
      </c>
      <c r="M1081" s="37"/>
      <c r="N1081" s="37"/>
      <c r="O1081" s="33" t="str">
        <f t="shared" si="92"/>
        <v/>
      </c>
      <c r="P1081" s="33" t="str">
        <f t="shared" si="93"/>
        <v/>
      </c>
      <c r="X1081" s="1"/>
    </row>
    <row r="1082" spans="7:24">
      <c r="G1082" s="21"/>
      <c r="H1082" s="23"/>
      <c r="I1082" s="23" t="str">
        <f>_xlfn.IFNA(VLOOKUP(A1082,A1083:$H$3524,8,0),"")</f>
        <v/>
      </c>
      <c r="J1082" s="40" t="str">
        <f t="shared" si="89"/>
        <v/>
      </c>
      <c r="K1082" s="24" t="str">
        <f t="shared" si="90"/>
        <v/>
      </c>
      <c r="L1082" s="25" t="str">
        <f t="shared" si="91"/>
        <v/>
      </c>
      <c r="M1082" s="37"/>
      <c r="N1082" s="37"/>
      <c r="O1082" s="33" t="str">
        <f t="shared" si="92"/>
        <v/>
      </c>
      <c r="P1082" s="33" t="str">
        <f t="shared" si="93"/>
        <v/>
      </c>
      <c r="X1082" s="1"/>
    </row>
    <row r="1083" spans="7:24">
      <c r="G1083" s="21"/>
      <c r="H1083" s="23"/>
      <c r="I1083" s="23" t="str">
        <f>_xlfn.IFNA(VLOOKUP(A1083,A1084:$H$3524,8,0),"")</f>
        <v/>
      </c>
      <c r="J1083" s="40" t="str">
        <f t="shared" si="89"/>
        <v/>
      </c>
      <c r="K1083" s="24" t="str">
        <f t="shared" si="90"/>
        <v/>
      </c>
      <c r="L1083" s="25" t="str">
        <f t="shared" si="91"/>
        <v/>
      </c>
      <c r="M1083" s="37"/>
      <c r="N1083" s="37"/>
      <c r="O1083" s="33" t="str">
        <f t="shared" si="92"/>
        <v/>
      </c>
      <c r="P1083" s="33" t="str">
        <f t="shared" si="93"/>
        <v/>
      </c>
      <c r="X1083" s="1"/>
    </row>
    <row r="1084" spans="7:24">
      <c r="G1084" s="21"/>
      <c r="H1084" s="23"/>
      <c r="I1084" s="23" t="str">
        <f>_xlfn.IFNA(VLOOKUP(A1084,A1085:$H$3524,8,0),"")</f>
        <v/>
      </c>
      <c r="J1084" s="40" t="str">
        <f t="shared" si="89"/>
        <v/>
      </c>
      <c r="K1084" s="24" t="str">
        <f t="shared" si="90"/>
        <v/>
      </c>
      <c r="L1084" s="25" t="str">
        <f t="shared" si="91"/>
        <v/>
      </c>
      <c r="M1084" s="37"/>
      <c r="N1084" s="37"/>
      <c r="O1084" s="33" t="str">
        <f t="shared" si="92"/>
        <v/>
      </c>
      <c r="P1084" s="33" t="str">
        <f t="shared" si="93"/>
        <v/>
      </c>
      <c r="X1084" s="1"/>
    </row>
    <row r="1085" spans="7:24">
      <c r="G1085" s="21"/>
      <c r="H1085" s="23"/>
      <c r="I1085" s="23" t="str">
        <f>_xlfn.IFNA(VLOOKUP(A1085,A1086:$H$3524,8,0),"")</f>
        <v/>
      </c>
      <c r="J1085" s="40" t="str">
        <f t="shared" si="89"/>
        <v/>
      </c>
      <c r="K1085" s="24" t="str">
        <f t="shared" si="90"/>
        <v/>
      </c>
      <c r="L1085" s="25" t="str">
        <f t="shared" si="91"/>
        <v/>
      </c>
      <c r="M1085" s="37"/>
      <c r="N1085" s="37"/>
      <c r="O1085" s="33" t="str">
        <f t="shared" si="92"/>
        <v/>
      </c>
      <c r="P1085" s="33" t="str">
        <f t="shared" si="93"/>
        <v/>
      </c>
      <c r="X1085" s="1"/>
    </row>
    <row r="1086" spans="7:24">
      <c r="G1086" s="21"/>
      <c r="H1086" s="23"/>
      <c r="I1086" s="23" t="str">
        <f>_xlfn.IFNA(VLOOKUP(A1086,A1087:$H$3524,8,0),"")</f>
        <v/>
      </c>
      <c r="J1086" s="40" t="str">
        <f t="shared" si="89"/>
        <v/>
      </c>
      <c r="K1086" s="24" t="str">
        <f t="shared" si="90"/>
        <v/>
      </c>
      <c r="L1086" s="25" t="str">
        <f t="shared" si="91"/>
        <v/>
      </c>
      <c r="M1086" s="37"/>
      <c r="N1086" s="37"/>
      <c r="O1086" s="33" t="str">
        <f t="shared" si="92"/>
        <v/>
      </c>
      <c r="P1086" s="33" t="str">
        <f t="shared" si="93"/>
        <v/>
      </c>
      <c r="X1086" s="1"/>
    </row>
    <row r="1087" spans="7:24">
      <c r="G1087" s="21"/>
      <c r="H1087" s="23"/>
      <c r="I1087" s="23" t="str">
        <f>_xlfn.IFNA(VLOOKUP(A1087,A1088:$H$3524,8,0),"")</f>
        <v/>
      </c>
      <c r="J1087" s="40" t="str">
        <f t="shared" si="89"/>
        <v/>
      </c>
      <c r="K1087" s="24" t="str">
        <f t="shared" si="90"/>
        <v/>
      </c>
      <c r="L1087" s="25" t="str">
        <f t="shared" si="91"/>
        <v/>
      </c>
      <c r="M1087" s="37"/>
      <c r="N1087" s="37"/>
      <c r="O1087" s="33" t="str">
        <f t="shared" si="92"/>
        <v/>
      </c>
      <c r="P1087" s="33" t="str">
        <f t="shared" si="93"/>
        <v/>
      </c>
      <c r="X1087" s="1"/>
    </row>
    <row r="1088" spans="7:24">
      <c r="G1088" s="21"/>
      <c r="H1088" s="23"/>
      <c r="I1088" s="23" t="str">
        <f>_xlfn.IFNA(VLOOKUP(A1088,A1089:$H$3524,8,0),"")</f>
        <v/>
      </c>
      <c r="J1088" s="40" t="str">
        <f t="shared" si="89"/>
        <v/>
      </c>
      <c r="K1088" s="24" t="str">
        <f t="shared" si="90"/>
        <v/>
      </c>
      <c r="L1088" s="25" t="str">
        <f t="shared" si="91"/>
        <v/>
      </c>
      <c r="M1088" s="37"/>
      <c r="N1088" s="37"/>
      <c r="O1088" s="33" t="str">
        <f t="shared" si="92"/>
        <v/>
      </c>
      <c r="P1088" s="33" t="str">
        <f t="shared" si="93"/>
        <v/>
      </c>
      <c r="X1088" s="1"/>
    </row>
    <row r="1089" spans="7:24">
      <c r="G1089" s="21"/>
      <c r="H1089" s="23"/>
      <c r="I1089" s="23" t="str">
        <f>_xlfn.IFNA(VLOOKUP(A1089,A1090:$H$3524,8,0),"")</f>
        <v/>
      </c>
      <c r="J1089" s="40" t="str">
        <f t="shared" si="89"/>
        <v/>
      </c>
      <c r="K1089" s="24" t="str">
        <f t="shared" si="90"/>
        <v/>
      </c>
      <c r="L1089" s="25" t="str">
        <f t="shared" si="91"/>
        <v/>
      </c>
      <c r="M1089" s="37"/>
      <c r="N1089" s="37"/>
      <c r="O1089" s="33" t="str">
        <f t="shared" si="92"/>
        <v/>
      </c>
      <c r="P1089" s="33" t="str">
        <f t="shared" si="93"/>
        <v/>
      </c>
      <c r="X1089" s="1"/>
    </row>
    <row r="1090" spans="7:24">
      <c r="G1090" s="21"/>
      <c r="H1090" s="23"/>
      <c r="I1090" s="23" t="str">
        <f>_xlfn.IFNA(VLOOKUP(A1090,A1091:$H$3524,8,0),"")</f>
        <v/>
      </c>
      <c r="J1090" s="40" t="str">
        <f t="shared" si="89"/>
        <v/>
      </c>
      <c r="K1090" s="24" t="str">
        <f t="shared" si="90"/>
        <v/>
      </c>
      <c r="L1090" s="25" t="str">
        <f t="shared" si="91"/>
        <v/>
      </c>
      <c r="M1090" s="37"/>
      <c r="N1090" s="37"/>
      <c r="O1090" s="33" t="str">
        <f t="shared" si="92"/>
        <v/>
      </c>
      <c r="P1090" s="33" t="str">
        <f t="shared" si="93"/>
        <v/>
      </c>
      <c r="X1090" s="1"/>
    </row>
    <row r="1091" spans="7:24">
      <c r="G1091" s="21"/>
      <c r="H1091" s="23"/>
      <c r="I1091" s="23" t="str">
        <f>_xlfn.IFNA(VLOOKUP(A1091,A1092:$H$3524,8,0),"")</f>
        <v/>
      </c>
      <c r="J1091" s="40" t="str">
        <f t="shared" si="89"/>
        <v/>
      </c>
      <c r="K1091" s="24" t="str">
        <f t="shared" si="90"/>
        <v/>
      </c>
      <c r="L1091" s="25" t="str">
        <f t="shared" si="91"/>
        <v/>
      </c>
      <c r="M1091" s="37"/>
      <c r="N1091" s="37"/>
      <c r="O1091" s="33" t="str">
        <f t="shared" si="92"/>
        <v/>
      </c>
      <c r="P1091" s="33" t="str">
        <f t="shared" si="93"/>
        <v/>
      </c>
      <c r="X1091" s="1"/>
    </row>
    <row r="1092" spans="7:24">
      <c r="G1092" s="21"/>
      <c r="H1092" s="23"/>
      <c r="I1092" s="23" t="str">
        <f>_xlfn.IFNA(VLOOKUP(A1092,A1093:$H$3524,8,0),"")</f>
        <v/>
      </c>
      <c r="J1092" s="40" t="str">
        <f t="shared" si="89"/>
        <v/>
      </c>
      <c r="K1092" s="24" t="str">
        <f t="shared" si="90"/>
        <v/>
      </c>
      <c r="L1092" s="25" t="str">
        <f t="shared" si="91"/>
        <v/>
      </c>
      <c r="M1092" s="37"/>
      <c r="N1092" s="37"/>
      <c r="O1092" s="33" t="str">
        <f t="shared" si="92"/>
        <v/>
      </c>
      <c r="P1092" s="33" t="str">
        <f t="shared" si="93"/>
        <v/>
      </c>
      <c r="X1092" s="1"/>
    </row>
    <row r="1093" spans="7:24">
      <c r="G1093" s="21"/>
      <c r="H1093" s="23"/>
      <c r="I1093" s="23" t="str">
        <f>_xlfn.IFNA(VLOOKUP(A1093,A1094:$H$3524,8,0),"")</f>
        <v/>
      </c>
      <c r="J1093" s="40" t="str">
        <f t="shared" si="89"/>
        <v/>
      </c>
      <c r="K1093" s="24" t="str">
        <f t="shared" si="90"/>
        <v/>
      </c>
      <c r="L1093" s="25" t="str">
        <f t="shared" si="91"/>
        <v/>
      </c>
      <c r="M1093" s="37"/>
      <c r="N1093" s="37"/>
      <c r="O1093" s="33" t="str">
        <f t="shared" si="92"/>
        <v/>
      </c>
      <c r="P1093" s="33" t="str">
        <f t="shared" si="93"/>
        <v/>
      </c>
      <c r="X1093" s="1"/>
    </row>
    <row r="1094" spans="7:24">
      <c r="G1094" s="21"/>
      <c r="H1094" s="23"/>
      <c r="I1094" s="23" t="str">
        <f>_xlfn.IFNA(VLOOKUP(A1094,A1095:$H$3524,8,0),"")</f>
        <v/>
      </c>
      <c r="J1094" s="40" t="str">
        <f t="shared" ref="J1094:J1157" si="94">IF(B1094="OFF",0,IF(AND(D1094&lt;&gt;"",E1094&lt;&gt;""),E1094-D1094+1,""))</f>
        <v/>
      </c>
      <c r="K1094" s="24" t="str">
        <f t="shared" si="90"/>
        <v/>
      </c>
      <c r="L1094" s="25" t="str">
        <f t="shared" si="91"/>
        <v/>
      </c>
      <c r="M1094" s="37"/>
      <c r="N1094" s="37"/>
      <c r="O1094" s="33" t="str">
        <f t="shared" si="92"/>
        <v/>
      </c>
      <c r="P1094" s="33" t="str">
        <f t="shared" si="93"/>
        <v/>
      </c>
      <c r="X1094" s="1"/>
    </row>
    <row r="1095" spans="7:24">
      <c r="G1095" s="21"/>
      <c r="H1095" s="23"/>
      <c r="I1095" s="23" t="str">
        <f>_xlfn.IFNA(VLOOKUP(A1095,A1096:$H$3524,8,0),"")</f>
        <v/>
      </c>
      <c r="J1095" s="40" t="str">
        <f t="shared" si="94"/>
        <v/>
      </c>
      <c r="K1095" s="24" t="str">
        <f t="shared" si="90"/>
        <v/>
      </c>
      <c r="L1095" s="25" t="str">
        <f t="shared" si="91"/>
        <v/>
      </c>
      <c r="M1095" s="37"/>
      <c r="N1095" s="37"/>
      <c r="O1095" s="33" t="str">
        <f t="shared" si="92"/>
        <v/>
      </c>
      <c r="P1095" s="33" t="str">
        <f t="shared" si="93"/>
        <v/>
      </c>
      <c r="X1095" s="1"/>
    </row>
    <row r="1096" spans="7:24">
      <c r="G1096" s="21"/>
      <c r="H1096" s="23"/>
      <c r="I1096" s="23" t="str">
        <f>_xlfn.IFNA(VLOOKUP(A1096,A1097:$H$3524,8,0),"")</f>
        <v/>
      </c>
      <c r="J1096" s="40" t="str">
        <f t="shared" si="94"/>
        <v/>
      </c>
      <c r="K1096" s="24" t="str">
        <f t="shared" si="90"/>
        <v/>
      </c>
      <c r="L1096" s="25" t="str">
        <f t="shared" si="91"/>
        <v/>
      </c>
      <c r="M1096" s="37"/>
      <c r="N1096" s="37"/>
      <c r="O1096" s="33" t="str">
        <f t="shared" si="92"/>
        <v/>
      </c>
      <c r="P1096" s="33" t="str">
        <f t="shared" si="93"/>
        <v/>
      </c>
      <c r="X1096" s="1"/>
    </row>
    <row r="1097" spans="7:24">
      <c r="G1097" s="21"/>
      <c r="H1097" s="23"/>
      <c r="I1097" s="23" t="str">
        <f>_xlfn.IFNA(VLOOKUP(A1097,A1098:$H$3524,8,0),"")</f>
        <v/>
      </c>
      <c r="J1097" s="40" t="str">
        <f t="shared" si="94"/>
        <v/>
      </c>
      <c r="K1097" s="24" t="str">
        <f t="shared" si="90"/>
        <v/>
      </c>
      <c r="L1097" s="25" t="str">
        <f t="shared" si="91"/>
        <v/>
      </c>
      <c r="M1097" s="37"/>
      <c r="N1097" s="37"/>
      <c r="O1097" s="33" t="str">
        <f t="shared" si="92"/>
        <v/>
      </c>
      <c r="P1097" s="33" t="str">
        <f t="shared" si="93"/>
        <v/>
      </c>
      <c r="X1097" s="1"/>
    </row>
    <row r="1098" spans="7:24">
      <c r="G1098" s="21"/>
      <c r="H1098" s="23"/>
      <c r="I1098" s="23" t="str">
        <f>_xlfn.IFNA(VLOOKUP(A1098,A1099:$H$3524,8,0),"")</f>
        <v/>
      </c>
      <c r="J1098" s="40" t="str">
        <f t="shared" si="94"/>
        <v/>
      </c>
      <c r="K1098" s="24" t="str">
        <f t="shared" si="90"/>
        <v/>
      </c>
      <c r="L1098" s="25" t="str">
        <f t="shared" si="91"/>
        <v/>
      </c>
      <c r="M1098" s="37"/>
      <c r="N1098" s="37"/>
      <c r="O1098" s="33" t="str">
        <f t="shared" si="92"/>
        <v/>
      </c>
      <c r="P1098" s="33" t="str">
        <f t="shared" si="93"/>
        <v/>
      </c>
      <c r="X1098" s="1"/>
    </row>
    <row r="1099" spans="7:24">
      <c r="G1099" s="21"/>
      <c r="H1099" s="23"/>
      <c r="I1099" s="23" t="str">
        <f>_xlfn.IFNA(VLOOKUP(A1099,A1100:$H$3524,8,0),"")</f>
        <v/>
      </c>
      <c r="J1099" s="40" t="str">
        <f t="shared" si="94"/>
        <v/>
      </c>
      <c r="K1099" s="24" t="str">
        <f t="shared" si="90"/>
        <v/>
      </c>
      <c r="L1099" s="25" t="str">
        <f t="shared" si="91"/>
        <v/>
      </c>
      <c r="M1099" s="37"/>
      <c r="N1099" s="37"/>
      <c r="O1099" s="33" t="str">
        <f t="shared" si="92"/>
        <v/>
      </c>
      <c r="P1099" s="33" t="str">
        <f t="shared" si="93"/>
        <v/>
      </c>
      <c r="X1099" s="1"/>
    </row>
    <row r="1100" spans="7:24">
      <c r="G1100" s="21"/>
      <c r="H1100" s="23"/>
      <c r="I1100" s="23" t="str">
        <f>_xlfn.IFNA(VLOOKUP(A1100,A1101:$H$3524,8,0),"")</f>
        <v/>
      </c>
      <c r="J1100" s="40" t="str">
        <f t="shared" si="94"/>
        <v/>
      </c>
      <c r="K1100" s="24" t="str">
        <f t="shared" si="90"/>
        <v/>
      </c>
      <c r="L1100" s="25" t="str">
        <f t="shared" si="91"/>
        <v/>
      </c>
      <c r="M1100" s="37"/>
      <c r="N1100" s="37"/>
      <c r="O1100" s="33" t="str">
        <f t="shared" si="92"/>
        <v/>
      </c>
      <c r="P1100" s="33" t="str">
        <f t="shared" si="93"/>
        <v/>
      </c>
      <c r="X1100" s="1"/>
    </row>
    <row r="1101" spans="7:24">
      <c r="G1101" s="21"/>
      <c r="H1101" s="23"/>
      <c r="I1101" s="23" t="str">
        <f>_xlfn.IFNA(VLOOKUP(A1101,A1102:$H$3524,8,0),"")</f>
        <v/>
      </c>
      <c r="J1101" s="40" t="str">
        <f t="shared" si="94"/>
        <v/>
      </c>
      <c r="K1101" s="24" t="str">
        <f t="shared" si="90"/>
        <v/>
      </c>
      <c r="L1101" s="25" t="str">
        <f t="shared" si="91"/>
        <v/>
      </c>
      <c r="M1101" s="37"/>
      <c r="N1101" s="37"/>
      <c r="O1101" s="33" t="str">
        <f t="shared" si="92"/>
        <v/>
      </c>
      <c r="P1101" s="33" t="str">
        <f t="shared" si="93"/>
        <v/>
      </c>
      <c r="X1101" s="1"/>
    </row>
    <row r="1102" spans="7:24">
      <c r="G1102" s="21"/>
      <c r="H1102" s="23"/>
      <c r="I1102" s="23" t="str">
        <f>_xlfn.IFNA(VLOOKUP(A1102,A1103:$H$3524,8,0),"")</f>
        <v/>
      </c>
      <c r="J1102" s="40" t="str">
        <f t="shared" si="94"/>
        <v/>
      </c>
      <c r="K1102" s="24" t="str">
        <f t="shared" si="90"/>
        <v/>
      </c>
      <c r="L1102" s="25" t="str">
        <f t="shared" si="91"/>
        <v/>
      </c>
      <c r="M1102" s="37"/>
      <c r="N1102" s="37"/>
      <c r="O1102" s="33" t="str">
        <f t="shared" si="92"/>
        <v/>
      </c>
      <c r="P1102" s="33" t="str">
        <f t="shared" si="93"/>
        <v/>
      </c>
      <c r="X1102" s="1"/>
    </row>
    <row r="1103" spans="7:24">
      <c r="G1103" s="21"/>
      <c r="H1103" s="23"/>
      <c r="I1103" s="23" t="str">
        <f>_xlfn.IFNA(VLOOKUP(A1103,A1104:$H$3524,8,0),"")</f>
        <v/>
      </c>
      <c r="J1103" s="40" t="str">
        <f t="shared" si="94"/>
        <v/>
      </c>
      <c r="K1103" s="24" t="str">
        <f t="shared" si="90"/>
        <v/>
      </c>
      <c r="L1103" s="25" t="str">
        <f t="shared" si="91"/>
        <v/>
      </c>
      <c r="M1103" s="37"/>
      <c r="N1103" s="37"/>
      <c r="O1103" s="33" t="str">
        <f t="shared" si="92"/>
        <v/>
      </c>
      <c r="P1103" s="33" t="str">
        <f t="shared" si="93"/>
        <v/>
      </c>
      <c r="X1103" s="1"/>
    </row>
    <row r="1104" spans="7:24">
      <c r="G1104" s="21"/>
      <c r="H1104" s="23"/>
      <c r="I1104" s="23" t="str">
        <f>_xlfn.IFNA(VLOOKUP(A1104,A1105:$H$3524,8,0),"")</f>
        <v/>
      </c>
      <c r="J1104" s="40" t="str">
        <f t="shared" si="94"/>
        <v/>
      </c>
      <c r="K1104" s="24" t="str">
        <f t="shared" si="90"/>
        <v/>
      </c>
      <c r="L1104" s="25" t="str">
        <f t="shared" si="91"/>
        <v/>
      </c>
      <c r="M1104" s="37"/>
      <c r="N1104" s="37"/>
      <c r="O1104" s="33" t="str">
        <f t="shared" si="92"/>
        <v/>
      </c>
      <c r="P1104" s="33" t="str">
        <f t="shared" si="93"/>
        <v/>
      </c>
      <c r="X1104" s="1"/>
    </row>
    <row r="1105" spans="7:24">
      <c r="G1105" s="21"/>
      <c r="H1105" s="23"/>
      <c r="I1105" s="23" t="str">
        <f>_xlfn.IFNA(VLOOKUP(A1105,A1106:$H$3524,8,0),"")</f>
        <v/>
      </c>
      <c r="J1105" s="40" t="str">
        <f t="shared" si="94"/>
        <v/>
      </c>
      <c r="K1105" s="24" t="str">
        <f t="shared" si="90"/>
        <v/>
      </c>
      <c r="L1105" s="25" t="str">
        <f t="shared" si="91"/>
        <v/>
      </c>
      <c r="M1105" s="37"/>
      <c r="N1105" s="37"/>
      <c r="O1105" s="33" t="str">
        <f t="shared" si="92"/>
        <v/>
      </c>
      <c r="P1105" s="33" t="str">
        <f t="shared" si="93"/>
        <v/>
      </c>
      <c r="X1105" s="1"/>
    </row>
    <row r="1106" spans="7:24">
      <c r="G1106" s="21"/>
      <c r="H1106" s="23"/>
      <c r="I1106" s="23" t="str">
        <f>_xlfn.IFNA(VLOOKUP(A1106,A1107:$H$3524,8,0),"")</f>
        <v/>
      </c>
      <c r="J1106" s="40" t="str">
        <f t="shared" si="94"/>
        <v/>
      </c>
      <c r="K1106" s="24" t="str">
        <f t="shared" si="90"/>
        <v/>
      </c>
      <c r="L1106" s="25" t="str">
        <f t="shared" si="91"/>
        <v/>
      </c>
      <c r="M1106" s="37"/>
      <c r="N1106" s="37"/>
      <c r="O1106" s="33" t="str">
        <f t="shared" si="92"/>
        <v/>
      </c>
      <c r="P1106" s="33" t="str">
        <f t="shared" si="93"/>
        <v/>
      </c>
      <c r="X1106" s="1"/>
    </row>
    <row r="1107" spans="7:24">
      <c r="G1107" s="21"/>
      <c r="H1107" s="23"/>
      <c r="I1107" s="23" t="str">
        <f>_xlfn.IFNA(VLOOKUP(A1107,A1108:$H$3524,8,0),"")</f>
        <v/>
      </c>
      <c r="J1107" s="40" t="str">
        <f t="shared" si="94"/>
        <v/>
      </c>
      <c r="K1107" s="24" t="str">
        <f t="shared" si="90"/>
        <v/>
      </c>
      <c r="L1107" s="25" t="str">
        <f t="shared" si="91"/>
        <v/>
      </c>
      <c r="M1107" s="37"/>
      <c r="N1107" s="37"/>
      <c r="O1107" s="33" t="str">
        <f t="shared" si="92"/>
        <v/>
      </c>
      <c r="P1107" s="33" t="str">
        <f t="shared" si="93"/>
        <v/>
      </c>
      <c r="X1107" s="1"/>
    </row>
    <row r="1108" spans="7:24">
      <c r="G1108" s="21"/>
      <c r="H1108" s="23"/>
      <c r="I1108" s="23" t="str">
        <f>_xlfn.IFNA(VLOOKUP(A1108,A1109:$H$3524,8,0),"")</f>
        <v/>
      </c>
      <c r="J1108" s="40" t="str">
        <f t="shared" si="94"/>
        <v/>
      </c>
      <c r="K1108" s="24" t="str">
        <f t="shared" si="90"/>
        <v/>
      </c>
      <c r="L1108" s="25" t="str">
        <f t="shared" si="91"/>
        <v/>
      </c>
      <c r="M1108" s="37"/>
      <c r="N1108" s="37"/>
      <c r="O1108" s="33" t="str">
        <f t="shared" si="92"/>
        <v/>
      </c>
      <c r="P1108" s="33" t="str">
        <f t="shared" si="93"/>
        <v/>
      </c>
      <c r="X1108" s="1"/>
    </row>
    <row r="1109" spans="7:24">
      <c r="G1109" s="21"/>
      <c r="H1109" s="23"/>
      <c r="I1109" s="23" t="str">
        <f>_xlfn.IFNA(VLOOKUP(A1109,A1110:$H$3524,8,0),"")</f>
        <v/>
      </c>
      <c r="J1109" s="40" t="str">
        <f t="shared" si="94"/>
        <v/>
      </c>
      <c r="K1109" s="24" t="str">
        <f t="shared" si="90"/>
        <v/>
      </c>
      <c r="L1109" s="25" t="str">
        <f t="shared" si="91"/>
        <v/>
      </c>
      <c r="M1109" s="37"/>
      <c r="N1109" s="37"/>
      <c r="O1109" s="33" t="str">
        <f t="shared" si="92"/>
        <v/>
      </c>
      <c r="P1109" s="33" t="str">
        <f t="shared" si="93"/>
        <v/>
      </c>
      <c r="X1109" s="1"/>
    </row>
    <row r="1110" spans="7:24">
      <c r="G1110" s="21"/>
      <c r="H1110" s="23"/>
      <c r="I1110" s="23" t="str">
        <f>_xlfn.IFNA(VLOOKUP(A1110,A1111:$H$3524,8,0),"")</f>
        <v/>
      </c>
      <c r="J1110" s="40" t="str">
        <f t="shared" si="94"/>
        <v/>
      </c>
      <c r="K1110" s="24" t="str">
        <f t="shared" ref="K1110:K1173" si="95">IF(H1110="","",IFERROR((I1110-H1110)*24,0))</f>
        <v/>
      </c>
      <c r="L1110" s="25" t="str">
        <f t="shared" si="91"/>
        <v/>
      </c>
      <c r="M1110" s="37"/>
      <c r="N1110" s="37"/>
      <c r="O1110" s="33" t="str">
        <f t="shared" si="92"/>
        <v/>
      </c>
      <c r="P1110" s="33" t="str">
        <f t="shared" si="93"/>
        <v/>
      </c>
      <c r="X1110" s="1"/>
    </row>
    <row r="1111" spans="7:24">
      <c r="G1111" s="21"/>
      <c r="H1111" s="23"/>
      <c r="I1111" s="23" t="str">
        <f>_xlfn.IFNA(VLOOKUP(A1111,A1112:$H$3524,8,0),"")</f>
        <v/>
      </c>
      <c r="J1111" s="40" t="str">
        <f t="shared" si="94"/>
        <v/>
      </c>
      <c r="K1111" s="24" t="str">
        <f t="shared" si="95"/>
        <v/>
      </c>
      <c r="L1111" s="25" t="str">
        <f t="shared" si="91"/>
        <v/>
      </c>
      <c r="M1111" s="37"/>
      <c r="N1111" s="37"/>
      <c r="O1111" s="33" t="str">
        <f t="shared" si="92"/>
        <v/>
      </c>
      <c r="P1111" s="33" t="str">
        <f t="shared" si="93"/>
        <v/>
      </c>
      <c r="X1111" s="1"/>
    </row>
    <row r="1112" spans="7:24">
      <c r="G1112" s="21"/>
      <c r="H1112" s="23"/>
      <c r="I1112" s="23" t="str">
        <f>_xlfn.IFNA(VLOOKUP(A1112,A1113:$H$3524,8,0),"")</f>
        <v/>
      </c>
      <c r="J1112" s="40" t="str">
        <f t="shared" si="94"/>
        <v/>
      </c>
      <c r="K1112" s="24" t="str">
        <f t="shared" si="95"/>
        <v/>
      </c>
      <c r="L1112" s="25" t="str">
        <f t="shared" si="91"/>
        <v/>
      </c>
      <c r="M1112" s="37"/>
      <c r="N1112" s="37"/>
      <c r="O1112" s="33" t="str">
        <f t="shared" si="92"/>
        <v/>
      </c>
      <c r="P1112" s="33" t="str">
        <f t="shared" si="93"/>
        <v/>
      </c>
      <c r="X1112" s="1"/>
    </row>
    <row r="1113" spans="7:24">
      <c r="G1113" s="21"/>
      <c r="H1113" s="23"/>
      <c r="I1113" s="23" t="str">
        <f>_xlfn.IFNA(VLOOKUP(A1113,A1114:$H$3524,8,0),"")</f>
        <v/>
      </c>
      <c r="J1113" s="40" t="str">
        <f t="shared" si="94"/>
        <v/>
      </c>
      <c r="K1113" s="24" t="str">
        <f t="shared" si="95"/>
        <v/>
      </c>
      <c r="L1113" s="25" t="str">
        <f t="shared" si="91"/>
        <v/>
      </c>
      <c r="M1113" s="37"/>
      <c r="N1113" s="37"/>
      <c r="O1113" s="33" t="str">
        <f t="shared" si="92"/>
        <v/>
      </c>
      <c r="P1113" s="33" t="str">
        <f t="shared" si="93"/>
        <v/>
      </c>
      <c r="X1113" s="1"/>
    </row>
    <row r="1114" spans="7:24">
      <c r="G1114" s="21"/>
      <c r="H1114" s="23"/>
      <c r="I1114" s="23" t="str">
        <f>_xlfn.IFNA(VLOOKUP(A1114,A1115:$H$3524,8,0),"")</f>
        <v/>
      </c>
      <c r="J1114" s="40" t="str">
        <f t="shared" si="94"/>
        <v/>
      </c>
      <c r="K1114" s="24" t="str">
        <f t="shared" si="95"/>
        <v/>
      </c>
      <c r="L1114" s="25" t="str">
        <f t="shared" si="91"/>
        <v/>
      </c>
      <c r="M1114" s="37"/>
      <c r="N1114" s="37"/>
      <c r="O1114" s="33" t="str">
        <f t="shared" si="92"/>
        <v/>
      </c>
      <c r="P1114" s="33" t="str">
        <f t="shared" si="93"/>
        <v/>
      </c>
      <c r="X1114" s="1"/>
    </row>
    <row r="1115" spans="7:24">
      <c r="G1115" s="21"/>
      <c r="H1115" s="23"/>
      <c r="I1115" s="23" t="str">
        <f>_xlfn.IFNA(VLOOKUP(A1115,A1116:$H$3524,8,0),"")</f>
        <v/>
      </c>
      <c r="J1115" s="40" t="str">
        <f t="shared" si="94"/>
        <v/>
      </c>
      <c r="K1115" s="24" t="str">
        <f t="shared" si="95"/>
        <v/>
      </c>
      <c r="L1115" s="25" t="str">
        <f t="shared" si="91"/>
        <v/>
      </c>
      <c r="M1115" s="37"/>
      <c r="N1115" s="37"/>
      <c r="O1115" s="33" t="str">
        <f t="shared" si="92"/>
        <v/>
      </c>
      <c r="P1115" s="33" t="str">
        <f t="shared" si="93"/>
        <v/>
      </c>
      <c r="X1115" s="1"/>
    </row>
    <row r="1116" spans="7:24">
      <c r="G1116" s="21"/>
      <c r="H1116" s="23"/>
      <c r="I1116" s="23" t="str">
        <f>_xlfn.IFNA(VLOOKUP(A1116,A1117:$H$3524,8,0),"")</f>
        <v/>
      </c>
      <c r="J1116" s="40" t="str">
        <f t="shared" si="94"/>
        <v/>
      </c>
      <c r="K1116" s="24" t="str">
        <f t="shared" si="95"/>
        <v/>
      </c>
      <c r="L1116" s="25" t="str">
        <f t="shared" si="91"/>
        <v/>
      </c>
      <c r="M1116" s="37"/>
      <c r="N1116" s="37"/>
      <c r="O1116" s="33" t="str">
        <f t="shared" si="92"/>
        <v/>
      </c>
      <c r="P1116" s="33" t="str">
        <f t="shared" si="93"/>
        <v/>
      </c>
      <c r="X1116" s="1"/>
    </row>
    <row r="1117" spans="7:24">
      <c r="G1117" s="21"/>
      <c r="H1117" s="23"/>
      <c r="I1117" s="23" t="str">
        <f>_xlfn.IFNA(VLOOKUP(A1117,A1118:$H$3524,8,0),"")</f>
        <v/>
      </c>
      <c r="J1117" s="40" t="str">
        <f t="shared" si="94"/>
        <v/>
      </c>
      <c r="K1117" s="24" t="str">
        <f t="shared" si="95"/>
        <v/>
      </c>
      <c r="L1117" s="25" t="str">
        <f t="shared" si="91"/>
        <v/>
      </c>
      <c r="M1117" s="37"/>
      <c r="N1117" s="37"/>
      <c r="O1117" s="33" t="str">
        <f t="shared" si="92"/>
        <v/>
      </c>
      <c r="P1117" s="33" t="str">
        <f t="shared" si="93"/>
        <v/>
      </c>
      <c r="X1117" s="1"/>
    </row>
    <row r="1118" spans="7:24">
      <c r="G1118" s="21"/>
      <c r="H1118" s="23"/>
      <c r="I1118" s="23" t="str">
        <f>_xlfn.IFNA(VLOOKUP(A1118,A1119:$H$3524,8,0),"")</f>
        <v/>
      </c>
      <c r="J1118" s="40" t="str">
        <f t="shared" si="94"/>
        <v/>
      </c>
      <c r="K1118" s="24" t="str">
        <f t="shared" si="95"/>
        <v/>
      </c>
      <c r="L1118" s="25" t="str">
        <f t="shared" si="91"/>
        <v/>
      </c>
      <c r="M1118" s="37"/>
      <c r="N1118" s="37"/>
      <c r="O1118" s="33" t="str">
        <f t="shared" si="92"/>
        <v/>
      </c>
      <c r="P1118" s="33" t="str">
        <f t="shared" si="93"/>
        <v/>
      </c>
      <c r="X1118" s="1"/>
    </row>
    <row r="1119" spans="7:24">
      <c r="G1119" s="21"/>
      <c r="H1119" s="23"/>
      <c r="I1119" s="23" t="str">
        <f>_xlfn.IFNA(VLOOKUP(A1119,A1120:$H$3524,8,0),"")</f>
        <v/>
      </c>
      <c r="J1119" s="40" t="str">
        <f t="shared" si="94"/>
        <v/>
      </c>
      <c r="K1119" s="24" t="str">
        <f t="shared" si="95"/>
        <v/>
      </c>
      <c r="L1119" s="25" t="str">
        <f t="shared" si="91"/>
        <v/>
      </c>
      <c r="M1119" s="37"/>
      <c r="N1119" s="37"/>
      <c r="O1119" s="33" t="str">
        <f t="shared" si="92"/>
        <v/>
      </c>
      <c r="P1119" s="33" t="str">
        <f t="shared" si="93"/>
        <v/>
      </c>
      <c r="X1119" s="1"/>
    </row>
    <row r="1120" spans="7:24">
      <c r="G1120" s="21"/>
      <c r="H1120" s="23"/>
      <c r="I1120" s="23" t="str">
        <f>_xlfn.IFNA(VLOOKUP(A1120,A1121:$H$3524,8,0),"")</f>
        <v/>
      </c>
      <c r="J1120" s="40" t="str">
        <f t="shared" si="94"/>
        <v/>
      </c>
      <c r="K1120" s="24" t="str">
        <f t="shared" si="95"/>
        <v/>
      </c>
      <c r="L1120" s="25" t="str">
        <f t="shared" si="91"/>
        <v/>
      </c>
      <c r="M1120" s="37"/>
      <c r="N1120" s="37"/>
      <c r="O1120" s="33" t="str">
        <f t="shared" si="92"/>
        <v/>
      </c>
      <c r="P1120" s="33" t="str">
        <f t="shared" si="93"/>
        <v/>
      </c>
      <c r="X1120" s="1"/>
    </row>
    <row r="1121" spans="7:24">
      <c r="G1121" s="21"/>
      <c r="H1121" s="23"/>
      <c r="I1121" s="23" t="str">
        <f>_xlfn.IFNA(VLOOKUP(A1121,A1122:$H$3524,8,0),"")</f>
        <v/>
      </c>
      <c r="J1121" s="40" t="str">
        <f t="shared" si="94"/>
        <v/>
      </c>
      <c r="K1121" s="24" t="str">
        <f t="shared" si="95"/>
        <v/>
      </c>
      <c r="L1121" s="25" t="str">
        <f t="shared" si="91"/>
        <v/>
      </c>
      <c r="M1121" s="37"/>
      <c r="N1121" s="37"/>
      <c r="O1121" s="33" t="str">
        <f t="shared" si="92"/>
        <v/>
      </c>
      <c r="P1121" s="33" t="str">
        <f t="shared" si="93"/>
        <v/>
      </c>
      <c r="X1121" s="1"/>
    </row>
    <row r="1122" spans="7:24">
      <c r="G1122" s="21"/>
      <c r="H1122" s="23"/>
      <c r="I1122" s="23" t="str">
        <f>_xlfn.IFNA(VLOOKUP(A1122,A1123:$H$3524,8,0),"")</f>
        <v/>
      </c>
      <c r="J1122" s="40" t="str">
        <f t="shared" si="94"/>
        <v/>
      </c>
      <c r="K1122" s="24" t="str">
        <f t="shared" si="95"/>
        <v/>
      </c>
      <c r="L1122" s="25" t="str">
        <f t="shared" si="91"/>
        <v/>
      </c>
      <c r="M1122" s="37"/>
      <c r="N1122" s="37"/>
      <c r="O1122" s="33" t="str">
        <f t="shared" si="92"/>
        <v/>
      </c>
      <c r="P1122" s="33" t="str">
        <f t="shared" si="93"/>
        <v/>
      </c>
      <c r="X1122" s="1"/>
    </row>
    <row r="1123" spans="7:24">
      <c r="G1123" s="21"/>
      <c r="H1123" s="23"/>
      <c r="I1123" s="23" t="str">
        <f>_xlfn.IFNA(VLOOKUP(A1123,A1124:$H$3524,8,0),"")</f>
        <v/>
      </c>
      <c r="J1123" s="40" t="str">
        <f t="shared" si="94"/>
        <v/>
      </c>
      <c r="K1123" s="24" t="str">
        <f t="shared" si="95"/>
        <v/>
      </c>
      <c r="L1123" s="25" t="str">
        <f t="shared" si="91"/>
        <v/>
      </c>
      <c r="M1123" s="37"/>
      <c r="N1123" s="37"/>
      <c r="O1123" s="33" t="str">
        <f t="shared" si="92"/>
        <v/>
      </c>
      <c r="P1123" s="33" t="str">
        <f t="shared" si="93"/>
        <v/>
      </c>
      <c r="X1123" s="1"/>
    </row>
    <row r="1124" spans="7:24">
      <c r="G1124" s="21"/>
      <c r="H1124" s="23"/>
      <c r="I1124" s="23" t="str">
        <f>_xlfn.IFNA(VLOOKUP(A1124,A1125:$H$3524,8,0),"")</f>
        <v/>
      </c>
      <c r="J1124" s="40" t="str">
        <f t="shared" si="94"/>
        <v/>
      </c>
      <c r="K1124" s="24" t="str">
        <f t="shared" si="95"/>
        <v/>
      </c>
      <c r="L1124" s="25" t="str">
        <f t="shared" si="91"/>
        <v/>
      </c>
      <c r="M1124" s="37"/>
      <c r="N1124" s="37"/>
      <c r="O1124" s="33" t="str">
        <f t="shared" si="92"/>
        <v/>
      </c>
      <c r="P1124" s="33" t="str">
        <f t="shared" si="93"/>
        <v/>
      </c>
      <c r="X1124" s="1"/>
    </row>
    <row r="1125" spans="7:24">
      <c r="G1125" s="21"/>
      <c r="H1125" s="23"/>
      <c r="I1125" s="23" t="str">
        <f>_xlfn.IFNA(VLOOKUP(A1125,A1126:$H$3524,8,0),"")</f>
        <v/>
      </c>
      <c r="J1125" s="40" t="str">
        <f t="shared" si="94"/>
        <v/>
      </c>
      <c r="K1125" s="24" t="str">
        <f t="shared" si="95"/>
        <v/>
      </c>
      <c r="L1125" s="25" t="str">
        <f t="shared" si="91"/>
        <v/>
      </c>
      <c r="M1125" s="37"/>
      <c r="N1125" s="37"/>
      <c r="O1125" s="33" t="str">
        <f t="shared" si="92"/>
        <v/>
      </c>
      <c r="P1125" s="33" t="str">
        <f t="shared" si="93"/>
        <v/>
      </c>
      <c r="X1125" s="1"/>
    </row>
    <row r="1126" spans="7:24">
      <c r="G1126" s="21"/>
      <c r="H1126" s="23"/>
      <c r="I1126" s="23" t="str">
        <f>_xlfn.IFNA(VLOOKUP(A1126,A1127:$H$3524,8,0),"")</f>
        <v/>
      </c>
      <c r="J1126" s="40" t="str">
        <f t="shared" si="94"/>
        <v/>
      </c>
      <c r="K1126" s="24" t="str">
        <f t="shared" si="95"/>
        <v/>
      </c>
      <c r="L1126" s="25" t="str">
        <f t="shared" si="91"/>
        <v/>
      </c>
      <c r="M1126" s="37"/>
      <c r="N1126" s="37"/>
      <c r="O1126" s="33" t="str">
        <f t="shared" si="92"/>
        <v/>
      </c>
      <c r="P1126" s="33" t="str">
        <f t="shared" si="93"/>
        <v/>
      </c>
      <c r="X1126" s="1"/>
    </row>
    <row r="1127" spans="7:24">
      <c r="G1127" s="21"/>
      <c r="H1127" s="23"/>
      <c r="I1127" s="23" t="str">
        <f>_xlfn.IFNA(VLOOKUP(A1127,A1128:$H$3524,8,0),"")</f>
        <v/>
      </c>
      <c r="J1127" s="40" t="str">
        <f t="shared" si="94"/>
        <v/>
      </c>
      <c r="K1127" s="24" t="str">
        <f t="shared" si="95"/>
        <v/>
      </c>
      <c r="L1127" s="25" t="str">
        <f t="shared" si="91"/>
        <v/>
      </c>
      <c r="M1127" s="37"/>
      <c r="N1127" s="37"/>
      <c r="O1127" s="33" t="str">
        <f t="shared" si="92"/>
        <v/>
      </c>
      <c r="P1127" s="33" t="str">
        <f t="shared" si="93"/>
        <v/>
      </c>
      <c r="X1127" s="1"/>
    </row>
    <row r="1128" spans="7:24">
      <c r="G1128" s="21"/>
      <c r="H1128" s="23"/>
      <c r="I1128" s="23" t="str">
        <f>_xlfn.IFNA(VLOOKUP(A1128,A1129:$H$3524,8,0),"")</f>
        <v/>
      </c>
      <c r="J1128" s="40" t="str">
        <f t="shared" si="94"/>
        <v/>
      </c>
      <c r="K1128" s="24" t="str">
        <f t="shared" si="95"/>
        <v/>
      </c>
      <c r="L1128" s="25" t="str">
        <f t="shared" si="91"/>
        <v/>
      </c>
      <c r="M1128" s="37"/>
      <c r="N1128" s="37"/>
      <c r="O1128" s="33" t="str">
        <f t="shared" si="92"/>
        <v/>
      </c>
      <c r="P1128" s="33" t="str">
        <f t="shared" si="93"/>
        <v/>
      </c>
      <c r="X1128" s="1"/>
    </row>
    <row r="1129" spans="7:24">
      <c r="G1129" s="21"/>
      <c r="H1129" s="23"/>
      <c r="I1129" s="23" t="str">
        <f>_xlfn.IFNA(VLOOKUP(A1129,A1130:$H$3524,8,0),"")</f>
        <v/>
      </c>
      <c r="J1129" s="40" t="str">
        <f t="shared" si="94"/>
        <v/>
      </c>
      <c r="K1129" s="24" t="str">
        <f t="shared" si="95"/>
        <v/>
      </c>
      <c r="L1129" s="25" t="str">
        <f t="shared" si="91"/>
        <v/>
      </c>
      <c r="M1129" s="37"/>
      <c r="N1129" s="37"/>
      <c r="O1129" s="33" t="str">
        <f t="shared" si="92"/>
        <v/>
      </c>
      <c r="P1129" s="33" t="str">
        <f t="shared" si="93"/>
        <v/>
      </c>
      <c r="X1129" s="1"/>
    </row>
    <row r="1130" spans="7:24">
      <c r="G1130" s="21"/>
      <c r="H1130" s="23"/>
      <c r="I1130" s="23" t="str">
        <f>_xlfn.IFNA(VLOOKUP(A1130,A1131:$H$3524,8,0),"")</f>
        <v/>
      </c>
      <c r="J1130" s="40" t="str">
        <f t="shared" si="94"/>
        <v/>
      </c>
      <c r="K1130" s="24" t="str">
        <f t="shared" si="95"/>
        <v/>
      </c>
      <c r="L1130" s="25" t="str">
        <f t="shared" si="91"/>
        <v/>
      </c>
      <c r="M1130" s="37"/>
      <c r="N1130" s="37"/>
      <c r="O1130" s="33" t="str">
        <f t="shared" si="92"/>
        <v/>
      </c>
      <c r="P1130" s="33" t="str">
        <f t="shared" si="93"/>
        <v/>
      </c>
      <c r="X1130" s="1"/>
    </row>
    <row r="1131" spans="7:24">
      <c r="G1131" s="21"/>
      <c r="H1131" s="23"/>
      <c r="I1131" s="23" t="str">
        <f>_xlfn.IFNA(VLOOKUP(A1131,A1132:$H$3524,8,0),"")</f>
        <v/>
      </c>
      <c r="J1131" s="40" t="str">
        <f t="shared" si="94"/>
        <v/>
      </c>
      <c r="K1131" s="24" t="str">
        <f t="shared" si="95"/>
        <v/>
      </c>
      <c r="L1131" s="25" t="str">
        <f t="shared" si="91"/>
        <v/>
      </c>
      <c r="M1131" s="37"/>
      <c r="N1131" s="37"/>
      <c r="O1131" s="33" t="str">
        <f t="shared" si="92"/>
        <v/>
      </c>
      <c r="P1131" s="33" t="str">
        <f t="shared" si="93"/>
        <v/>
      </c>
      <c r="X1131" s="1"/>
    </row>
    <row r="1132" spans="7:24">
      <c r="G1132" s="21"/>
      <c r="H1132" s="23"/>
      <c r="I1132" s="23" t="str">
        <f>_xlfn.IFNA(VLOOKUP(A1132,A1133:$H$3524,8,0),"")</f>
        <v/>
      </c>
      <c r="J1132" s="40" t="str">
        <f t="shared" si="94"/>
        <v/>
      </c>
      <c r="K1132" s="24" t="str">
        <f t="shared" si="95"/>
        <v/>
      </c>
      <c r="L1132" s="25" t="str">
        <f t="shared" si="91"/>
        <v/>
      </c>
      <c r="M1132" s="37"/>
      <c r="N1132" s="37"/>
      <c r="O1132" s="33" t="str">
        <f t="shared" si="92"/>
        <v/>
      </c>
      <c r="P1132" s="33" t="str">
        <f t="shared" si="93"/>
        <v/>
      </c>
      <c r="X1132" s="1"/>
    </row>
    <row r="1133" spans="7:24">
      <c r="G1133" s="21"/>
      <c r="H1133" s="23"/>
      <c r="I1133" s="23" t="str">
        <f>_xlfn.IFNA(VLOOKUP(A1133,A1134:$H$3524,8,0),"")</f>
        <v/>
      </c>
      <c r="J1133" s="40" t="str">
        <f t="shared" si="94"/>
        <v/>
      </c>
      <c r="K1133" s="24" t="str">
        <f t="shared" si="95"/>
        <v/>
      </c>
      <c r="L1133" s="25" t="str">
        <f t="shared" si="91"/>
        <v/>
      </c>
      <c r="M1133" s="37"/>
      <c r="N1133" s="37"/>
      <c r="O1133" s="33" t="str">
        <f t="shared" si="92"/>
        <v/>
      </c>
      <c r="P1133" s="33" t="str">
        <f t="shared" si="93"/>
        <v/>
      </c>
      <c r="X1133" s="1"/>
    </row>
    <row r="1134" spans="7:24">
      <c r="G1134" s="21"/>
      <c r="H1134" s="23"/>
      <c r="I1134" s="23" t="str">
        <f>_xlfn.IFNA(VLOOKUP(A1134,A1135:$H$3524,8,0),"")</f>
        <v/>
      </c>
      <c r="J1134" s="40" t="str">
        <f t="shared" si="94"/>
        <v/>
      </c>
      <c r="K1134" s="24" t="str">
        <f t="shared" si="95"/>
        <v/>
      </c>
      <c r="L1134" s="25" t="str">
        <f t="shared" si="91"/>
        <v/>
      </c>
      <c r="M1134" s="37"/>
      <c r="N1134" s="37"/>
      <c r="O1134" s="33" t="str">
        <f t="shared" si="92"/>
        <v/>
      </c>
      <c r="P1134" s="33" t="str">
        <f t="shared" si="93"/>
        <v/>
      </c>
      <c r="X1134" s="1"/>
    </row>
    <row r="1135" spans="7:24">
      <c r="G1135" s="21"/>
      <c r="H1135" s="23"/>
      <c r="I1135" s="23" t="str">
        <f>_xlfn.IFNA(VLOOKUP(A1135,A1136:$H$3524,8,0),"")</f>
        <v/>
      </c>
      <c r="J1135" s="40" t="str">
        <f t="shared" si="94"/>
        <v/>
      </c>
      <c r="K1135" s="24" t="str">
        <f t="shared" si="95"/>
        <v/>
      </c>
      <c r="L1135" s="25" t="str">
        <f t="shared" si="91"/>
        <v/>
      </c>
      <c r="M1135" s="37"/>
      <c r="N1135" s="37"/>
      <c r="O1135" s="33" t="str">
        <f t="shared" si="92"/>
        <v/>
      </c>
      <c r="P1135" s="33" t="str">
        <f t="shared" si="93"/>
        <v/>
      </c>
      <c r="X1135" s="1"/>
    </row>
    <row r="1136" spans="7:24">
      <c r="G1136" s="21"/>
      <c r="H1136" s="23"/>
      <c r="I1136" s="23" t="str">
        <f>_xlfn.IFNA(VLOOKUP(A1136,A1137:$H$3524,8,0),"")</f>
        <v/>
      </c>
      <c r="J1136" s="40" t="str">
        <f t="shared" si="94"/>
        <v/>
      </c>
      <c r="K1136" s="24" t="str">
        <f t="shared" si="95"/>
        <v/>
      </c>
      <c r="L1136" s="25" t="str">
        <f t="shared" si="91"/>
        <v/>
      </c>
      <c r="M1136" s="37"/>
      <c r="N1136" s="37"/>
      <c r="O1136" s="33" t="str">
        <f t="shared" si="92"/>
        <v/>
      </c>
      <c r="P1136" s="33" t="str">
        <f t="shared" si="93"/>
        <v/>
      </c>
      <c r="X1136" s="1"/>
    </row>
    <row r="1137" spans="7:24">
      <c r="G1137" s="21"/>
      <c r="H1137" s="23"/>
      <c r="I1137" s="23" t="str">
        <f>_xlfn.IFNA(VLOOKUP(A1137,A1138:$H$3524,8,0),"")</f>
        <v/>
      </c>
      <c r="J1137" s="40" t="str">
        <f t="shared" si="94"/>
        <v/>
      </c>
      <c r="K1137" s="24" t="str">
        <f t="shared" si="95"/>
        <v/>
      </c>
      <c r="L1137" s="25" t="str">
        <f t="shared" si="91"/>
        <v/>
      </c>
      <c r="M1137" s="37"/>
      <c r="N1137" s="37"/>
      <c r="O1137" s="33" t="str">
        <f t="shared" si="92"/>
        <v/>
      </c>
      <c r="P1137" s="33" t="str">
        <f t="shared" si="93"/>
        <v/>
      </c>
      <c r="X1137" s="1"/>
    </row>
    <row r="1138" spans="7:24">
      <c r="G1138" s="21"/>
      <c r="H1138" s="23"/>
      <c r="I1138" s="23" t="str">
        <f>_xlfn.IFNA(VLOOKUP(A1138,A1139:$H$3524,8,0),"")</f>
        <v/>
      </c>
      <c r="J1138" s="40" t="str">
        <f t="shared" si="94"/>
        <v/>
      </c>
      <c r="K1138" s="24" t="str">
        <f t="shared" si="95"/>
        <v/>
      </c>
      <c r="L1138" s="25" t="str">
        <f t="shared" si="91"/>
        <v/>
      </c>
      <c r="M1138" s="37"/>
      <c r="N1138" s="37"/>
      <c r="O1138" s="33" t="str">
        <f t="shared" si="92"/>
        <v/>
      </c>
      <c r="P1138" s="33" t="str">
        <f t="shared" si="93"/>
        <v/>
      </c>
      <c r="X1138" s="1"/>
    </row>
    <row r="1139" spans="7:24">
      <c r="G1139" s="21"/>
      <c r="H1139" s="23"/>
      <c r="I1139" s="23" t="str">
        <f>_xlfn.IFNA(VLOOKUP(A1139,A1140:$H$3524,8,0),"")</f>
        <v/>
      </c>
      <c r="J1139" s="40" t="str">
        <f t="shared" si="94"/>
        <v/>
      </c>
      <c r="K1139" s="24" t="str">
        <f t="shared" si="95"/>
        <v/>
      </c>
      <c r="L1139" s="25" t="str">
        <f t="shared" si="91"/>
        <v/>
      </c>
      <c r="M1139" s="37"/>
      <c r="N1139" s="37"/>
      <c r="O1139" s="33" t="str">
        <f t="shared" si="92"/>
        <v/>
      </c>
      <c r="P1139" s="33" t="str">
        <f t="shared" si="93"/>
        <v/>
      </c>
      <c r="X1139" s="1"/>
    </row>
    <row r="1140" spans="7:24">
      <c r="G1140" s="21"/>
      <c r="H1140" s="23"/>
      <c r="I1140" s="23" t="str">
        <f>_xlfn.IFNA(VLOOKUP(A1140,A1141:$H$3524,8,0),"")</f>
        <v/>
      </c>
      <c r="J1140" s="40" t="str">
        <f t="shared" si="94"/>
        <v/>
      </c>
      <c r="K1140" s="24" t="str">
        <f t="shared" si="95"/>
        <v/>
      </c>
      <c r="L1140" s="25" t="str">
        <f t="shared" si="91"/>
        <v/>
      </c>
      <c r="M1140" s="37"/>
      <c r="N1140" s="37"/>
      <c r="O1140" s="33" t="str">
        <f t="shared" si="92"/>
        <v/>
      </c>
      <c r="P1140" s="33" t="str">
        <f t="shared" si="93"/>
        <v/>
      </c>
      <c r="X1140" s="1"/>
    </row>
    <row r="1141" spans="7:24">
      <c r="G1141" s="21"/>
      <c r="H1141" s="23"/>
      <c r="I1141" s="23" t="str">
        <f>_xlfn.IFNA(VLOOKUP(A1141,A1142:$H$3524,8,0),"")</f>
        <v/>
      </c>
      <c r="J1141" s="40" t="str">
        <f t="shared" si="94"/>
        <v/>
      </c>
      <c r="K1141" s="24" t="str">
        <f t="shared" si="95"/>
        <v/>
      </c>
      <c r="L1141" s="25" t="str">
        <f t="shared" si="91"/>
        <v/>
      </c>
      <c r="M1141" s="37"/>
      <c r="N1141" s="37"/>
      <c r="O1141" s="33" t="str">
        <f t="shared" si="92"/>
        <v/>
      </c>
      <c r="P1141" s="33" t="str">
        <f t="shared" si="93"/>
        <v/>
      </c>
      <c r="X1141" s="1"/>
    </row>
    <row r="1142" spans="7:24">
      <c r="G1142" s="21"/>
      <c r="H1142" s="23"/>
      <c r="I1142" s="23" t="str">
        <f>_xlfn.IFNA(VLOOKUP(A1142,A1143:$H$3524,8,0),"")</f>
        <v/>
      </c>
      <c r="J1142" s="40" t="str">
        <f t="shared" si="94"/>
        <v/>
      </c>
      <c r="K1142" s="24" t="str">
        <f t="shared" si="95"/>
        <v/>
      </c>
      <c r="L1142" s="25" t="str">
        <f t="shared" si="91"/>
        <v/>
      </c>
      <c r="M1142" s="37"/>
      <c r="N1142" s="37"/>
      <c r="O1142" s="33" t="str">
        <f t="shared" si="92"/>
        <v/>
      </c>
      <c r="P1142" s="33" t="str">
        <f t="shared" si="93"/>
        <v/>
      </c>
      <c r="X1142" s="1"/>
    </row>
    <row r="1143" spans="7:24">
      <c r="G1143" s="21"/>
      <c r="H1143" s="23"/>
      <c r="I1143" s="23" t="str">
        <f>_xlfn.IFNA(VLOOKUP(A1143,A1144:$H$3524,8,0),"")</f>
        <v/>
      </c>
      <c r="J1143" s="40" t="str">
        <f t="shared" si="94"/>
        <v/>
      </c>
      <c r="K1143" s="24" t="str">
        <f t="shared" si="95"/>
        <v/>
      </c>
      <c r="L1143" s="25" t="str">
        <f t="shared" ref="L1143:L1206" si="96">IF(K1143="","",IF(B1143="Break","Break",IF(K1143&lt;&gt;0,"Work Finished",IF(B1143="OFF","Work Finished",IF(I1143="","Working","Work Finished")))))</f>
        <v/>
      </c>
      <c r="M1143" s="37"/>
      <c r="N1143" s="37"/>
      <c r="O1143" s="33" t="str">
        <f t="shared" ref="O1143:O1206" si="97">IF(AND(J1143="",M1143="",N1143=""),"",J1143-M1143-N1143)</f>
        <v/>
      </c>
      <c r="P1143" s="33" t="str">
        <f t="shared" ref="P1143:P1206" si="98">IF(HOUR(H1143)=0,"",HOUR(H1143))</f>
        <v/>
      </c>
      <c r="X1143" s="1"/>
    </row>
    <row r="1144" spans="7:24">
      <c r="G1144" s="21"/>
      <c r="H1144" s="23"/>
      <c r="I1144" s="23" t="str">
        <f>_xlfn.IFNA(VLOOKUP(A1144,A1145:$H$3524,8,0),"")</f>
        <v/>
      </c>
      <c r="J1144" s="40" t="str">
        <f t="shared" si="94"/>
        <v/>
      </c>
      <c r="K1144" s="24" t="str">
        <f t="shared" si="95"/>
        <v/>
      </c>
      <c r="L1144" s="25" t="str">
        <f t="shared" si="96"/>
        <v/>
      </c>
      <c r="M1144" s="37"/>
      <c r="N1144" s="37"/>
      <c r="O1144" s="33" t="str">
        <f t="shared" si="97"/>
        <v/>
      </c>
      <c r="P1144" s="33" t="str">
        <f t="shared" si="98"/>
        <v/>
      </c>
      <c r="X1144" s="1"/>
    </row>
    <row r="1145" spans="7:24">
      <c r="G1145" s="21"/>
      <c r="H1145" s="23"/>
      <c r="I1145" s="23" t="str">
        <f>_xlfn.IFNA(VLOOKUP(A1145,A1146:$H$3524,8,0),"")</f>
        <v/>
      </c>
      <c r="J1145" s="40" t="str">
        <f t="shared" si="94"/>
        <v/>
      </c>
      <c r="K1145" s="24" t="str">
        <f t="shared" si="95"/>
        <v/>
      </c>
      <c r="L1145" s="25" t="str">
        <f t="shared" si="96"/>
        <v/>
      </c>
      <c r="M1145" s="37"/>
      <c r="N1145" s="37"/>
      <c r="O1145" s="33" t="str">
        <f t="shared" si="97"/>
        <v/>
      </c>
      <c r="P1145" s="33" t="str">
        <f t="shared" si="98"/>
        <v/>
      </c>
      <c r="X1145" s="1"/>
    </row>
    <row r="1146" spans="7:24">
      <c r="G1146" s="21"/>
      <c r="H1146" s="23"/>
      <c r="I1146" s="23" t="str">
        <f>_xlfn.IFNA(VLOOKUP(A1146,A1147:$H$3524,8,0),"")</f>
        <v/>
      </c>
      <c r="J1146" s="40" t="str">
        <f t="shared" si="94"/>
        <v/>
      </c>
      <c r="K1146" s="24" t="str">
        <f t="shared" si="95"/>
        <v/>
      </c>
      <c r="L1146" s="25" t="str">
        <f t="shared" si="96"/>
        <v/>
      </c>
      <c r="M1146" s="37"/>
      <c r="N1146" s="37"/>
      <c r="O1146" s="33" t="str">
        <f t="shared" si="97"/>
        <v/>
      </c>
      <c r="P1146" s="33" t="str">
        <f t="shared" si="98"/>
        <v/>
      </c>
      <c r="X1146" s="1"/>
    </row>
    <row r="1147" spans="7:24">
      <c r="G1147" s="21"/>
      <c r="H1147" s="23"/>
      <c r="I1147" s="23" t="str">
        <f>_xlfn.IFNA(VLOOKUP(A1147,A1148:$H$3524,8,0),"")</f>
        <v/>
      </c>
      <c r="J1147" s="40" t="str">
        <f t="shared" si="94"/>
        <v/>
      </c>
      <c r="K1147" s="24" t="str">
        <f t="shared" si="95"/>
        <v/>
      </c>
      <c r="L1147" s="25" t="str">
        <f t="shared" si="96"/>
        <v/>
      </c>
      <c r="M1147" s="37"/>
      <c r="N1147" s="37"/>
      <c r="O1147" s="33" t="str">
        <f t="shared" si="97"/>
        <v/>
      </c>
      <c r="P1147" s="33" t="str">
        <f t="shared" si="98"/>
        <v/>
      </c>
      <c r="X1147" s="1"/>
    </row>
    <row r="1148" spans="7:24">
      <c r="G1148" s="21"/>
      <c r="H1148" s="23"/>
      <c r="I1148" s="23" t="str">
        <f>_xlfn.IFNA(VLOOKUP(A1148,A1149:$H$3524,8,0),"")</f>
        <v/>
      </c>
      <c r="J1148" s="40" t="str">
        <f t="shared" si="94"/>
        <v/>
      </c>
      <c r="K1148" s="24" t="str">
        <f t="shared" si="95"/>
        <v/>
      </c>
      <c r="L1148" s="25" t="str">
        <f t="shared" si="96"/>
        <v/>
      </c>
      <c r="M1148" s="37"/>
      <c r="N1148" s="37"/>
      <c r="O1148" s="33" t="str">
        <f t="shared" si="97"/>
        <v/>
      </c>
      <c r="P1148" s="33" t="str">
        <f t="shared" si="98"/>
        <v/>
      </c>
      <c r="X1148" s="1"/>
    </row>
    <row r="1149" spans="7:24">
      <c r="G1149" s="21"/>
      <c r="H1149" s="23"/>
      <c r="I1149" s="23" t="str">
        <f>_xlfn.IFNA(VLOOKUP(A1149,A1150:$H$3524,8,0),"")</f>
        <v/>
      </c>
      <c r="J1149" s="40" t="str">
        <f t="shared" si="94"/>
        <v/>
      </c>
      <c r="K1149" s="24" t="str">
        <f t="shared" si="95"/>
        <v/>
      </c>
      <c r="L1149" s="25" t="str">
        <f t="shared" si="96"/>
        <v/>
      </c>
      <c r="M1149" s="37"/>
      <c r="N1149" s="37"/>
      <c r="O1149" s="33" t="str">
        <f t="shared" si="97"/>
        <v/>
      </c>
      <c r="P1149" s="33" t="str">
        <f t="shared" si="98"/>
        <v/>
      </c>
      <c r="X1149" s="1"/>
    </row>
    <row r="1150" spans="7:24">
      <c r="G1150" s="21"/>
      <c r="H1150" s="23"/>
      <c r="I1150" s="23" t="str">
        <f>_xlfn.IFNA(VLOOKUP(A1150,A1151:$H$3524,8,0),"")</f>
        <v/>
      </c>
      <c r="J1150" s="40" t="str">
        <f t="shared" si="94"/>
        <v/>
      </c>
      <c r="K1150" s="24" t="str">
        <f t="shared" si="95"/>
        <v/>
      </c>
      <c r="L1150" s="25" t="str">
        <f t="shared" si="96"/>
        <v/>
      </c>
      <c r="M1150" s="37"/>
      <c r="N1150" s="37"/>
      <c r="O1150" s="33" t="str">
        <f t="shared" si="97"/>
        <v/>
      </c>
      <c r="P1150" s="33" t="str">
        <f t="shared" si="98"/>
        <v/>
      </c>
      <c r="X1150" s="1"/>
    </row>
    <row r="1151" spans="7:24">
      <c r="G1151" s="21"/>
      <c r="H1151" s="23"/>
      <c r="I1151" s="23" t="str">
        <f>_xlfn.IFNA(VLOOKUP(A1151,A1152:$H$3524,8,0),"")</f>
        <v/>
      </c>
      <c r="J1151" s="40" t="str">
        <f t="shared" si="94"/>
        <v/>
      </c>
      <c r="K1151" s="24" t="str">
        <f t="shared" si="95"/>
        <v/>
      </c>
      <c r="L1151" s="25" t="str">
        <f t="shared" si="96"/>
        <v/>
      </c>
      <c r="M1151" s="37"/>
      <c r="N1151" s="37"/>
      <c r="O1151" s="33" t="str">
        <f t="shared" si="97"/>
        <v/>
      </c>
      <c r="P1151" s="33" t="str">
        <f t="shared" si="98"/>
        <v/>
      </c>
      <c r="X1151" s="1"/>
    </row>
    <row r="1152" spans="7:24">
      <c r="G1152" s="21"/>
      <c r="H1152" s="23"/>
      <c r="I1152" s="23" t="str">
        <f>_xlfn.IFNA(VLOOKUP(A1152,A1153:$H$3524,8,0),"")</f>
        <v/>
      </c>
      <c r="J1152" s="40" t="str">
        <f t="shared" si="94"/>
        <v/>
      </c>
      <c r="K1152" s="24" t="str">
        <f t="shared" si="95"/>
        <v/>
      </c>
      <c r="L1152" s="25" t="str">
        <f t="shared" si="96"/>
        <v/>
      </c>
      <c r="M1152" s="37"/>
      <c r="N1152" s="37"/>
      <c r="O1152" s="33" t="str">
        <f t="shared" si="97"/>
        <v/>
      </c>
      <c r="P1152" s="33" t="str">
        <f t="shared" si="98"/>
        <v/>
      </c>
      <c r="X1152" s="1"/>
    </row>
    <row r="1153" spans="7:24">
      <c r="G1153" s="21"/>
      <c r="H1153" s="23"/>
      <c r="I1153" s="23" t="str">
        <f>_xlfn.IFNA(VLOOKUP(A1153,A1154:$H$3524,8,0),"")</f>
        <v/>
      </c>
      <c r="J1153" s="40" t="str">
        <f t="shared" si="94"/>
        <v/>
      </c>
      <c r="K1153" s="24" t="str">
        <f t="shared" si="95"/>
        <v/>
      </c>
      <c r="L1153" s="25" t="str">
        <f t="shared" si="96"/>
        <v/>
      </c>
      <c r="M1153" s="37"/>
      <c r="N1153" s="37"/>
      <c r="O1153" s="33" t="str">
        <f t="shared" si="97"/>
        <v/>
      </c>
      <c r="P1153" s="33" t="str">
        <f t="shared" si="98"/>
        <v/>
      </c>
      <c r="X1153" s="1"/>
    </row>
    <row r="1154" spans="7:24">
      <c r="G1154" s="21"/>
      <c r="H1154" s="23"/>
      <c r="I1154" s="23" t="str">
        <f>_xlfn.IFNA(VLOOKUP(A1154,A1155:$H$3524,8,0),"")</f>
        <v/>
      </c>
      <c r="J1154" s="40" t="str">
        <f t="shared" si="94"/>
        <v/>
      </c>
      <c r="K1154" s="24" t="str">
        <f t="shared" si="95"/>
        <v/>
      </c>
      <c r="L1154" s="25" t="str">
        <f t="shared" si="96"/>
        <v/>
      </c>
      <c r="M1154" s="37"/>
      <c r="N1154" s="37"/>
      <c r="O1154" s="33" t="str">
        <f t="shared" si="97"/>
        <v/>
      </c>
      <c r="P1154" s="33" t="str">
        <f t="shared" si="98"/>
        <v/>
      </c>
      <c r="X1154" s="1"/>
    </row>
    <row r="1155" spans="7:24">
      <c r="G1155" s="21"/>
      <c r="H1155" s="23"/>
      <c r="I1155" s="23" t="str">
        <f>_xlfn.IFNA(VLOOKUP(A1155,A1156:$H$3524,8,0),"")</f>
        <v/>
      </c>
      <c r="J1155" s="40" t="str">
        <f t="shared" si="94"/>
        <v/>
      </c>
      <c r="K1155" s="24" t="str">
        <f t="shared" si="95"/>
        <v/>
      </c>
      <c r="L1155" s="25" t="str">
        <f t="shared" si="96"/>
        <v/>
      </c>
      <c r="M1155" s="37"/>
      <c r="N1155" s="37"/>
      <c r="O1155" s="33" t="str">
        <f t="shared" si="97"/>
        <v/>
      </c>
      <c r="P1155" s="33" t="str">
        <f t="shared" si="98"/>
        <v/>
      </c>
      <c r="X1155" s="1"/>
    </row>
    <row r="1156" spans="7:24">
      <c r="G1156" s="21"/>
      <c r="H1156" s="23"/>
      <c r="I1156" s="23" t="str">
        <f>_xlfn.IFNA(VLOOKUP(A1156,A1157:$H$3524,8,0),"")</f>
        <v/>
      </c>
      <c r="J1156" s="40" t="str">
        <f t="shared" si="94"/>
        <v/>
      </c>
      <c r="K1156" s="24" t="str">
        <f t="shared" si="95"/>
        <v/>
      </c>
      <c r="L1156" s="25" t="str">
        <f t="shared" si="96"/>
        <v/>
      </c>
      <c r="M1156" s="37"/>
      <c r="N1156" s="37"/>
      <c r="O1156" s="33" t="str">
        <f t="shared" si="97"/>
        <v/>
      </c>
      <c r="P1156" s="33" t="str">
        <f t="shared" si="98"/>
        <v/>
      </c>
      <c r="X1156" s="1"/>
    </row>
    <row r="1157" spans="7:24">
      <c r="G1157" s="21"/>
      <c r="H1157" s="23"/>
      <c r="I1157" s="23" t="str">
        <f>_xlfn.IFNA(VLOOKUP(A1157,A1158:$H$3524,8,0),"")</f>
        <v/>
      </c>
      <c r="J1157" s="40" t="str">
        <f t="shared" si="94"/>
        <v/>
      </c>
      <c r="K1157" s="24" t="str">
        <f t="shared" si="95"/>
        <v/>
      </c>
      <c r="L1157" s="25" t="str">
        <f t="shared" si="96"/>
        <v/>
      </c>
      <c r="M1157" s="37"/>
      <c r="N1157" s="37"/>
      <c r="O1157" s="33" t="str">
        <f t="shared" si="97"/>
        <v/>
      </c>
      <c r="P1157" s="33" t="str">
        <f t="shared" si="98"/>
        <v/>
      </c>
      <c r="X1157" s="1"/>
    </row>
    <row r="1158" spans="7:24">
      <c r="G1158" s="21"/>
      <c r="H1158" s="23"/>
      <c r="I1158" s="23" t="str">
        <f>_xlfn.IFNA(VLOOKUP(A1158,A1159:$H$3524,8,0),"")</f>
        <v/>
      </c>
      <c r="J1158" s="40" t="str">
        <f t="shared" ref="J1158:J1221" si="99">IF(B1158="OFF",0,IF(AND(D1158&lt;&gt;"",E1158&lt;&gt;""),E1158-D1158+1,""))</f>
        <v/>
      </c>
      <c r="K1158" s="24" t="str">
        <f t="shared" si="95"/>
        <v/>
      </c>
      <c r="L1158" s="25" t="str">
        <f t="shared" si="96"/>
        <v/>
      </c>
      <c r="M1158" s="37"/>
      <c r="N1158" s="37"/>
      <c r="O1158" s="33" t="str">
        <f t="shared" si="97"/>
        <v/>
      </c>
      <c r="P1158" s="33" t="str">
        <f t="shared" si="98"/>
        <v/>
      </c>
      <c r="X1158" s="1"/>
    </row>
    <row r="1159" spans="7:24">
      <c r="G1159" s="21"/>
      <c r="H1159" s="23"/>
      <c r="I1159" s="23" t="str">
        <f>_xlfn.IFNA(VLOOKUP(A1159,A1160:$H$3524,8,0),"")</f>
        <v/>
      </c>
      <c r="J1159" s="40" t="str">
        <f t="shared" si="99"/>
        <v/>
      </c>
      <c r="K1159" s="24" t="str">
        <f t="shared" si="95"/>
        <v/>
      </c>
      <c r="L1159" s="25" t="str">
        <f t="shared" si="96"/>
        <v/>
      </c>
      <c r="M1159" s="37"/>
      <c r="N1159" s="37"/>
      <c r="O1159" s="33" t="str">
        <f t="shared" si="97"/>
        <v/>
      </c>
      <c r="P1159" s="33" t="str">
        <f t="shared" si="98"/>
        <v/>
      </c>
      <c r="X1159" s="1"/>
    </row>
    <row r="1160" spans="7:24">
      <c r="G1160" s="21"/>
      <c r="H1160" s="23"/>
      <c r="I1160" s="23" t="str">
        <f>_xlfn.IFNA(VLOOKUP(A1160,A1161:$H$3524,8,0),"")</f>
        <v/>
      </c>
      <c r="J1160" s="40" t="str">
        <f t="shared" si="99"/>
        <v/>
      </c>
      <c r="K1160" s="24" t="str">
        <f t="shared" si="95"/>
        <v/>
      </c>
      <c r="L1160" s="25" t="str">
        <f t="shared" si="96"/>
        <v/>
      </c>
      <c r="M1160" s="37"/>
      <c r="N1160" s="37"/>
      <c r="O1160" s="33" t="str">
        <f t="shared" si="97"/>
        <v/>
      </c>
      <c r="P1160" s="33" t="str">
        <f t="shared" si="98"/>
        <v/>
      </c>
      <c r="X1160" s="1"/>
    </row>
    <row r="1161" spans="7:24">
      <c r="G1161" s="21"/>
      <c r="H1161" s="23"/>
      <c r="I1161" s="23" t="str">
        <f>_xlfn.IFNA(VLOOKUP(A1161,A1162:$H$3524,8,0),"")</f>
        <v/>
      </c>
      <c r="J1161" s="40" t="str">
        <f t="shared" si="99"/>
        <v/>
      </c>
      <c r="K1161" s="24" t="str">
        <f t="shared" si="95"/>
        <v/>
      </c>
      <c r="L1161" s="25" t="str">
        <f t="shared" si="96"/>
        <v/>
      </c>
      <c r="M1161" s="37"/>
      <c r="N1161" s="37"/>
      <c r="O1161" s="33" t="str">
        <f t="shared" si="97"/>
        <v/>
      </c>
      <c r="P1161" s="33" t="str">
        <f t="shared" si="98"/>
        <v/>
      </c>
      <c r="X1161" s="1"/>
    </row>
    <row r="1162" spans="7:24">
      <c r="G1162" s="21"/>
      <c r="H1162" s="23"/>
      <c r="I1162" s="23" t="str">
        <f>_xlfn.IFNA(VLOOKUP(A1162,A1163:$H$3524,8,0),"")</f>
        <v/>
      </c>
      <c r="J1162" s="40" t="str">
        <f t="shared" si="99"/>
        <v/>
      </c>
      <c r="K1162" s="24" t="str">
        <f t="shared" si="95"/>
        <v/>
      </c>
      <c r="L1162" s="25" t="str">
        <f t="shared" si="96"/>
        <v/>
      </c>
      <c r="M1162" s="37"/>
      <c r="N1162" s="37"/>
      <c r="O1162" s="33" t="str">
        <f t="shared" si="97"/>
        <v/>
      </c>
      <c r="P1162" s="33" t="str">
        <f t="shared" si="98"/>
        <v/>
      </c>
      <c r="X1162" s="1"/>
    </row>
    <row r="1163" spans="7:24">
      <c r="G1163" s="21"/>
      <c r="H1163" s="23"/>
      <c r="I1163" s="23" t="str">
        <f>_xlfn.IFNA(VLOOKUP(A1163,A1164:$H$3524,8,0),"")</f>
        <v/>
      </c>
      <c r="J1163" s="40" t="str">
        <f t="shared" si="99"/>
        <v/>
      </c>
      <c r="K1163" s="24" t="str">
        <f t="shared" si="95"/>
        <v/>
      </c>
      <c r="L1163" s="25" t="str">
        <f t="shared" si="96"/>
        <v/>
      </c>
      <c r="M1163" s="37"/>
      <c r="N1163" s="37"/>
      <c r="O1163" s="33" t="str">
        <f t="shared" si="97"/>
        <v/>
      </c>
      <c r="P1163" s="33" t="str">
        <f t="shared" si="98"/>
        <v/>
      </c>
      <c r="X1163" s="1"/>
    </row>
    <row r="1164" spans="7:24">
      <c r="G1164" s="21"/>
      <c r="H1164" s="23"/>
      <c r="I1164" s="23" t="str">
        <f>_xlfn.IFNA(VLOOKUP(A1164,A1165:$H$3524,8,0),"")</f>
        <v/>
      </c>
      <c r="J1164" s="40" t="str">
        <f t="shared" si="99"/>
        <v/>
      </c>
      <c r="K1164" s="24" t="str">
        <f t="shared" si="95"/>
        <v/>
      </c>
      <c r="L1164" s="25" t="str">
        <f t="shared" si="96"/>
        <v/>
      </c>
      <c r="M1164" s="37"/>
      <c r="N1164" s="37"/>
      <c r="O1164" s="33" t="str">
        <f t="shared" si="97"/>
        <v/>
      </c>
      <c r="P1164" s="33" t="str">
        <f t="shared" si="98"/>
        <v/>
      </c>
      <c r="X1164" s="1"/>
    </row>
    <row r="1165" spans="7:24">
      <c r="G1165" s="21"/>
      <c r="H1165" s="23"/>
      <c r="I1165" s="23" t="str">
        <f>_xlfn.IFNA(VLOOKUP(A1165,A1166:$H$3524,8,0),"")</f>
        <v/>
      </c>
      <c r="J1165" s="40" t="str">
        <f t="shared" si="99"/>
        <v/>
      </c>
      <c r="K1165" s="24" t="str">
        <f t="shared" si="95"/>
        <v/>
      </c>
      <c r="L1165" s="25" t="str">
        <f t="shared" si="96"/>
        <v/>
      </c>
      <c r="M1165" s="37"/>
      <c r="N1165" s="37"/>
      <c r="O1165" s="33" t="str">
        <f t="shared" si="97"/>
        <v/>
      </c>
      <c r="P1165" s="33" t="str">
        <f t="shared" si="98"/>
        <v/>
      </c>
      <c r="X1165" s="1"/>
    </row>
    <row r="1166" spans="7:24">
      <c r="G1166" s="21"/>
      <c r="H1166" s="23"/>
      <c r="I1166" s="23" t="str">
        <f>_xlfn.IFNA(VLOOKUP(A1166,A1167:$H$3524,8,0),"")</f>
        <v/>
      </c>
      <c r="J1166" s="40" t="str">
        <f t="shared" si="99"/>
        <v/>
      </c>
      <c r="K1166" s="24" t="str">
        <f t="shared" si="95"/>
        <v/>
      </c>
      <c r="L1166" s="25" t="str">
        <f t="shared" si="96"/>
        <v/>
      </c>
      <c r="M1166" s="37"/>
      <c r="N1166" s="37"/>
      <c r="O1166" s="33" t="str">
        <f t="shared" si="97"/>
        <v/>
      </c>
      <c r="P1166" s="33" t="str">
        <f t="shared" si="98"/>
        <v/>
      </c>
      <c r="X1166" s="1"/>
    </row>
    <row r="1167" spans="7:24">
      <c r="G1167" s="21"/>
      <c r="H1167" s="23"/>
      <c r="I1167" s="23" t="str">
        <f>_xlfn.IFNA(VLOOKUP(A1167,A1168:$H$3524,8,0),"")</f>
        <v/>
      </c>
      <c r="J1167" s="40" t="str">
        <f t="shared" si="99"/>
        <v/>
      </c>
      <c r="K1167" s="24" t="str">
        <f t="shared" si="95"/>
        <v/>
      </c>
      <c r="L1167" s="25" t="str">
        <f t="shared" si="96"/>
        <v/>
      </c>
      <c r="M1167" s="37"/>
      <c r="N1167" s="37"/>
      <c r="O1167" s="33" t="str">
        <f t="shared" si="97"/>
        <v/>
      </c>
      <c r="P1167" s="33" t="str">
        <f t="shared" si="98"/>
        <v/>
      </c>
      <c r="X1167" s="1"/>
    </row>
    <row r="1168" spans="7:24">
      <c r="G1168" s="21"/>
      <c r="H1168" s="23"/>
      <c r="I1168" s="23" t="str">
        <f>_xlfn.IFNA(VLOOKUP(A1168,A1169:$H$3524,8,0),"")</f>
        <v/>
      </c>
      <c r="J1168" s="40" t="str">
        <f t="shared" si="99"/>
        <v/>
      </c>
      <c r="K1168" s="24" t="str">
        <f t="shared" si="95"/>
        <v/>
      </c>
      <c r="L1168" s="25" t="str">
        <f t="shared" si="96"/>
        <v/>
      </c>
      <c r="M1168" s="37"/>
      <c r="N1168" s="37"/>
      <c r="O1168" s="33" t="str">
        <f t="shared" si="97"/>
        <v/>
      </c>
      <c r="P1168" s="33" t="str">
        <f t="shared" si="98"/>
        <v/>
      </c>
      <c r="X1168" s="1"/>
    </row>
    <row r="1169" spans="7:24">
      <c r="G1169" s="21"/>
      <c r="H1169" s="23"/>
      <c r="I1169" s="23" t="str">
        <f>_xlfn.IFNA(VLOOKUP(A1169,A1170:$H$3524,8,0),"")</f>
        <v/>
      </c>
      <c r="J1169" s="40" t="str">
        <f t="shared" si="99"/>
        <v/>
      </c>
      <c r="K1169" s="24" t="str">
        <f t="shared" si="95"/>
        <v/>
      </c>
      <c r="L1169" s="25" t="str">
        <f t="shared" si="96"/>
        <v/>
      </c>
      <c r="M1169" s="37"/>
      <c r="N1169" s="37"/>
      <c r="O1169" s="33" t="str">
        <f t="shared" si="97"/>
        <v/>
      </c>
      <c r="P1169" s="33" t="str">
        <f t="shared" si="98"/>
        <v/>
      </c>
      <c r="X1169" s="1"/>
    </row>
    <row r="1170" spans="7:24">
      <c r="G1170" s="21"/>
      <c r="H1170" s="23"/>
      <c r="I1170" s="23" t="str">
        <f>_xlfn.IFNA(VLOOKUP(A1170,A1171:$H$3524,8,0),"")</f>
        <v/>
      </c>
      <c r="J1170" s="40" t="str">
        <f t="shared" si="99"/>
        <v/>
      </c>
      <c r="K1170" s="24" t="str">
        <f t="shared" si="95"/>
        <v/>
      </c>
      <c r="L1170" s="25" t="str">
        <f t="shared" si="96"/>
        <v/>
      </c>
      <c r="M1170" s="37"/>
      <c r="N1170" s="37"/>
      <c r="O1170" s="33" t="str">
        <f t="shared" si="97"/>
        <v/>
      </c>
      <c r="P1170" s="33" t="str">
        <f t="shared" si="98"/>
        <v/>
      </c>
      <c r="X1170" s="1"/>
    </row>
    <row r="1171" spans="7:24">
      <c r="G1171" s="21"/>
      <c r="H1171" s="23"/>
      <c r="I1171" s="23" t="str">
        <f>_xlfn.IFNA(VLOOKUP(A1171,A1172:$H$3524,8,0),"")</f>
        <v/>
      </c>
      <c r="J1171" s="40" t="str">
        <f t="shared" si="99"/>
        <v/>
      </c>
      <c r="K1171" s="24" t="str">
        <f t="shared" si="95"/>
        <v/>
      </c>
      <c r="L1171" s="25" t="str">
        <f t="shared" si="96"/>
        <v/>
      </c>
      <c r="M1171" s="37"/>
      <c r="N1171" s="37"/>
      <c r="O1171" s="33" t="str">
        <f t="shared" si="97"/>
        <v/>
      </c>
      <c r="P1171" s="33" t="str">
        <f t="shared" si="98"/>
        <v/>
      </c>
      <c r="X1171" s="1"/>
    </row>
    <row r="1172" spans="7:24">
      <c r="G1172" s="21"/>
      <c r="H1172" s="23"/>
      <c r="I1172" s="23" t="str">
        <f>_xlfn.IFNA(VLOOKUP(A1172,A1173:$H$3524,8,0),"")</f>
        <v/>
      </c>
      <c r="J1172" s="40" t="str">
        <f t="shared" si="99"/>
        <v/>
      </c>
      <c r="K1172" s="24" t="str">
        <f t="shared" si="95"/>
        <v/>
      </c>
      <c r="L1172" s="25" t="str">
        <f t="shared" si="96"/>
        <v/>
      </c>
      <c r="M1172" s="37"/>
      <c r="N1172" s="37"/>
      <c r="O1172" s="33" t="str">
        <f t="shared" si="97"/>
        <v/>
      </c>
      <c r="P1172" s="33" t="str">
        <f t="shared" si="98"/>
        <v/>
      </c>
      <c r="X1172" s="1"/>
    </row>
    <row r="1173" spans="7:24">
      <c r="G1173" s="21"/>
      <c r="H1173" s="23"/>
      <c r="I1173" s="23" t="str">
        <f>_xlfn.IFNA(VLOOKUP(A1173,A1174:$H$3524,8,0),"")</f>
        <v/>
      </c>
      <c r="J1173" s="40" t="str">
        <f t="shared" si="99"/>
        <v/>
      </c>
      <c r="K1173" s="24" t="str">
        <f t="shared" si="95"/>
        <v/>
      </c>
      <c r="L1173" s="25" t="str">
        <f t="shared" si="96"/>
        <v/>
      </c>
      <c r="M1173" s="37"/>
      <c r="N1173" s="37"/>
      <c r="O1173" s="33" t="str">
        <f t="shared" si="97"/>
        <v/>
      </c>
      <c r="P1173" s="33" t="str">
        <f t="shared" si="98"/>
        <v/>
      </c>
      <c r="X1173" s="1"/>
    </row>
    <row r="1174" spans="7:24">
      <c r="G1174" s="21"/>
      <c r="H1174" s="23"/>
      <c r="I1174" s="23" t="str">
        <f>_xlfn.IFNA(VLOOKUP(A1174,A1175:$H$3524,8,0),"")</f>
        <v/>
      </c>
      <c r="J1174" s="40" t="str">
        <f t="shared" si="99"/>
        <v/>
      </c>
      <c r="K1174" s="24" t="str">
        <f t="shared" ref="K1174:K1237" si="100">IF(H1174="","",IFERROR((I1174-H1174)*24,0))</f>
        <v/>
      </c>
      <c r="L1174" s="25" t="str">
        <f t="shared" si="96"/>
        <v/>
      </c>
      <c r="M1174" s="37"/>
      <c r="N1174" s="37"/>
      <c r="O1174" s="33" t="str">
        <f t="shared" si="97"/>
        <v/>
      </c>
      <c r="P1174" s="33" t="str">
        <f t="shared" si="98"/>
        <v/>
      </c>
      <c r="X1174" s="1"/>
    </row>
    <row r="1175" spans="7:24">
      <c r="G1175" s="21"/>
      <c r="H1175" s="23"/>
      <c r="I1175" s="23" t="str">
        <f>_xlfn.IFNA(VLOOKUP(A1175,A1176:$H$3524,8,0),"")</f>
        <v/>
      </c>
      <c r="J1175" s="40" t="str">
        <f t="shared" si="99"/>
        <v/>
      </c>
      <c r="K1175" s="24" t="str">
        <f t="shared" si="100"/>
        <v/>
      </c>
      <c r="L1175" s="25" t="str">
        <f t="shared" si="96"/>
        <v/>
      </c>
      <c r="M1175" s="37"/>
      <c r="N1175" s="37"/>
      <c r="O1175" s="33" t="str">
        <f t="shared" si="97"/>
        <v/>
      </c>
      <c r="P1175" s="33" t="str">
        <f t="shared" si="98"/>
        <v/>
      </c>
      <c r="X1175" s="1"/>
    </row>
    <row r="1176" spans="7:24">
      <c r="G1176" s="21"/>
      <c r="H1176" s="23"/>
      <c r="I1176" s="23" t="str">
        <f>_xlfn.IFNA(VLOOKUP(A1176,A1177:$H$3524,8,0),"")</f>
        <v/>
      </c>
      <c r="J1176" s="40" t="str">
        <f t="shared" si="99"/>
        <v/>
      </c>
      <c r="K1176" s="24" t="str">
        <f t="shared" si="100"/>
        <v/>
      </c>
      <c r="L1176" s="25" t="str">
        <f t="shared" si="96"/>
        <v/>
      </c>
      <c r="M1176" s="37"/>
      <c r="N1176" s="37"/>
      <c r="O1176" s="33" t="str">
        <f t="shared" si="97"/>
        <v/>
      </c>
      <c r="P1176" s="33" t="str">
        <f t="shared" si="98"/>
        <v/>
      </c>
      <c r="X1176" s="1"/>
    </row>
    <row r="1177" spans="7:24">
      <c r="G1177" s="21"/>
      <c r="H1177" s="23"/>
      <c r="I1177" s="23" t="str">
        <f>_xlfn.IFNA(VLOOKUP(A1177,A1178:$H$3524,8,0),"")</f>
        <v/>
      </c>
      <c r="J1177" s="40" t="str">
        <f t="shared" si="99"/>
        <v/>
      </c>
      <c r="K1177" s="24" t="str">
        <f t="shared" si="100"/>
        <v/>
      </c>
      <c r="L1177" s="25" t="str">
        <f t="shared" si="96"/>
        <v/>
      </c>
      <c r="M1177" s="37"/>
      <c r="N1177" s="37"/>
      <c r="O1177" s="33" t="str">
        <f t="shared" si="97"/>
        <v/>
      </c>
      <c r="P1177" s="33" t="str">
        <f t="shared" si="98"/>
        <v/>
      </c>
      <c r="X1177" s="1"/>
    </row>
    <row r="1178" spans="7:24">
      <c r="G1178" s="21"/>
      <c r="H1178" s="23"/>
      <c r="I1178" s="23" t="str">
        <f>_xlfn.IFNA(VLOOKUP(A1178,A1179:$H$3524,8,0),"")</f>
        <v/>
      </c>
      <c r="J1178" s="40" t="str">
        <f t="shared" si="99"/>
        <v/>
      </c>
      <c r="K1178" s="24" t="str">
        <f t="shared" si="100"/>
        <v/>
      </c>
      <c r="L1178" s="25" t="str">
        <f t="shared" si="96"/>
        <v/>
      </c>
      <c r="M1178" s="37"/>
      <c r="N1178" s="37"/>
      <c r="O1178" s="33" t="str">
        <f t="shared" si="97"/>
        <v/>
      </c>
      <c r="P1178" s="33" t="str">
        <f t="shared" si="98"/>
        <v/>
      </c>
      <c r="X1178" s="1"/>
    </row>
    <row r="1179" spans="7:24">
      <c r="G1179" s="21"/>
      <c r="H1179" s="23"/>
      <c r="I1179" s="23" t="str">
        <f>_xlfn.IFNA(VLOOKUP(A1179,A1180:$H$3524,8,0),"")</f>
        <v/>
      </c>
      <c r="J1179" s="40" t="str">
        <f t="shared" si="99"/>
        <v/>
      </c>
      <c r="K1179" s="24" t="str">
        <f t="shared" si="100"/>
        <v/>
      </c>
      <c r="L1179" s="25" t="str">
        <f t="shared" si="96"/>
        <v/>
      </c>
      <c r="M1179" s="37"/>
      <c r="N1179" s="37"/>
      <c r="O1179" s="33" t="str">
        <f t="shared" si="97"/>
        <v/>
      </c>
      <c r="P1179" s="33" t="str">
        <f t="shared" si="98"/>
        <v/>
      </c>
      <c r="X1179" s="1"/>
    </row>
    <row r="1180" spans="7:24">
      <c r="G1180" s="21"/>
      <c r="H1180" s="23"/>
      <c r="I1180" s="23" t="str">
        <f>_xlfn.IFNA(VLOOKUP(A1180,A1181:$H$3524,8,0),"")</f>
        <v/>
      </c>
      <c r="J1180" s="40" t="str">
        <f t="shared" si="99"/>
        <v/>
      </c>
      <c r="K1180" s="24" t="str">
        <f t="shared" si="100"/>
        <v/>
      </c>
      <c r="L1180" s="25" t="str">
        <f t="shared" si="96"/>
        <v/>
      </c>
      <c r="M1180" s="37"/>
      <c r="N1180" s="37"/>
      <c r="O1180" s="33" t="str">
        <f t="shared" si="97"/>
        <v/>
      </c>
      <c r="P1180" s="33" t="str">
        <f t="shared" si="98"/>
        <v/>
      </c>
      <c r="X1180" s="1"/>
    </row>
    <row r="1181" spans="7:24">
      <c r="G1181" s="21"/>
      <c r="H1181" s="23"/>
      <c r="I1181" s="23" t="str">
        <f>_xlfn.IFNA(VLOOKUP(A1181,A1182:$H$3524,8,0),"")</f>
        <v/>
      </c>
      <c r="J1181" s="40" t="str">
        <f t="shared" si="99"/>
        <v/>
      </c>
      <c r="K1181" s="24" t="str">
        <f t="shared" si="100"/>
        <v/>
      </c>
      <c r="L1181" s="25" t="str">
        <f t="shared" si="96"/>
        <v/>
      </c>
      <c r="M1181" s="37"/>
      <c r="N1181" s="37"/>
      <c r="O1181" s="33" t="str">
        <f t="shared" si="97"/>
        <v/>
      </c>
      <c r="P1181" s="33" t="str">
        <f t="shared" si="98"/>
        <v/>
      </c>
      <c r="X1181" s="1"/>
    </row>
    <row r="1182" spans="7:24">
      <c r="G1182" s="21"/>
      <c r="H1182" s="23"/>
      <c r="I1182" s="23" t="str">
        <f>_xlfn.IFNA(VLOOKUP(A1182,A1183:$H$3524,8,0),"")</f>
        <v/>
      </c>
      <c r="J1182" s="40" t="str">
        <f t="shared" si="99"/>
        <v/>
      </c>
      <c r="K1182" s="24" t="str">
        <f t="shared" si="100"/>
        <v/>
      </c>
      <c r="L1182" s="25" t="str">
        <f t="shared" si="96"/>
        <v/>
      </c>
      <c r="M1182" s="37"/>
      <c r="N1182" s="37"/>
      <c r="O1182" s="33" t="str">
        <f t="shared" si="97"/>
        <v/>
      </c>
      <c r="P1182" s="33" t="str">
        <f t="shared" si="98"/>
        <v/>
      </c>
      <c r="X1182" s="1"/>
    </row>
    <row r="1183" spans="7:24">
      <c r="G1183" s="21"/>
      <c r="H1183" s="23"/>
      <c r="I1183" s="23" t="str">
        <f>_xlfn.IFNA(VLOOKUP(A1183,A1184:$H$3524,8,0),"")</f>
        <v/>
      </c>
      <c r="J1183" s="40" t="str">
        <f t="shared" si="99"/>
        <v/>
      </c>
      <c r="K1183" s="24" t="str">
        <f t="shared" si="100"/>
        <v/>
      </c>
      <c r="L1183" s="25" t="str">
        <f t="shared" si="96"/>
        <v/>
      </c>
      <c r="M1183" s="37"/>
      <c r="N1183" s="37"/>
      <c r="O1183" s="33" t="str">
        <f t="shared" si="97"/>
        <v/>
      </c>
      <c r="P1183" s="33" t="str">
        <f t="shared" si="98"/>
        <v/>
      </c>
      <c r="X1183" s="1"/>
    </row>
    <row r="1184" spans="7:24">
      <c r="G1184" s="21"/>
      <c r="H1184" s="23"/>
      <c r="I1184" s="23" t="str">
        <f>_xlfn.IFNA(VLOOKUP(A1184,A1185:$H$3524,8,0),"")</f>
        <v/>
      </c>
      <c r="J1184" s="40" t="str">
        <f t="shared" si="99"/>
        <v/>
      </c>
      <c r="K1184" s="24" t="str">
        <f t="shared" si="100"/>
        <v/>
      </c>
      <c r="L1184" s="25" t="str">
        <f t="shared" si="96"/>
        <v/>
      </c>
      <c r="M1184" s="37"/>
      <c r="N1184" s="37"/>
      <c r="O1184" s="33" t="str">
        <f t="shared" si="97"/>
        <v/>
      </c>
      <c r="P1184" s="33" t="str">
        <f t="shared" si="98"/>
        <v/>
      </c>
      <c r="X1184" s="1"/>
    </row>
    <row r="1185" spans="7:24">
      <c r="G1185" s="21"/>
      <c r="H1185" s="23"/>
      <c r="I1185" s="23" t="str">
        <f>_xlfn.IFNA(VLOOKUP(A1185,A1186:$H$3524,8,0),"")</f>
        <v/>
      </c>
      <c r="J1185" s="40" t="str">
        <f t="shared" si="99"/>
        <v/>
      </c>
      <c r="K1185" s="24" t="str">
        <f t="shared" si="100"/>
        <v/>
      </c>
      <c r="L1185" s="25" t="str">
        <f t="shared" si="96"/>
        <v/>
      </c>
      <c r="M1185" s="37"/>
      <c r="N1185" s="37"/>
      <c r="O1185" s="33" t="str">
        <f t="shared" si="97"/>
        <v/>
      </c>
      <c r="P1185" s="33" t="str">
        <f t="shared" si="98"/>
        <v/>
      </c>
      <c r="X1185" s="1"/>
    </row>
    <row r="1186" spans="7:24">
      <c r="G1186" s="21"/>
      <c r="H1186" s="23"/>
      <c r="I1186" s="23" t="str">
        <f>_xlfn.IFNA(VLOOKUP(A1186,A1187:$H$3524,8,0),"")</f>
        <v/>
      </c>
      <c r="J1186" s="40" t="str">
        <f t="shared" si="99"/>
        <v/>
      </c>
      <c r="K1186" s="24" t="str">
        <f t="shared" si="100"/>
        <v/>
      </c>
      <c r="L1186" s="25" t="str">
        <f t="shared" si="96"/>
        <v/>
      </c>
      <c r="M1186" s="37"/>
      <c r="N1186" s="37"/>
      <c r="O1186" s="33" t="str">
        <f t="shared" si="97"/>
        <v/>
      </c>
      <c r="P1186" s="33" t="str">
        <f t="shared" si="98"/>
        <v/>
      </c>
      <c r="X1186" s="1"/>
    </row>
    <row r="1187" spans="7:24">
      <c r="G1187" s="21"/>
      <c r="H1187" s="23"/>
      <c r="I1187" s="23" t="str">
        <f>_xlfn.IFNA(VLOOKUP(A1187,A1188:$H$3524,8,0),"")</f>
        <v/>
      </c>
      <c r="J1187" s="40" t="str">
        <f t="shared" si="99"/>
        <v/>
      </c>
      <c r="K1187" s="24" t="str">
        <f t="shared" si="100"/>
        <v/>
      </c>
      <c r="L1187" s="25" t="str">
        <f t="shared" si="96"/>
        <v/>
      </c>
      <c r="M1187" s="37"/>
      <c r="N1187" s="37"/>
      <c r="O1187" s="33" t="str">
        <f t="shared" si="97"/>
        <v/>
      </c>
      <c r="P1187" s="33" t="str">
        <f t="shared" si="98"/>
        <v/>
      </c>
      <c r="X1187" s="1"/>
    </row>
    <row r="1188" spans="7:24">
      <c r="G1188" s="21"/>
      <c r="H1188" s="23"/>
      <c r="I1188" s="23" t="str">
        <f>_xlfn.IFNA(VLOOKUP(A1188,A1189:$H$3524,8,0),"")</f>
        <v/>
      </c>
      <c r="J1188" s="40" t="str">
        <f t="shared" si="99"/>
        <v/>
      </c>
      <c r="K1188" s="24" t="str">
        <f t="shared" si="100"/>
        <v/>
      </c>
      <c r="L1188" s="25" t="str">
        <f t="shared" si="96"/>
        <v/>
      </c>
      <c r="M1188" s="37"/>
      <c r="N1188" s="37"/>
      <c r="O1188" s="33" t="str">
        <f t="shared" si="97"/>
        <v/>
      </c>
      <c r="P1188" s="33" t="str">
        <f t="shared" si="98"/>
        <v/>
      </c>
      <c r="X1188" s="1"/>
    </row>
    <row r="1189" spans="7:24">
      <c r="G1189" s="21"/>
      <c r="H1189" s="23"/>
      <c r="I1189" s="23" t="str">
        <f>_xlfn.IFNA(VLOOKUP(A1189,A1190:$H$3524,8,0),"")</f>
        <v/>
      </c>
      <c r="J1189" s="40" t="str">
        <f t="shared" si="99"/>
        <v/>
      </c>
      <c r="K1189" s="24" t="str">
        <f t="shared" si="100"/>
        <v/>
      </c>
      <c r="L1189" s="25" t="str">
        <f t="shared" si="96"/>
        <v/>
      </c>
      <c r="M1189" s="37"/>
      <c r="N1189" s="37"/>
      <c r="O1189" s="33" t="str">
        <f t="shared" si="97"/>
        <v/>
      </c>
      <c r="P1189" s="33" t="str">
        <f t="shared" si="98"/>
        <v/>
      </c>
      <c r="X1189" s="1"/>
    </row>
    <row r="1190" spans="7:24">
      <c r="G1190" s="21"/>
      <c r="H1190" s="23"/>
      <c r="I1190" s="23" t="str">
        <f>_xlfn.IFNA(VLOOKUP(A1190,A1191:$H$3524,8,0),"")</f>
        <v/>
      </c>
      <c r="J1190" s="40" t="str">
        <f t="shared" si="99"/>
        <v/>
      </c>
      <c r="K1190" s="24" t="str">
        <f t="shared" si="100"/>
        <v/>
      </c>
      <c r="L1190" s="25" t="str">
        <f t="shared" si="96"/>
        <v/>
      </c>
      <c r="M1190" s="37"/>
      <c r="N1190" s="37"/>
      <c r="O1190" s="33" t="str">
        <f t="shared" si="97"/>
        <v/>
      </c>
      <c r="P1190" s="33" t="str">
        <f t="shared" si="98"/>
        <v/>
      </c>
      <c r="X1190" s="1"/>
    </row>
    <row r="1191" spans="7:24">
      <c r="G1191" s="21"/>
      <c r="H1191" s="23"/>
      <c r="I1191" s="23" t="str">
        <f>_xlfn.IFNA(VLOOKUP(A1191,A1192:$H$3524,8,0),"")</f>
        <v/>
      </c>
      <c r="J1191" s="40" t="str">
        <f t="shared" si="99"/>
        <v/>
      </c>
      <c r="K1191" s="24" t="str">
        <f t="shared" si="100"/>
        <v/>
      </c>
      <c r="L1191" s="25" t="str">
        <f t="shared" si="96"/>
        <v/>
      </c>
      <c r="M1191" s="37"/>
      <c r="N1191" s="37"/>
      <c r="O1191" s="33" t="str">
        <f t="shared" si="97"/>
        <v/>
      </c>
      <c r="P1191" s="33" t="str">
        <f t="shared" si="98"/>
        <v/>
      </c>
      <c r="X1191" s="1"/>
    </row>
    <row r="1192" spans="7:24">
      <c r="G1192" s="21"/>
      <c r="H1192" s="23"/>
      <c r="I1192" s="23" t="str">
        <f>_xlfn.IFNA(VLOOKUP(A1192,A1193:$H$3524,8,0),"")</f>
        <v/>
      </c>
      <c r="J1192" s="40" t="str">
        <f t="shared" si="99"/>
        <v/>
      </c>
      <c r="K1192" s="24" t="str">
        <f t="shared" si="100"/>
        <v/>
      </c>
      <c r="L1192" s="25" t="str">
        <f t="shared" si="96"/>
        <v/>
      </c>
      <c r="M1192" s="37"/>
      <c r="N1192" s="37"/>
      <c r="O1192" s="33" t="str">
        <f t="shared" si="97"/>
        <v/>
      </c>
      <c r="P1192" s="33" t="str">
        <f t="shared" si="98"/>
        <v/>
      </c>
      <c r="X1192" s="1"/>
    </row>
    <row r="1193" spans="7:24">
      <c r="G1193" s="21"/>
      <c r="H1193" s="23"/>
      <c r="I1193" s="23" t="str">
        <f>_xlfn.IFNA(VLOOKUP(A1193,A1194:$H$3524,8,0),"")</f>
        <v/>
      </c>
      <c r="J1193" s="40" t="str">
        <f t="shared" si="99"/>
        <v/>
      </c>
      <c r="K1193" s="24" t="str">
        <f t="shared" si="100"/>
        <v/>
      </c>
      <c r="L1193" s="25" t="str">
        <f t="shared" si="96"/>
        <v/>
      </c>
      <c r="M1193" s="37"/>
      <c r="N1193" s="37"/>
      <c r="O1193" s="33" t="str">
        <f t="shared" si="97"/>
        <v/>
      </c>
      <c r="P1193" s="33" t="str">
        <f t="shared" si="98"/>
        <v/>
      </c>
      <c r="X1193" s="1"/>
    </row>
    <row r="1194" spans="7:24">
      <c r="G1194" s="21"/>
      <c r="H1194" s="23"/>
      <c r="I1194" s="23" t="str">
        <f>_xlfn.IFNA(VLOOKUP(A1194,A1195:$H$3524,8,0),"")</f>
        <v/>
      </c>
      <c r="J1194" s="40" t="str">
        <f t="shared" si="99"/>
        <v/>
      </c>
      <c r="K1194" s="24" t="str">
        <f t="shared" si="100"/>
        <v/>
      </c>
      <c r="L1194" s="25" t="str">
        <f t="shared" si="96"/>
        <v/>
      </c>
      <c r="M1194" s="37"/>
      <c r="N1194" s="37"/>
      <c r="O1194" s="33" t="str">
        <f t="shared" si="97"/>
        <v/>
      </c>
      <c r="P1194" s="33" t="str">
        <f t="shared" si="98"/>
        <v/>
      </c>
      <c r="X1194" s="1"/>
    </row>
    <row r="1195" spans="7:24">
      <c r="G1195" s="21"/>
      <c r="H1195" s="23"/>
      <c r="I1195" s="23" t="str">
        <f>_xlfn.IFNA(VLOOKUP(A1195,A1196:$H$3524,8,0),"")</f>
        <v/>
      </c>
      <c r="J1195" s="40" t="str">
        <f t="shared" si="99"/>
        <v/>
      </c>
      <c r="K1195" s="24" t="str">
        <f t="shared" si="100"/>
        <v/>
      </c>
      <c r="L1195" s="25" t="str">
        <f t="shared" si="96"/>
        <v/>
      </c>
      <c r="M1195" s="37"/>
      <c r="N1195" s="37"/>
      <c r="O1195" s="33" t="str">
        <f t="shared" si="97"/>
        <v/>
      </c>
      <c r="P1195" s="33" t="str">
        <f t="shared" si="98"/>
        <v/>
      </c>
      <c r="X1195" s="1"/>
    </row>
    <row r="1196" spans="7:24">
      <c r="G1196" s="21"/>
      <c r="H1196" s="23"/>
      <c r="I1196" s="23" t="str">
        <f>_xlfn.IFNA(VLOOKUP(A1196,A1197:$H$3524,8,0),"")</f>
        <v/>
      </c>
      <c r="J1196" s="40" t="str">
        <f t="shared" si="99"/>
        <v/>
      </c>
      <c r="K1196" s="24" t="str">
        <f t="shared" si="100"/>
        <v/>
      </c>
      <c r="L1196" s="25" t="str">
        <f t="shared" si="96"/>
        <v/>
      </c>
      <c r="M1196" s="37"/>
      <c r="N1196" s="37"/>
      <c r="O1196" s="33" t="str">
        <f t="shared" si="97"/>
        <v/>
      </c>
      <c r="P1196" s="33" t="str">
        <f t="shared" si="98"/>
        <v/>
      </c>
      <c r="X1196" s="1"/>
    </row>
    <row r="1197" spans="7:24">
      <c r="G1197" s="21"/>
      <c r="H1197" s="23"/>
      <c r="I1197" s="23" t="str">
        <f>_xlfn.IFNA(VLOOKUP(A1197,A1198:$H$3524,8,0),"")</f>
        <v/>
      </c>
      <c r="J1197" s="40" t="str">
        <f t="shared" si="99"/>
        <v/>
      </c>
      <c r="K1197" s="24" t="str">
        <f t="shared" si="100"/>
        <v/>
      </c>
      <c r="L1197" s="25" t="str">
        <f t="shared" si="96"/>
        <v/>
      </c>
      <c r="M1197" s="37"/>
      <c r="N1197" s="37"/>
      <c r="O1197" s="33" t="str">
        <f t="shared" si="97"/>
        <v/>
      </c>
      <c r="P1197" s="33" t="str">
        <f t="shared" si="98"/>
        <v/>
      </c>
      <c r="X1197" s="1"/>
    </row>
    <row r="1198" spans="7:24">
      <c r="G1198" s="21"/>
      <c r="H1198" s="23"/>
      <c r="I1198" s="23" t="str">
        <f>_xlfn.IFNA(VLOOKUP(A1198,A1199:$H$3524,8,0),"")</f>
        <v/>
      </c>
      <c r="J1198" s="40" t="str">
        <f t="shared" si="99"/>
        <v/>
      </c>
      <c r="K1198" s="24" t="str">
        <f t="shared" si="100"/>
        <v/>
      </c>
      <c r="L1198" s="25" t="str">
        <f t="shared" si="96"/>
        <v/>
      </c>
      <c r="M1198" s="37"/>
      <c r="N1198" s="37"/>
      <c r="O1198" s="33" t="str">
        <f t="shared" si="97"/>
        <v/>
      </c>
      <c r="P1198" s="33" t="str">
        <f t="shared" si="98"/>
        <v/>
      </c>
      <c r="X1198" s="1"/>
    </row>
    <row r="1199" spans="7:24">
      <c r="G1199" s="21"/>
      <c r="H1199" s="23"/>
      <c r="I1199" s="23" t="str">
        <f>_xlfn.IFNA(VLOOKUP(A1199,A1200:$H$3524,8,0),"")</f>
        <v/>
      </c>
      <c r="J1199" s="40" t="str">
        <f t="shared" si="99"/>
        <v/>
      </c>
      <c r="K1199" s="24" t="str">
        <f t="shared" si="100"/>
        <v/>
      </c>
      <c r="L1199" s="25" t="str">
        <f t="shared" si="96"/>
        <v/>
      </c>
      <c r="M1199" s="37"/>
      <c r="N1199" s="37"/>
      <c r="O1199" s="33" t="str">
        <f t="shared" si="97"/>
        <v/>
      </c>
      <c r="P1199" s="33" t="str">
        <f t="shared" si="98"/>
        <v/>
      </c>
      <c r="X1199" s="1"/>
    </row>
    <row r="1200" spans="7:24">
      <c r="G1200" s="21"/>
      <c r="H1200" s="23"/>
      <c r="I1200" s="23" t="str">
        <f>_xlfn.IFNA(VLOOKUP(A1200,A1201:$H$3524,8,0),"")</f>
        <v/>
      </c>
      <c r="J1200" s="40" t="str">
        <f t="shared" si="99"/>
        <v/>
      </c>
      <c r="K1200" s="24" t="str">
        <f t="shared" si="100"/>
        <v/>
      </c>
      <c r="L1200" s="25" t="str">
        <f t="shared" si="96"/>
        <v/>
      </c>
      <c r="M1200" s="37"/>
      <c r="N1200" s="37"/>
      <c r="O1200" s="33" t="str">
        <f t="shared" si="97"/>
        <v/>
      </c>
      <c r="P1200" s="33" t="str">
        <f t="shared" si="98"/>
        <v/>
      </c>
      <c r="X1200" s="1"/>
    </row>
    <row r="1201" spans="7:24">
      <c r="G1201" s="21"/>
      <c r="H1201" s="23"/>
      <c r="I1201" s="23" t="str">
        <f>_xlfn.IFNA(VLOOKUP(A1201,A1202:$H$3524,8,0),"")</f>
        <v/>
      </c>
      <c r="J1201" s="40" t="str">
        <f t="shared" si="99"/>
        <v/>
      </c>
      <c r="K1201" s="24" t="str">
        <f t="shared" si="100"/>
        <v/>
      </c>
      <c r="L1201" s="25" t="str">
        <f t="shared" si="96"/>
        <v/>
      </c>
      <c r="M1201" s="37"/>
      <c r="N1201" s="37"/>
      <c r="O1201" s="33" t="str">
        <f t="shared" si="97"/>
        <v/>
      </c>
      <c r="P1201" s="33" t="str">
        <f t="shared" si="98"/>
        <v/>
      </c>
      <c r="X1201" s="1"/>
    </row>
    <row r="1202" spans="7:24">
      <c r="G1202" s="21"/>
      <c r="H1202" s="23"/>
      <c r="I1202" s="23" t="str">
        <f>_xlfn.IFNA(VLOOKUP(A1202,A1203:$H$3524,8,0),"")</f>
        <v/>
      </c>
      <c r="J1202" s="40" t="str">
        <f t="shared" si="99"/>
        <v/>
      </c>
      <c r="K1202" s="24" t="str">
        <f t="shared" si="100"/>
        <v/>
      </c>
      <c r="L1202" s="25" t="str">
        <f t="shared" si="96"/>
        <v/>
      </c>
      <c r="M1202" s="37"/>
      <c r="N1202" s="37"/>
      <c r="O1202" s="33" t="str">
        <f t="shared" si="97"/>
        <v/>
      </c>
      <c r="P1202" s="33" t="str">
        <f t="shared" si="98"/>
        <v/>
      </c>
      <c r="X1202" s="1"/>
    </row>
    <row r="1203" spans="7:24">
      <c r="G1203" s="21"/>
      <c r="H1203" s="23"/>
      <c r="I1203" s="23" t="str">
        <f>_xlfn.IFNA(VLOOKUP(A1203,A1204:$H$3524,8,0),"")</f>
        <v/>
      </c>
      <c r="J1203" s="40" t="str">
        <f t="shared" si="99"/>
        <v/>
      </c>
      <c r="K1203" s="24" t="str">
        <f t="shared" si="100"/>
        <v/>
      </c>
      <c r="L1203" s="25" t="str">
        <f t="shared" si="96"/>
        <v/>
      </c>
      <c r="M1203" s="37"/>
      <c r="N1203" s="37"/>
      <c r="O1203" s="33" t="str">
        <f t="shared" si="97"/>
        <v/>
      </c>
      <c r="P1203" s="33" t="str">
        <f t="shared" si="98"/>
        <v/>
      </c>
      <c r="X1203" s="1"/>
    </row>
    <row r="1204" spans="7:24">
      <c r="G1204" s="21"/>
      <c r="H1204" s="23"/>
      <c r="I1204" s="23" t="str">
        <f>_xlfn.IFNA(VLOOKUP(A1204,A1205:$H$3524,8,0),"")</f>
        <v/>
      </c>
      <c r="J1204" s="40" t="str">
        <f t="shared" si="99"/>
        <v/>
      </c>
      <c r="K1204" s="24" t="str">
        <f t="shared" si="100"/>
        <v/>
      </c>
      <c r="L1204" s="25" t="str">
        <f t="shared" si="96"/>
        <v/>
      </c>
      <c r="M1204" s="37"/>
      <c r="N1204" s="37"/>
      <c r="O1204" s="33" t="str">
        <f t="shared" si="97"/>
        <v/>
      </c>
      <c r="P1204" s="33" t="str">
        <f t="shared" si="98"/>
        <v/>
      </c>
      <c r="X1204" s="1"/>
    </row>
    <row r="1205" spans="7:24">
      <c r="G1205" s="21"/>
      <c r="H1205" s="23"/>
      <c r="I1205" s="23" t="str">
        <f>_xlfn.IFNA(VLOOKUP(A1205,A1206:$H$3524,8,0),"")</f>
        <v/>
      </c>
      <c r="J1205" s="40" t="str">
        <f t="shared" si="99"/>
        <v/>
      </c>
      <c r="K1205" s="24" t="str">
        <f t="shared" si="100"/>
        <v/>
      </c>
      <c r="L1205" s="25" t="str">
        <f t="shared" si="96"/>
        <v/>
      </c>
      <c r="M1205" s="37"/>
      <c r="N1205" s="37"/>
      <c r="O1205" s="33" t="str">
        <f t="shared" si="97"/>
        <v/>
      </c>
      <c r="P1205" s="33" t="str">
        <f t="shared" si="98"/>
        <v/>
      </c>
      <c r="X1205" s="1"/>
    </row>
    <row r="1206" spans="7:24">
      <c r="G1206" s="21"/>
      <c r="H1206" s="23"/>
      <c r="I1206" s="23" t="str">
        <f>_xlfn.IFNA(VLOOKUP(A1206,A1207:$H$3524,8,0),"")</f>
        <v/>
      </c>
      <c r="J1206" s="40" t="str">
        <f t="shared" si="99"/>
        <v/>
      </c>
      <c r="K1206" s="24" t="str">
        <f t="shared" si="100"/>
        <v/>
      </c>
      <c r="L1206" s="25" t="str">
        <f t="shared" si="96"/>
        <v/>
      </c>
      <c r="M1206" s="37"/>
      <c r="N1206" s="37"/>
      <c r="O1206" s="33" t="str">
        <f t="shared" si="97"/>
        <v/>
      </c>
      <c r="P1206" s="33" t="str">
        <f t="shared" si="98"/>
        <v/>
      </c>
      <c r="X1206" s="1"/>
    </row>
    <row r="1207" spans="7:24">
      <c r="G1207" s="21"/>
      <c r="H1207" s="23"/>
      <c r="I1207" s="23" t="str">
        <f>_xlfn.IFNA(VLOOKUP(A1207,A1208:$H$3524,8,0),"")</f>
        <v/>
      </c>
      <c r="J1207" s="40" t="str">
        <f t="shared" si="99"/>
        <v/>
      </c>
      <c r="K1207" s="24" t="str">
        <f t="shared" si="100"/>
        <v/>
      </c>
      <c r="L1207" s="25" t="str">
        <f t="shared" ref="L1207:L1270" si="101">IF(K1207="","",IF(B1207="Break","Break",IF(K1207&lt;&gt;0,"Work Finished",IF(B1207="OFF","Work Finished",IF(I1207="","Working","Work Finished")))))</f>
        <v/>
      </c>
      <c r="M1207" s="37"/>
      <c r="N1207" s="37"/>
      <c r="O1207" s="33" t="str">
        <f t="shared" ref="O1207:O1270" si="102">IF(AND(J1207="",M1207="",N1207=""),"",J1207-M1207-N1207)</f>
        <v/>
      </c>
      <c r="P1207" s="33" t="str">
        <f t="shared" ref="P1207:P1270" si="103">IF(HOUR(H1207)=0,"",HOUR(H1207))</f>
        <v/>
      </c>
      <c r="X1207" s="1"/>
    </row>
    <row r="1208" spans="7:24">
      <c r="G1208" s="21"/>
      <c r="H1208" s="23"/>
      <c r="I1208" s="23" t="str">
        <f>_xlfn.IFNA(VLOOKUP(A1208,A1209:$H$3524,8,0),"")</f>
        <v/>
      </c>
      <c r="J1208" s="40" t="str">
        <f t="shared" si="99"/>
        <v/>
      </c>
      <c r="K1208" s="24" t="str">
        <f t="shared" si="100"/>
        <v/>
      </c>
      <c r="L1208" s="25" t="str">
        <f t="shared" si="101"/>
        <v/>
      </c>
      <c r="M1208" s="37"/>
      <c r="N1208" s="37"/>
      <c r="O1208" s="33" t="str">
        <f t="shared" si="102"/>
        <v/>
      </c>
      <c r="P1208" s="33" t="str">
        <f t="shared" si="103"/>
        <v/>
      </c>
      <c r="X1208" s="1"/>
    </row>
    <row r="1209" spans="7:24">
      <c r="G1209" s="21"/>
      <c r="H1209" s="23"/>
      <c r="I1209" s="23" t="str">
        <f>_xlfn.IFNA(VLOOKUP(A1209,A1210:$H$3524,8,0),"")</f>
        <v/>
      </c>
      <c r="J1209" s="40" t="str">
        <f t="shared" si="99"/>
        <v/>
      </c>
      <c r="K1209" s="24" t="str">
        <f t="shared" si="100"/>
        <v/>
      </c>
      <c r="L1209" s="25" t="str">
        <f t="shared" si="101"/>
        <v/>
      </c>
      <c r="M1209" s="37"/>
      <c r="N1209" s="37"/>
      <c r="O1209" s="33" t="str">
        <f t="shared" si="102"/>
        <v/>
      </c>
      <c r="P1209" s="33" t="str">
        <f t="shared" si="103"/>
        <v/>
      </c>
      <c r="X1209" s="1"/>
    </row>
    <row r="1210" spans="7:24">
      <c r="G1210" s="21"/>
      <c r="H1210" s="23"/>
      <c r="I1210" s="23" t="str">
        <f>_xlfn.IFNA(VLOOKUP(A1210,A1211:$H$3524,8,0),"")</f>
        <v/>
      </c>
      <c r="J1210" s="40" t="str">
        <f t="shared" si="99"/>
        <v/>
      </c>
      <c r="K1210" s="24" t="str">
        <f t="shared" si="100"/>
        <v/>
      </c>
      <c r="L1210" s="25" t="str">
        <f t="shared" si="101"/>
        <v/>
      </c>
      <c r="M1210" s="37"/>
      <c r="N1210" s="37"/>
      <c r="O1210" s="33" t="str">
        <f t="shared" si="102"/>
        <v/>
      </c>
      <c r="P1210" s="33" t="str">
        <f t="shared" si="103"/>
        <v/>
      </c>
      <c r="X1210" s="1"/>
    </row>
    <row r="1211" spans="7:24">
      <c r="G1211" s="21"/>
      <c r="H1211" s="23"/>
      <c r="I1211" s="23" t="str">
        <f>_xlfn.IFNA(VLOOKUP(A1211,A1212:$H$3524,8,0),"")</f>
        <v/>
      </c>
      <c r="J1211" s="40" t="str">
        <f t="shared" si="99"/>
        <v/>
      </c>
      <c r="K1211" s="24" t="str">
        <f t="shared" si="100"/>
        <v/>
      </c>
      <c r="L1211" s="25" t="str">
        <f t="shared" si="101"/>
        <v/>
      </c>
      <c r="M1211" s="37"/>
      <c r="N1211" s="37"/>
      <c r="O1211" s="33" t="str">
        <f t="shared" si="102"/>
        <v/>
      </c>
      <c r="P1211" s="33" t="str">
        <f t="shared" si="103"/>
        <v/>
      </c>
      <c r="X1211" s="1"/>
    </row>
    <row r="1212" spans="7:24">
      <c r="G1212" s="21"/>
      <c r="H1212" s="23"/>
      <c r="I1212" s="23" t="str">
        <f>_xlfn.IFNA(VLOOKUP(A1212,A1213:$H$3524,8,0),"")</f>
        <v/>
      </c>
      <c r="J1212" s="40" t="str">
        <f t="shared" si="99"/>
        <v/>
      </c>
      <c r="K1212" s="24" t="str">
        <f t="shared" si="100"/>
        <v/>
      </c>
      <c r="L1212" s="25" t="str">
        <f t="shared" si="101"/>
        <v/>
      </c>
      <c r="M1212" s="37"/>
      <c r="N1212" s="37"/>
      <c r="O1212" s="33" t="str">
        <f t="shared" si="102"/>
        <v/>
      </c>
      <c r="P1212" s="33" t="str">
        <f t="shared" si="103"/>
        <v/>
      </c>
      <c r="X1212" s="1"/>
    </row>
    <row r="1213" spans="7:24">
      <c r="G1213" s="21"/>
      <c r="H1213" s="23"/>
      <c r="I1213" s="23" t="str">
        <f>_xlfn.IFNA(VLOOKUP(A1213,A1214:$H$3524,8,0),"")</f>
        <v/>
      </c>
      <c r="J1213" s="40" t="str">
        <f t="shared" si="99"/>
        <v/>
      </c>
      <c r="K1213" s="24" t="str">
        <f t="shared" si="100"/>
        <v/>
      </c>
      <c r="L1213" s="25" t="str">
        <f t="shared" si="101"/>
        <v/>
      </c>
      <c r="M1213" s="37"/>
      <c r="N1213" s="37"/>
      <c r="O1213" s="33" t="str">
        <f t="shared" si="102"/>
        <v/>
      </c>
      <c r="P1213" s="33" t="str">
        <f t="shared" si="103"/>
        <v/>
      </c>
      <c r="X1213" s="1"/>
    </row>
    <row r="1214" spans="7:24">
      <c r="G1214" s="21"/>
      <c r="H1214" s="23"/>
      <c r="I1214" s="23" t="str">
        <f>_xlfn.IFNA(VLOOKUP(A1214,A1215:$H$3524,8,0),"")</f>
        <v/>
      </c>
      <c r="J1214" s="40" t="str">
        <f t="shared" si="99"/>
        <v/>
      </c>
      <c r="K1214" s="24" t="str">
        <f t="shared" si="100"/>
        <v/>
      </c>
      <c r="L1214" s="25" t="str">
        <f t="shared" si="101"/>
        <v/>
      </c>
      <c r="M1214" s="37"/>
      <c r="N1214" s="37"/>
      <c r="O1214" s="33" t="str">
        <f t="shared" si="102"/>
        <v/>
      </c>
      <c r="P1214" s="33" t="str">
        <f t="shared" si="103"/>
        <v/>
      </c>
      <c r="X1214" s="1"/>
    </row>
    <row r="1215" spans="7:24">
      <c r="G1215" s="21"/>
      <c r="H1215" s="23"/>
      <c r="I1215" s="23" t="str">
        <f>_xlfn.IFNA(VLOOKUP(A1215,A1216:$H$3524,8,0),"")</f>
        <v/>
      </c>
      <c r="J1215" s="40" t="str">
        <f t="shared" si="99"/>
        <v/>
      </c>
      <c r="K1215" s="24" t="str">
        <f t="shared" si="100"/>
        <v/>
      </c>
      <c r="L1215" s="25" t="str">
        <f t="shared" si="101"/>
        <v/>
      </c>
      <c r="M1215" s="37"/>
      <c r="N1215" s="37"/>
      <c r="O1215" s="33" t="str">
        <f t="shared" si="102"/>
        <v/>
      </c>
      <c r="P1215" s="33" t="str">
        <f t="shared" si="103"/>
        <v/>
      </c>
      <c r="X1215" s="1"/>
    </row>
    <row r="1216" spans="7:24">
      <c r="G1216" s="21"/>
      <c r="H1216" s="23"/>
      <c r="I1216" s="23" t="str">
        <f>_xlfn.IFNA(VLOOKUP(A1216,A1217:$H$3524,8,0),"")</f>
        <v/>
      </c>
      <c r="J1216" s="40" t="str">
        <f t="shared" si="99"/>
        <v/>
      </c>
      <c r="K1216" s="24" t="str">
        <f t="shared" si="100"/>
        <v/>
      </c>
      <c r="L1216" s="25" t="str">
        <f t="shared" si="101"/>
        <v/>
      </c>
      <c r="M1216" s="37"/>
      <c r="N1216" s="37"/>
      <c r="O1216" s="33" t="str">
        <f t="shared" si="102"/>
        <v/>
      </c>
      <c r="P1216" s="33" t="str">
        <f t="shared" si="103"/>
        <v/>
      </c>
      <c r="X1216" s="1"/>
    </row>
    <row r="1217" spans="7:24">
      <c r="G1217" s="21"/>
      <c r="H1217" s="23"/>
      <c r="I1217" s="23" t="str">
        <f>_xlfn.IFNA(VLOOKUP(A1217,A1218:$H$3524,8,0),"")</f>
        <v/>
      </c>
      <c r="J1217" s="40" t="str">
        <f t="shared" si="99"/>
        <v/>
      </c>
      <c r="K1217" s="24" t="str">
        <f t="shared" si="100"/>
        <v/>
      </c>
      <c r="L1217" s="25" t="str">
        <f t="shared" si="101"/>
        <v/>
      </c>
      <c r="M1217" s="37"/>
      <c r="N1217" s="37"/>
      <c r="O1217" s="33" t="str">
        <f t="shared" si="102"/>
        <v/>
      </c>
      <c r="P1217" s="33" t="str">
        <f t="shared" si="103"/>
        <v/>
      </c>
      <c r="X1217" s="1"/>
    </row>
    <row r="1218" spans="7:24">
      <c r="G1218" s="21"/>
      <c r="H1218" s="23"/>
      <c r="I1218" s="23" t="str">
        <f>_xlfn.IFNA(VLOOKUP(A1218,A1219:$H$3524,8,0),"")</f>
        <v/>
      </c>
      <c r="J1218" s="40" t="str">
        <f t="shared" si="99"/>
        <v/>
      </c>
      <c r="K1218" s="24" t="str">
        <f t="shared" si="100"/>
        <v/>
      </c>
      <c r="L1218" s="25" t="str">
        <f t="shared" si="101"/>
        <v/>
      </c>
      <c r="M1218" s="37"/>
      <c r="N1218" s="37"/>
      <c r="O1218" s="33" t="str">
        <f t="shared" si="102"/>
        <v/>
      </c>
      <c r="P1218" s="33" t="str">
        <f t="shared" si="103"/>
        <v/>
      </c>
      <c r="X1218" s="1"/>
    </row>
    <row r="1219" spans="7:24">
      <c r="G1219" s="21"/>
      <c r="H1219" s="23"/>
      <c r="I1219" s="23" t="str">
        <f>_xlfn.IFNA(VLOOKUP(A1219,A1220:$H$3524,8,0),"")</f>
        <v/>
      </c>
      <c r="J1219" s="40" t="str">
        <f t="shared" si="99"/>
        <v/>
      </c>
      <c r="K1219" s="24" t="str">
        <f t="shared" si="100"/>
        <v/>
      </c>
      <c r="L1219" s="25" t="str">
        <f t="shared" si="101"/>
        <v/>
      </c>
      <c r="M1219" s="37"/>
      <c r="N1219" s="37"/>
      <c r="O1219" s="33" t="str">
        <f t="shared" si="102"/>
        <v/>
      </c>
      <c r="P1219" s="33" t="str">
        <f t="shared" si="103"/>
        <v/>
      </c>
      <c r="X1219" s="1"/>
    </row>
    <row r="1220" spans="7:24">
      <c r="G1220" s="21"/>
      <c r="H1220" s="23"/>
      <c r="I1220" s="23" t="str">
        <f>_xlfn.IFNA(VLOOKUP(A1220,A1221:$H$3524,8,0),"")</f>
        <v/>
      </c>
      <c r="J1220" s="40" t="str">
        <f t="shared" si="99"/>
        <v/>
      </c>
      <c r="K1220" s="24" t="str">
        <f t="shared" si="100"/>
        <v/>
      </c>
      <c r="L1220" s="25" t="str">
        <f t="shared" si="101"/>
        <v/>
      </c>
      <c r="M1220" s="37"/>
      <c r="N1220" s="37"/>
      <c r="O1220" s="33" t="str">
        <f t="shared" si="102"/>
        <v/>
      </c>
      <c r="P1220" s="33" t="str">
        <f t="shared" si="103"/>
        <v/>
      </c>
      <c r="X1220" s="1"/>
    </row>
    <row r="1221" spans="7:24">
      <c r="G1221" s="21"/>
      <c r="H1221" s="23"/>
      <c r="I1221" s="23" t="str">
        <f>_xlfn.IFNA(VLOOKUP(A1221,A1222:$H$3524,8,0),"")</f>
        <v/>
      </c>
      <c r="J1221" s="40" t="str">
        <f t="shared" si="99"/>
        <v/>
      </c>
      <c r="K1221" s="24" t="str">
        <f t="shared" si="100"/>
        <v/>
      </c>
      <c r="L1221" s="25" t="str">
        <f t="shared" si="101"/>
        <v/>
      </c>
      <c r="M1221" s="37"/>
      <c r="N1221" s="37"/>
      <c r="O1221" s="33" t="str">
        <f t="shared" si="102"/>
        <v/>
      </c>
      <c r="P1221" s="33" t="str">
        <f t="shared" si="103"/>
        <v/>
      </c>
      <c r="X1221" s="1"/>
    </row>
    <row r="1222" spans="7:24">
      <c r="G1222" s="21"/>
      <c r="H1222" s="23"/>
      <c r="I1222" s="23" t="str">
        <f>_xlfn.IFNA(VLOOKUP(A1222,A1223:$H$3524,8,0),"")</f>
        <v/>
      </c>
      <c r="J1222" s="40" t="str">
        <f t="shared" ref="J1222:J1285" si="104">IF(B1222="OFF",0,IF(AND(D1222&lt;&gt;"",E1222&lt;&gt;""),E1222-D1222+1,""))</f>
        <v/>
      </c>
      <c r="K1222" s="24" t="str">
        <f t="shared" si="100"/>
        <v/>
      </c>
      <c r="L1222" s="25" t="str">
        <f t="shared" si="101"/>
        <v/>
      </c>
      <c r="M1222" s="37"/>
      <c r="N1222" s="37"/>
      <c r="O1222" s="33" t="str">
        <f t="shared" si="102"/>
        <v/>
      </c>
      <c r="P1222" s="33" t="str">
        <f t="shared" si="103"/>
        <v/>
      </c>
      <c r="X1222" s="1"/>
    </row>
    <row r="1223" spans="7:24">
      <c r="G1223" s="21"/>
      <c r="H1223" s="23"/>
      <c r="I1223" s="23" t="str">
        <f>_xlfn.IFNA(VLOOKUP(A1223,A1224:$H$3524,8,0),"")</f>
        <v/>
      </c>
      <c r="J1223" s="40" t="str">
        <f t="shared" si="104"/>
        <v/>
      </c>
      <c r="K1223" s="24" t="str">
        <f t="shared" si="100"/>
        <v/>
      </c>
      <c r="L1223" s="25" t="str">
        <f t="shared" si="101"/>
        <v/>
      </c>
      <c r="M1223" s="37"/>
      <c r="N1223" s="37"/>
      <c r="O1223" s="33" t="str">
        <f t="shared" si="102"/>
        <v/>
      </c>
      <c r="P1223" s="33" t="str">
        <f t="shared" si="103"/>
        <v/>
      </c>
      <c r="X1223" s="1"/>
    </row>
    <row r="1224" spans="7:24">
      <c r="G1224" s="21"/>
      <c r="H1224" s="23"/>
      <c r="I1224" s="23" t="str">
        <f>_xlfn.IFNA(VLOOKUP(A1224,A1225:$H$3524,8,0),"")</f>
        <v/>
      </c>
      <c r="J1224" s="40" t="str">
        <f t="shared" si="104"/>
        <v/>
      </c>
      <c r="K1224" s="24" t="str">
        <f t="shared" si="100"/>
        <v/>
      </c>
      <c r="L1224" s="25" t="str">
        <f t="shared" si="101"/>
        <v/>
      </c>
      <c r="M1224" s="37"/>
      <c r="N1224" s="37"/>
      <c r="O1224" s="33" t="str">
        <f t="shared" si="102"/>
        <v/>
      </c>
      <c r="P1224" s="33" t="str">
        <f t="shared" si="103"/>
        <v/>
      </c>
      <c r="X1224" s="1"/>
    </row>
    <row r="1225" spans="7:24">
      <c r="G1225" s="21"/>
      <c r="H1225" s="23"/>
      <c r="I1225" s="23" t="str">
        <f>_xlfn.IFNA(VLOOKUP(A1225,A1226:$H$3524,8,0),"")</f>
        <v/>
      </c>
      <c r="J1225" s="40" t="str">
        <f t="shared" si="104"/>
        <v/>
      </c>
      <c r="K1225" s="24" t="str">
        <f t="shared" si="100"/>
        <v/>
      </c>
      <c r="L1225" s="25" t="str">
        <f t="shared" si="101"/>
        <v/>
      </c>
      <c r="M1225" s="37"/>
      <c r="N1225" s="37"/>
      <c r="O1225" s="33" t="str">
        <f t="shared" si="102"/>
        <v/>
      </c>
      <c r="P1225" s="33" t="str">
        <f t="shared" si="103"/>
        <v/>
      </c>
      <c r="X1225" s="1"/>
    </row>
    <row r="1226" spans="7:24">
      <c r="G1226" s="21"/>
      <c r="H1226" s="23"/>
      <c r="I1226" s="23" t="str">
        <f>_xlfn.IFNA(VLOOKUP(A1226,A1227:$H$3524,8,0),"")</f>
        <v/>
      </c>
      <c r="J1226" s="40" t="str">
        <f t="shared" si="104"/>
        <v/>
      </c>
      <c r="K1226" s="24" t="str">
        <f t="shared" si="100"/>
        <v/>
      </c>
      <c r="L1226" s="25" t="str">
        <f t="shared" si="101"/>
        <v/>
      </c>
      <c r="M1226" s="37"/>
      <c r="N1226" s="37"/>
      <c r="O1226" s="33" t="str">
        <f t="shared" si="102"/>
        <v/>
      </c>
      <c r="P1226" s="33" t="str">
        <f t="shared" si="103"/>
        <v/>
      </c>
      <c r="X1226" s="1"/>
    </row>
    <row r="1227" spans="7:24">
      <c r="G1227" s="21"/>
      <c r="H1227" s="23"/>
      <c r="I1227" s="23" t="str">
        <f>_xlfn.IFNA(VLOOKUP(A1227,A1228:$H$3524,8,0),"")</f>
        <v/>
      </c>
      <c r="J1227" s="40" t="str">
        <f t="shared" si="104"/>
        <v/>
      </c>
      <c r="K1227" s="24" t="str">
        <f t="shared" si="100"/>
        <v/>
      </c>
      <c r="L1227" s="25" t="str">
        <f t="shared" si="101"/>
        <v/>
      </c>
      <c r="M1227" s="37"/>
      <c r="N1227" s="37"/>
      <c r="O1227" s="33" t="str">
        <f t="shared" si="102"/>
        <v/>
      </c>
      <c r="P1227" s="33" t="str">
        <f t="shared" si="103"/>
        <v/>
      </c>
      <c r="X1227" s="1"/>
    </row>
    <row r="1228" spans="7:24">
      <c r="G1228" s="21"/>
      <c r="H1228" s="23"/>
      <c r="I1228" s="23" t="str">
        <f>_xlfn.IFNA(VLOOKUP(A1228,A1229:$H$3524,8,0),"")</f>
        <v/>
      </c>
      <c r="J1228" s="40" t="str">
        <f t="shared" si="104"/>
        <v/>
      </c>
      <c r="K1228" s="24" t="str">
        <f t="shared" si="100"/>
        <v/>
      </c>
      <c r="L1228" s="25" t="str">
        <f t="shared" si="101"/>
        <v/>
      </c>
      <c r="M1228" s="37"/>
      <c r="N1228" s="37"/>
      <c r="O1228" s="33" t="str">
        <f t="shared" si="102"/>
        <v/>
      </c>
      <c r="P1228" s="33" t="str">
        <f t="shared" si="103"/>
        <v/>
      </c>
      <c r="X1228" s="1"/>
    </row>
    <row r="1229" spans="7:24">
      <c r="G1229" s="21"/>
      <c r="H1229" s="23"/>
      <c r="I1229" s="23" t="str">
        <f>_xlfn.IFNA(VLOOKUP(A1229,A1230:$H$3524,8,0),"")</f>
        <v/>
      </c>
      <c r="J1229" s="40" t="str">
        <f t="shared" si="104"/>
        <v/>
      </c>
      <c r="K1229" s="24" t="str">
        <f t="shared" si="100"/>
        <v/>
      </c>
      <c r="L1229" s="25" t="str">
        <f t="shared" si="101"/>
        <v/>
      </c>
      <c r="M1229" s="37"/>
      <c r="N1229" s="37"/>
      <c r="O1229" s="33" t="str">
        <f t="shared" si="102"/>
        <v/>
      </c>
      <c r="P1229" s="33" t="str">
        <f t="shared" si="103"/>
        <v/>
      </c>
      <c r="X1229" s="1"/>
    </row>
    <row r="1230" spans="7:24">
      <c r="G1230" s="21"/>
      <c r="H1230" s="23"/>
      <c r="I1230" s="23" t="str">
        <f>_xlfn.IFNA(VLOOKUP(A1230,A1231:$H$3524,8,0),"")</f>
        <v/>
      </c>
      <c r="J1230" s="40" t="str">
        <f t="shared" si="104"/>
        <v/>
      </c>
      <c r="K1230" s="24" t="str">
        <f t="shared" si="100"/>
        <v/>
      </c>
      <c r="L1230" s="25" t="str">
        <f t="shared" si="101"/>
        <v/>
      </c>
      <c r="M1230" s="37"/>
      <c r="N1230" s="37"/>
      <c r="O1230" s="33" t="str">
        <f t="shared" si="102"/>
        <v/>
      </c>
      <c r="P1230" s="33" t="str">
        <f t="shared" si="103"/>
        <v/>
      </c>
      <c r="X1230" s="1"/>
    </row>
    <row r="1231" spans="7:24">
      <c r="G1231" s="21"/>
      <c r="H1231" s="23"/>
      <c r="I1231" s="23" t="str">
        <f>_xlfn.IFNA(VLOOKUP(A1231,A1232:$H$3524,8,0),"")</f>
        <v/>
      </c>
      <c r="J1231" s="40" t="str">
        <f t="shared" si="104"/>
        <v/>
      </c>
      <c r="K1231" s="24" t="str">
        <f t="shared" si="100"/>
        <v/>
      </c>
      <c r="L1231" s="25" t="str">
        <f t="shared" si="101"/>
        <v/>
      </c>
      <c r="M1231" s="37"/>
      <c r="N1231" s="37"/>
      <c r="O1231" s="33" t="str">
        <f t="shared" si="102"/>
        <v/>
      </c>
      <c r="P1231" s="33" t="str">
        <f t="shared" si="103"/>
        <v/>
      </c>
      <c r="X1231" s="1"/>
    </row>
    <row r="1232" spans="7:24">
      <c r="G1232" s="21"/>
      <c r="H1232" s="23"/>
      <c r="I1232" s="23" t="str">
        <f>_xlfn.IFNA(VLOOKUP(A1232,A1233:$H$3524,8,0),"")</f>
        <v/>
      </c>
      <c r="J1232" s="40" t="str">
        <f t="shared" si="104"/>
        <v/>
      </c>
      <c r="K1232" s="24" t="str">
        <f t="shared" si="100"/>
        <v/>
      </c>
      <c r="L1232" s="25" t="str">
        <f t="shared" si="101"/>
        <v/>
      </c>
      <c r="M1232" s="37"/>
      <c r="N1232" s="37"/>
      <c r="O1232" s="33" t="str">
        <f t="shared" si="102"/>
        <v/>
      </c>
      <c r="P1232" s="33" t="str">
        <f t="shared" si="103"/>
        <v/>
      </c>
      <c r="X1232" s="1"/>
    </row>
    <row r="1233" spans="7:24">
      <c r="G1233" s="21"/>
      <c r="H1233" s="23"/>
      <c r="I1233" s="23" t="str">
        <f>_xlfn.IFNA(VLOOKUP(A1233,A1234:$H$3524,8,0),"")</f>
        <v/>
      </c>
      <c r="J1233" s="40" t="str">
        <f t="shared" si="104"/>
        <v/>
      </c>
      <c r="K1233" s="24" t="str">
        <f t="shared" si="100"/>
        <v/>
      </c>
      <c r="L1233" s="25" t="str">
        <f t="shared" si="101"/>
        <v/>
      </c>
      <c r="M1233" s="37"/>
      <c r="N1233" s="37"/>
      <c r="O1233" s="33" t="str">
        <f t="shared" si="102"/>
        <v/>
      </c>
      <c r="P1233" s="33" t="str">
        <f t="shared" si="103"/>
        <v/>
      </c>
      <c r="X1233" s="1"/>
    </row>
    <row r="1234" spans="7:24">
      <c r="G1234" s="21"/>
      <c r="H1234" s="23"/>
      <c r="I1234" s="23" t="str">
        <f>_xlfn.IFNA(VLOOKUP(A1234,A1235:$H$3524,8,0),"")</f>
        <v/>
      </c>
      <c r="J1234" s="40" t="str">
        <f t="shared" si="104"/>
        <v/>
      </c>
      <c r="K1234" s="24" t="str">
        <f t="shared" si="100"/>
        <v/>
      </c>
      <c r="L1234" s="25" t="str">
        <f t="shared" si="101"/>
        <v/>
      </c>
      <c r="M1234" s="37"/>
      <c r="N1234" s="37"/>
      <c r="O1234" s="33" t="str">
        <f t="shared" si="102"/>
        <v/>
      </c>
      <c r="P1234" s="33" t="str">
        <f t="shared" si="103"/>
        <v/>
      </c>
      <c r="X1234" s="1"/>
    </row>
    <row r="1235" spans="7:24">
      <c r="G1235" s="21"/>
      <c r="H1235" s="23"/>
      <c r="I1235" s="23" t="str">
        <f>_xlfn.IFNA(VLOOKUP(A1235,A1236:$H$3524,8,0),"")</f>
        <v/>
      </c>
      <c r="J1235" s="40" t="str">
        <f t="shared" si="104"/>
        <v/>
      </c>
      <c r="K1235" s="24" t="str">
        <f t="shared" si="100"/>
        <v/>
      </c>
      <c r="L1235" s="25" t="str">
        <f t="shared" si="101"/>
        <v/>
      </c>
      <c r="M1235" s="37"/>
      <c r="N1235" s="37"/>
      <c r="O1235" s="33" t="str">
        <f t="shared" si="102"/>
        <v/>
      </c>
      <c r="P1235" s="33" t="str">
        <f t="shared" si="103"/>
        <v/>
      </c>
      <c r="X1235" s="1"/>
    </row>
    <row r="1236" spans="7:24">
      <c r="G1236" s="21"/>
      <c r="H1236" s="23"/>
      <c r="I1236" s="23" t="str">
        <f>_xlfn.IFNA(VLOOKUP(A1236,A1237:$H$3524,8,0),"")</f>
        <v/>
      </c>
      <c r="J1236" s="40" t="str">
        <f t="shared" si="104"/>
        <v/>
      </c>
      <c r="K1236" s="24" t="str">
        <f t="shared" si="100"/>
        <v/>
      </c>
      <c r="L1236" s="25" t="str">
        <f t="shared" si="101"/>
        <v/>
      </c>
      <c r="M1236" s="37"/>
      <c r="N1236" s="37"/>
      <c r="O1236" s="33" t="str">
        <f t="shared" si="102"/>
        <v/>
      </c>
      <c r="P1236" s="33" t="str">
        <f t="shared" si="103"/>
        <v/>
      </c>
      <c r="X1236" s="1"/>
    </row>
    <row r="1237" spans="7:24">
      <c r="G1237" s="21"/>
      <c r="H1237" s="23"/>
      <c r="I1237" s="23" t="str">
        <f>_xlfn.IFNA(VLOOKUP(A1237,A1238:$H$3524,8,0),"")</f>
        <v/>
      </c>
      <c r="J1237" s="40" t="str">
        <f t="shared" si="104"/>
        <v/>
      </c>
      <c r="K1237" s="24" t="str">
        <f t="shared" si="100"/>
        <v/>
      </c>
      <c r="L1237" s="25" t="str">
        <f t="shared" si="101"/>
        <v/>
      </c>
      <c r="M1237" s="37"/>
      <c r="N1237" s="37"/>
      <c r="O1237" s="33" t="str">
        <f t="shared" si="102"/>
        <v/>
      </c>
      <c r="P1237" s="33" t="str">
        <f t="shared" si="103"/>
        <v/>
      </c>
      <c r="X1237" s="1"/>
    </row>
    <row r="1238" spans="7:24">
      <c r="G1238" s="21"/>
      <c r="H1238" s="23"/>
      <c r="I1238" s="23" t="str">
        <f>_xlfn.IFNA(VLOOKUP(A1238,A1239:$H$3524,8,0),"")</f>
        <v/>
      </c>
      <c r="J1238" s="40" t="str">
        <f t="shared" si="104"/>
        <v/>
      </c>
      <c r="K1238" s="24" t="str">
        <f t="shared" ref="K1238:K1301" si="105">IF(H1238="","",IFERROR((I1238-H1238)*24,0))</f>
        <v/>
      </c>
      <c r="L1238" s="25" t="str">
        <f t="shared" si="101"/>
        <v/>
      </c>
      <c r="M1238" s="37"/>
      <c r="N1238" s="37"/>
      <c r="O1238" s="33" t="str">
        <f t="shared" si="102"/>
        <v/>
      </c>
      <c r="P1238" s="33" t="str">
        <f t="shared" si="103"/>
        <v/>
      </c>
      <c r="X1238" s="1"/>
    </row>
    <row r="1239" spans="7:24">
      <c r="G1239" s="21"/>
      <c r="H1239" s="23"/>
      <c r="I1239" s="23" t="str">
        <f>_xlfn.IFNA(VLOOKUP(A1239,A1240:$H$3524,8,0),"")</f>
        <v/>
      </c>
      <c r="J1239" s="40" t="str">
        <f t="shared" si="104"/>
        <v/>
      </c>
      <c r="K1239" s="24" t="str">
        <f t="shared" si="105"/>
        <v/>
      </c>
      <c r="L1239" s="25" t="str">
        <f t="shared" si="101"/>
        <v/>
      </c>
      <c r="M1239" s="37"/>
      <c r="N1239" s="37"/>
      <c r="O1239" s="33" t="str">
        <f t="shared" si="102"/>
        <v/>
      </c>
      <c r="P1239" s="33" t="str">
        <f t="shared" si="103"/>
        <v/>
      </c>
      <c r="X1239" s="1"/>
    </row>
    <row r="1240" spans="7:24">
      <c r="G1240" s="21"/>
      <c r="H1240" s="23"/>
      <c r="I1240" s="23" t="str">
        <f>_xlfn.IFNA(VLOOKUP(A1240,A1241:$H$3524,8,0),"")</f>
        <v/>
      </c>
      <c r="J1240" s="40" t="str">
        <f t="shared" si="104"/>
        <v/>
      </c>
      <c r="K1240" s="24" t="str">
        <f t="shared" si="105"/>
        <v/>
      </c>
      <c r="L1240" s="25" t="str">
        <f t="shared" si="101"/>
        <v/>
      </c>
      <c r="M1240" s="37"/>
      <c r="N1240" s="37"/>
      <c r="O1240" s="33" t="str">
        <f t="shared" si="102"/>
        <v/>
      </c>
      <c r="P1240" s="33" t="str">
        <f t="shared" si="103"/>
        <v/>
      </c>
      <c r="X1240" s="1"/>
    </row>
    <row r="1241" spans="7:24">
      <c r="G1241" s="21"/>
      <c r="H1241" s="23"/>
      <c r="I1241" s="23" t="str">
        <f>_xlfn.IFNA(VLOOKUP(A1241,A1242:$H$3524,8,0),"")</f>
        <v/>
      </c>
      <c r="J1241" s="40" t="str">
        <f t="shared" si="104"/>
        <v/>
      </c>
      <c r="K1241" s="24" t="str">
        <f t="shared" si="105"/>
        <v/>
      </c>
      <c r="L1241" s="25" t="str">
        <f t="shared" si="101"/>
        <v/>
      </c>
      <c r="M1241" s="37"/>
      <c r="N1241" s="37"/>
      <c r="O1241" s="33" t="str">
        <f t="shared" si="102"/>
        <v/>
      </c>
      <c r="P1241" s="33" t="str">
        <f t="shared" si="103"/>
        <v/>
      </c>
      <c r="X1241" s="1"/>
    </row>
    <row r="1242" spans="7:24">
      <c r="G1242" s="21"/>
      <c r="H1242" s="23"/>
      <c r="I1242" s="23" t="str">
        <f>_xlfn.IFNA(VLOOKUP(A1242,A1243:$H$3524,8,0),"")</f>
        <v/>
      </c>
      <c r="J1242" s="40" t="str">
        <f t="shared" si="104"/>
        <v/>
      </c>
      <c r="K1242" s="24" t="str">
        <f t="shared" si="105"/>
        <v/>
      </c>
      <c r="L1242" s="25" t="str">
        <f t="shared" si="101"/>
        <v/>
      </c>
      <c r="M1242" s="37"/>
      <c r="N1242" s="37"/>
      <c r="O1242" s="33" t="str">
        <f t="shared" si="102"/>
        <v/>
      </c>
      <c r="P1242" s="33" t="str">
        <f t="shared" si="103"/>
        <v/>
      </c>
      <c r="X1242" s="1"/>
    </row>
    <row r="1243" spans="7:24">
      <c r="G1243" s="21"/>
      <c r="H1243" s="23"/>
      <c r="I1243" s="23" t="str">
        <f>_xlfn.IFNA(VLOOKUP(A1243,A1244:$H$3524,8,0),"")</f>
        <v/>
      </c>
      <c r="J1243" s="40" t="str">
        <f t="shared" si="104"/>
        <v/>
      </c>
      <c r="K1243" s="24" t="str">
        <f t="shared" si="105"/>
        <v/>
      </c>
      <c r="L1243" s="25" t="str">
        <f t="shared" si="101"/>
        <v/>
      </c>
      <c r="M1243" s="37"/>
      <c r="N1243" s="37"/>
      <c r="O1243" s="33" t="str">
        <f t="shared" si="102"/>
        <v/>
      </c>
      <c r="P1243" s="33" t="str">
        <f t="shared" si="103"/>
        <v/>
      </c>
      <c r="X1243" s="1"/>
    </row>
    <row r="1244" spans="7:24">
      <c r="G1244" s="21"/>
      <c r="H1244" s="23"/>
      <c r="I1244" s="23" t="str">
        <f>_xlfn.IFNA(VLOOKUP(A1244,A1245:$H$3524,8,0),"")</f>
        <v/>
      </c>
      <c r="J1244" s="40" t="str">
        <f t="shared" si="104"/>
        <v/>
      </c>
      <c r="K1244" s="24" t="str">
        <f t="shared" si="105"/>
        <v/>
      </c>
      <c r="L1244" s="25" t="str">
        <f t="shared" si="101"/>
        <v/>
      </c>
      <c r="M1244" s="37"/>
      <c r="N1244" s="37"/>
      <c r="O1244" s="33" t="str">
        <f t="shared" si="102"/>
        <v/>
      </c>
      <c r="P1244" s="33" t="str">
        <f t="shared" si="103"/>
        <v/>
      </c>
      <c r="X1244" s="1"/>
    </row>
    <row r="1245" spans="7:24">
      <c r="G1245" s="21"/>
      <c r="H1245" s="23"/>
      <c r="I1245" s="23" t="str">
        <f>_xlfn.IFNA(VLOOKUP(A1245,A1246:$H$3524,8,0),"")</f>
        <v/>
      </c>
      <c r="J1245" s="40" t="str">
        <f t="shared" si="104"/>
        <v/>
      </c>
      <c r="K1245" s="24" t="str">
        <f t="shared" si="105"/>
        <v/>
      </c>
      <c r="L1245" s="25" t="str">
        <f t="shared" si="101"/>
        <v/>
      </c>
      <c r="M1245" s="37"/>
      <c r="N1245" s="37"/>
      <c r="O1245" s="33" t="str">
        <f t="shared" si="102"/>
        <v/>
      </c>
      <c r="P1245" s="33" t="str">
        <f t="shared" si="103"/>
        <v/>
      </c>
      <c r="X1245" s="1"/>
    </row>
    <row r="1246" spans="7:24">
      <c r="G1246" s="21"/>
      <c r="H1246" s="23"/>
      <c r="I1246" s="23" t="str">
        <f>_xlfn.IFNA(VLOOKUP(A1246,A1247:$H$3524,8,0),"")</f>
        <v/>
      </c>
      <c r="J1246" s="40" t="str">
        <f t="shared" si="104"/>
        <v/>
      </c>
      <c r="K1246" s="24" t="str">
        <f t="shared" si="105"/>
        <v/>
      </c>
      <c r="L1246" s="25" t="str">
        <f t="shared" si="101"/>
        <v/>
      </c>
      <c r="M1246" s="37"/>
      <c r="N1246" s="37"/>
      <c r="O1246" s="33" t="str">
        <f t="shared" si="102"/>
        <v/>
      </c>
      <c r="P1246" s="33" t="str">
        <f t="shared" si="103"/>
        <v/>
      </c>
      <c r="X1246" s="1"/>
    </row>
    <row r="1247" spans="7:24">
      <c r="G1247" s="21"/>
      <c r="H1247" s="23"/>
      <c r="I1247" s="23" t="str">
        <f>_xlfn.IFNA(VLOOKUP(A1247,A1248:$H$3524,8,0),"")</f>
        <v/>
      </c>
      <c r="J1247" s="40" t="str">
        <f t="shared" si="104"/>
        <v/>
      </c>
      <c r="K1247" s="24" t="str">
        <f t="shared" si="105"/>
        <v/>
      </c>
      <c r="L1247" s="25" t="str">
        <f t="shared" si="101"/>
        <v/>
      </c>
      <c r="M1247" s="37"/>
      <c r="N1247" s="37"/>
      <c r="O1247" s="33" t="str">
        <f t="shared" si="102"/>
        <v/>
      </c>
      <c r="P1247" s="33" t="str">
        <f t="shared" si="103"/>
        <v/>
      </c>
      <c r="X1247" s="1"/>
    </row>
    <row r="1248" spans="7:24">
      <c r="G1248" s="21"/>
      <c r="H1248" s="23"/>
      <c r="I1248" s="23" t="str">
        <f>_xlfn.IFNA(VLOOKUP(A1248,A1249:$H$3524,8,0),"")</f>
        <v/>
      </c>
      <c r="J1248" s="40" t="str">
        <f t="shared" si="104"/>
        <v/>
      </c>
      <c r="K1248" s="24" t="str">
        <f t="shared" si="105"/>
        <v/>
      </c>
      <c r="L1248" s="25" t="str">
        <f t="shared" si="101"/>
        <v/>
      </c>
      <c r="M1248" s="37"/>
      <c r="N1248" s="37"/>
      <c r="O1248" s="33" t="str">
        <f t="shared" si="102"/>
        <v/>
      </c>
      <c r="P1248" s="33" t="str">
        <f t="shared" si="103"/>
        <v/>
      </c>
      <c r="X1248" s="1"/>
    </row>
    <row r="1249" spans="7:24">
      <c r="G1249" s="21"/>
      <c r="H1249" s="23"/>
      <c r="I1249" s="23" t="str">
        <f>_xlfn.IFNA(VLOOKUP(A1249,A1250:$H$3524,8,0),"")</f>
        <v/>
      </c>
      <c r="J1249" s="40" t="str">
        <f t="shared" si="104"/>
        <v/>
      </c>
      <c r="K1249" s="24" t="str">
        <f t="shared" si="105"/>
        <v/>
      </c>
      <c r="L1249" s="25" t="str">
        <f t="shared" si="101"/>
        <v/>
      </c>
      <c r="M1249" s="37"/>
      <c r="N1249" s="37"/>
      <c r="O1249" s="33" t="str">
        <f t="shared" si="102"/>
        <v/>
      </c>
      <c r="P1249" s="33" t="str">
        <f t="shared" si="103"/>
        <v/>
      </c>
      <c r="X1249" s="1"/>
    </row>
    <row r="1250" spans="7:24">
      <c r="G1250" s="21"/>
      <c r="H1250" s="23"/>
      <c r="I1250" s="23" t="str">
        <f>_xlfn.IFNA(VLOOKUP(A1250,A1251:$H$3524,8,0),"")</f>
        <v/>
      </c>
      <c r="J1250" s="40" t="str">
        <f t="shared" si="104"/>
        <v/>
      </c>
      <c r="K1250" s="24" t="str">
        <f t="shared" si="105"/>
        <v/>
      </c>
      <c r="L1250" s="25" t="str">
        <f t="shared" si="101"/>
        <v/>
      </c>
      <c r="M1250" s="37"/>
      <c r="N1250" s="37"/>
      <c r="O1250" s="33" t="str">
        <f t="shared" si="102"/>
        <v/>
      </c>
      <c r="P1250" s="33" t="str">
        <f t="shared" si="103"/>
        <v/>
      </c>
      <c r="X1250" s="1"/>
    </row>
    <row r="1251" spans="7:24">
      <c r="G1251" s="21"/>
      <c r="H1251" s="23"/>
      <c r="I1251" s="23" t="str">
        <f>_xlfn.IFNA(VLOOKUP(A1251,A1252:$H$3524,8,0),"")</f>
        <v/>
      </c>
      <c r="J1251" s="40" t="str">
        <f t="shared" si="104"/>
        <v/>
      </c>
      <c r="K1251" s="24" t="str">
        <f t="shared" si="105"/>
        <v/>
      </c>
      <c r="L1251" s="25" t="str">
        <f t="shared" si="101"/>
        <v/>
      </c>
      <c r="M1251" s="37"/>
      <c r="N1251" s="37"/>
      <c r="O1251" s="33" t="str">
        <f t="shared" si="102"/>
        <v/>
      </c>
      <c r="P1251" s="33" t="str">
        <f t="shared" si="103"/>
        <v/>
      </c>
      <c r="X1251" s="1"/>
    </row>
    <row r="1252" spans="7:24">
      <c r="G1252" s="21"/>
      <c r="H1252" s="23"/>
      <c r="I1252" s="23" t="str">
        <f>_xlfn.IFNA(VLOOKUP(A1252,A1253:$H$3524,8,0),"")</f>
        <v/>
      </c>
      <c r="J1252" s="40" t="str">
        <f t="shared" si="104"/>
        <v/>
      </c>
      <c r="K1252" s="24" t="str">
        <f t="shared" si="105"/>
        <v/>
      </c>
      <c r="L1252" s="25" t="str">
        <f t="shared" si="101"/>
        <v/>
      </c>
      <c r="M1252" s="37"/>
      <c r="N1252" s="37"/>
      <c r="O1252" s="33" t="str">
        <f t="shared" si="102"/>
        <v/>
      </c>
      <c r="P1252" s="33" t="str">
        <f t="shared" si="103"/>
        <v/>
      </c>
      <c r="X1252" s="1"/>
    </row>
    <row r="1253" spans="7:24">
      <c r="G1253" s="21"/>
      <c r="H1253" s="23"/>
      <c r="I1253" s="23" t="str">
        <f>_xlfn.IFNA(VLOOKUP(A1253,A1254:$H$3524,8,0),"")</f>
        <v/>
      </c>
      <c r="J1253" s="40" t="str">
        <f t="shared" si="104"/>
        <v/>
      </c>
      <c r="K1253" s="24" t="str">
        <f t="shared" si="105"/>
        <v/>
      </c>
      <c r="L1253" s="25" t="str">
        <f t="shared" si="101"/>
        <v/>
      </c>
      <c r="M1253" s="37"/>
      <c r="N1253" s="37"/>
      <c r="O1253" s="33" t="str">
        <f t="shared" si="102"/>
        <v/>
      </c>
      <c r="P1253" s="33" t="str">
        <f t="shared" si="103"/>
        <v/>
      </c>
      <c r="X1253" s="1"/>
    </row>
    <row r="1254" spans="7:24">
      <c r="G1254" s="21"/>
      <c r="H1254" s="23"/>
      <c r="I1254" s="23" t="str">
        <f>_xlfn.IFNA(VLOOKUP(A1254,A1255:$H$3524,8,0),"")</f>
        <v/>
      </c>
      <c r="J1254" s="40" t="str">
        <f t="shared" si="104"/>
        <v/>
      </c>
      <c r="K1254" s="24" t="str">
        <f t="shared" si="105"/>
        <v/>
      </c>
      <c r="L1254" s="25" t="str">
        <f t="shared" si="101"/>
        <v/>
      </c>
      <c r="M1254" s="37"/>
      <c r="N1254" s="37"/>
      <c r="O1254" s="33" t="str">
        <f t="shared" si="102"/>
        <v/>
      </c>
      <c r="P1254" s="33" t="str">
        <f t="shared" si="103"/>
        <v/>
      </c>
      <c r="X1254" s="1"/>
    </row>
    <row r="1255" spans="7:24">
      <c r="G1255" s="21"/>
      <c r="H1255" s="23"/>
      <c r="I1255" s="23" t="str">
        <f>_xlfn.IFNA(VLOOKUP(A1255,A1256:$H$3524,8,0),"")</f>
        <v/>
      </c>
      <c r="J1255" s="40" t="str">
        <f t="shared" si="104"/>
        <v/>
      </c>
      <c r="K1255" s="24" t="str">
        <f t="shared" si="105"/>
        <v/>
      </c>
      <c r="L1255" s="25" t="str">
        <f t="shared" si="101"/>
        <v/>
      </c>
      <c r="M1255" s="37"/>
      <c r="N1255" s="37"/>
      <c r="O1255" s="33" t="str">
        <f t="shared" si="102"/>
        <v/>
      </c>
      <c r="P1255" s="33" t="str">
        <f t="shared" si="103"/>
        <v/>
      </c>
      <c r="X1255" s="1"/>
    </row>
    <row r="1256" spans="7:24">
      <c r="G1256" s="21"/>
      <c r="H1256" s="23"/>
      <c r="I1256" s="23" t="str">
        <f>_xlfn.IFNA(VLOOKUP(A1256,A1257:$H$3524,8,0),"")</f>
        <v/>
      </c>
      <c r="J1256" s="40" t="str">
        <f t="shared" si="104"/>
        <v/>
      </c>
      <c r="K1256" s="24" t="str">
        <f t="shared" si="105"/>
        <v/>
      </c>
      <c r="L1256" s="25" t="str">
        <f t="shared" si="101"/>
        <v/>
      </c>
      <c r="M1256" s="37"/>
      <c r="N1256" s="37"/>
      <c r="O1256" s="33" t="str">
        <f t="shared" si="102"/>
        <v/>
      </c>
      <c r="P1256" s="33" t="str">
        <f t="shared" si="103"/>
        <v/>
      </c>
      <c r="X1256" s="1"/>
    </row>
    <row r="1257" spans="7:24">
      <c r="G1257" s="21"/>
      <c r="H1257" s="23"/>
      <c r="I1257" s="23" t="str">
        <f>_xlfn.IFNA(VLOOKUP(A1257,A1258:$H$3524,8,0),"")</f>
        <v/>
      </c>
      <c r="J1257" s="40" t="str">
        <f t="shared" si="104"/>
        <v/>
      </c>
      <c r="K1257" s="24" t="str">
        <f t="shared" si="105"/>
        <v/>
      </c>
      <c r="L1257" s="25" t="str">
        <f t="shared" si="101"/>
        <v/>
      </c>
      <c r="M1257" s="37"/>
      <c r="N1257" s="37"/>
      <c r="O1257" s="33" t="str">
        <f t="shared" si="102"/>
        <v/>
      </c>
      <c r="P1257" s="33" t="str">
        <f t="shared" si="103"/>
        <v/>
      </c>
      <c r="X1257" s="1"/>
    </row>
    <row r="1258" spans="7:24">
      <c r="G1258" s="21"/>
      <c r="H1258" s="23"/>
      <c r="I1258" s="23" t="str">
        <f>_xlfn.IFNA(VLOOKUP(A1258,A1259:$H$3524,8,0),"")</f>
        <v/>
      </c>
      <c r="J1258" s="40" t="str">
        <f t="shared" si="104"/>
        <v/>
      </c>
      <c r="K1258" s="24" t="str">
        <f t="shared" si="105"/>
        <v/>
      </c>
      <c r="L1258" s="25" t="str">
        <f t="shared" si="101"/>
        <v/>
      </c>
      <c r="M1258" s="37"/>
      <c r="N1258" s="37"/>
      <c r="O1258" s="33" t="str">
        <f t="shared" si="102"/>
        <v/>
      </c>
      <c r="P1258" s="33" t="str">
        <f t="shared" si="103"/>
        <v/>
      </c>
      <c r="X1258" s="1"/>
    </row>
    <row r="1259" spans="7:24">
      <c r="G1259" s="21"/>
      <c r="H1259" s="23"/>
      <c r="I1259" s="23" t="str">
        <f>_xlfn.IFNA(VLOOKUP(A1259,A1260:$H$3524,8,0),"")</f>
        <v/>
      </c>
      <c r="J1259" s="40" t="str">
        <f t="shared" si="104"/>
        <v/>
      </c>
      <c r="K1259" s="24" t="str">
        <f t="shared" si="105"/>
        <v/>
      </c>
      <c r="L1259" s="25" t="str">
        <f t="shared" si="101"/>
        <v/>
      </c>
      <c r="M1259" s="37"/>
      <c r="N1259" s="37"/>
      <c r="O1259" s="33" t="str">
        <f t="shared" si="102"/>
        <v/>
      </c>
      <c r="P1259" s="33" t="str">
        <f t="shared" si="103"/>
        <v/>
      </c>
      <c r="X1259" s="1"/>
    </row>
    <row r="1260" spans="7:24">
      <c r="G1260" s="21"/>
      <c r="H1260" s="23"/>
      <c r="I1260" s="23" t="str">
        <f>_xlfn.IFNA(VLOOKUP(A1260,A1261:$H$3524,8,0),"")</f>
        <v/>
      </c>
      <c r="J1260" s="40" t="str">
        <f t="shared" si="104"/>
        <v/>
      </c>
      <c r="K1260" s="24" t="str">
        <f t="shared" si="105"/>
        <v/>
      </c>
      <c r="L1260" s="25" t="str">
        <f t="shared" si="101"/>
        <v/>
      </c>
      <c r="M1260" s="37"/>
      <c r="N1260" s="37"/>
      <c r="O1260" s="33" t="str">
        <f t="shared" si="102"/>
        <v/>
      </c>
      <c r="P1260" s="33" t="str">
        <f t="shared" si="103"/>
        <v/>
      </c>
      <c r="X1260" s="1"/>
    </row>
    <row r="1261" spans="7:24">
      <c r="G1261" s="21"/>
      <c r="H1261" s="23"/>
      <c r="I1261" s="23" t="str">
        <f>_xlfn.IFNA(VLOOKUP(A1261,A1262:$H$3524,8,0),"")</f>
        <v/>
      </c>
      <c r="J1261" s="40" t="str">
        <f t="shared" si="104"/>
        <v/>
      </c>
      <c r="K1261" s="24" t="str">
        <f t="shared" si="105"/>
        <v/>
      </c>
      <c r="L1261" s="25" t="str">
        <f t="shared" si="101"/>
        <v/>
      </c>
      <c r="M1261" s="37"/>
      <c r="N1261" s="37"/>
      <c r="O1261" s="33" t="str">
        <f t="shared" si="102"/>
        <v/>
      </c>
      <c r="P1261" s="33" t="str">
        <f t="shared" si="103"/>
        <v/>
      </c>
      <c r="X1261" s="1"/>
    </row>
    <row r="1262" spans="7:24">
      <c r="G1262" s="21"/>
      <c r="H1262" s="23"/>
      <c r="I1262" s="23" t="str">
        <f>_xlfn.IFNA(VLOOKUP(A1262,A1263:$H$3524,8,0),"")</f>
        <v/>
      </c>
      <c r="J1262" s="40" t="str">
        <f t="shared" si="104"/>
        <v/>
      </c>
      <c r="K1262" s="24" t="str">
        <f t="shared" si="105"/>
        <v/>
      </c>
      <c r="L1262" s="25" t="str">
        <f t="shared" si="101"/>
        <v/>
      </c>
      <c r="M1262" s="37"/>
      <c r="N1262" s="37"/>
      <c r="O1262" s="33" t="str">
        <f t="shared" si="102"/>
        <v/>
      </c>
      <c r="P1262" s="33" t="str">
        <f t="shared" si="103"/>
        <v/>
      </c>
      <c r="X1262" s="1"/>
    </row>
    <row r="1263" spans="7:24">
      <c r="G1263" s="21"/>
      <c r="H1263" s="23"/>
      <c r="I1263" s="23" t="str">
        <f>_xlfn.IFNA(VLOOKUP(A1263,A1264:$H$3524,8,0),"")</f>
        <v/>
      </c>
      <c r="J1263" s="40" t="str">
        <f t="shared" si="104"/>
        <v/>
      </c>
      <c r="K1263" s="24" t="str">
        <f t="shared" si="105"/>
        <v/>
      </c>
      <c r="L1263" s="25" t="str">
        <f t="shared" si="101"/>
        <v/>
      </c>
      <c r="M1263" s="37"/>
      <c r="N1263" s="37"/>
      <c r="O1263" s="33" t="str">
        <f t="shared" si="102"/>
        <v/>
      </c>
      <c r="P1263" s="33" t="str">
        <f t="shared" si="103"/>
        <v/>
      </c>
      <c r="X1263" s="1"/>
    </row>
    <row r="1264" spans="7:24">
      <c r="G1264" s="21"/>
      <c r="H1264" s="23"/>
      <c r="I1264" s="23" t="str">
        <f>_xlfn.IFNA(VLOOKUP(A1264,A1265:$H$3524,8,0),"")</f>
        <v/>
      </c>
      <c r="J1264" s="40" t="str">
        <f t="shared" si="104"/>
        <v/>
      </c>
      <c r="K1264" s="24" t="str">
        <f t="shared" si="105"/>
        <v/>
      </c>
      <c r="L1264" s="25" t="str">
        <f t="shared" si="101"/>
        <v/>
      </c>
      <c r="M1264" s="37"/>
      <c r="N1264" s="37"/>
      <c r="O1264" s="33" t="str">
        <f t="shared" si="102"/>
        <v/>
      </c>
      <c r="P1264" s="33" t="str">
        <f t="shared" si="103"/>
        <v/>
      </c>
      <c r="X1264" s="1"/>
    </row>
    <row r="1265" spans="7:24">
      <c r="G1265" s="21"/>
      <c r="H1265" s="23"/>
      <c r="I1265" s="23" t="str">
        <f>_xlfn.IFNA(VLOOKUP(A1265,A1266:$H$3524,8,0),"")</f>
        <v/>
      </c>
      <c r="J1265" s="40" t="str">
        <f t="shared" si="104"/>
        <v/>
      </c>
      <c r="K1265" s="24" t="str">
        <f t="shared" si="105"/>
        <v/>
      </c>
      <c r="L1265" s="25" t="str">
        <f t="shared" si="101"/>
        <v/>
      </c>
      <c r="M1265" s="37"/>
      <c r="N1265" s="37"/>
      <c r="O1265" s="33" t="str">
        <f t="shared" si="102"/>
        <v/>
      </c>
      <c r="P1265" s="33" t="str">
        <f t="shared" si="103"/>
        <v/>
      </c>
      <c r="X1265" s="1"/>
    </row>
    <row r="1266" spans="7:24">
      <c r="G1266" s="21"/>
      <c r="H1266" s="23"/>
      <c r="I1266" s="23" t="str">
        <f>_xlfn.IFNA(VLOOKUP(A1266,A1267:$H$3524,8,0),"")</f>
        <v/>
      </c>
      <c r="J1266" s="40" t="str">
        <f t="shared" si="104"/>
        <v/>
      </c>
      <c r="K1266" s="24" t="str">
        <f t="shared" si="105"/>
        <v/>
      </c>
      <c r="L1266" s="25" t="str">
        <f t="shared" si="101"/>
        <v/>
      </c>
      <c r="M1266" s="37"/>
      <c r="N1266" s="37"/>
      <c r="O1266" s="33" t="str">
        <f t="shared" si="102"/>
        <v/>
      </c>
      <c r="P1266" s="33" t="str">
        <f t="shared" si="103"/>
        <v/>
      </c>
      <c r="X1266" s="1"/>
    </row>
    <row r="1267" spans="7:24">
      <c r="G1267" s="21"/>
      <c r="H1267" s="23"/>
      <c r="I1267" s="23" t="str">
        <f>_xlfn.IFNA(VLOOKUP(A1267,A1268:$H$3524,8,0),"")</f>
        <v/>
      </c>
      <c r="J1267" s="40" t="str">
        <f t="shared" si="104"/>
        <v/>
      </c>
      <c r="K1267" s="24" t="str">
        <f t="shared" si="105"/>
        <v/>
      </c>
      <c r="L1267" s="25" t="str">
        <f t="shared" si="101"/>
        <v/>
      </c>
      <c r="M1267" s="37"/>
      <c r="N1267" s="37"/>
      <c r="O1267" s="33" t="str">
        <f t="shared" si="102"/>
        <v/>
      </c>
      <c r="P1267" s="33" t="str">
        <f t="shared" si="103"/>
        <v/>
      </c>
      <c r="X1267" s="1"/>
    </row>
    <row r="1268" spans="7:24">
      <c r="G1268" s="21"/>
      <c r="H1268" s="23"/>
      <c r="I1268" s="23" t="str">
        <f>_xlfn.IFNA(VLOOKUP(A1268,A1269:$H$3524,8,0),"")</f>
        <v/>
      </c>
      <c r="J1268" s="40" t="str">
        <f t="shared" si="104"/>
        <v/>
      </c>
      <c r="K1268" s="24" t="str">
        <f t="shared" si="105"/>
        <v/>
      </c>
      <c r="L1268" s="25" t="str">
        <f t="shared" si="101"/>
        <v/>
      </c>
      <c r="M1268" s="37"/>
      <c r="N1268" s="37"/>
      <c r="O1268" s="33" t="str">
        <f t="shared" si="102"/>
        <v/>
      </c>
      <c r="P1268" s="33" t="str">
        <f t="shared" si="103"/>
        <v/>
      </c>
      <c r="X1268" s="1"/>
    </row>
    <row r="1269" spans="7:24">
      <c r="G1269" s="21"/>
      <c r="H1269" s="23"/>
      <c r="I1269" s="23" t="str">
        <f>_xlfn.IFNA(VLOOKUP(A1269,A1270:$H$3524,8,0),"")</f>
        <v/>
      </c>
      <c r="J1269" s="40" t="str">
        <f t="shared" si="104"/>
        <v/>
      </c>
      <c r="K1269" s="24" t="str">
        <f t="shared" si="105"/>
        <v/>
      </c>
      <c r="L1269" s="25" t="str">
        <f t="shared" si="101"/>
        <v/>
      </c>
      <c r="M1269" s="37"/>
      <c r="N1269" s="37"/>
      <c r="O1269" s="33" t="str">
        <f t="shared" si="102"/>
        <v/>
      </c>
      <c r="P1269" s="33" t="str">
        <f t="shared" si="103"/>
        <v/>
      </c>
      <c r="X1269" s="1"/>
    </row>
    <row r="1270" spans="7:24">
      <c r="G1270" s="21"/>
      <c r="H1270" s="23"/>
      <c r="I1270" s="23" t="str">
        <f>_xlfn.IFNA(VLOOKUP(A1270,A1271:$H$3524,8,0),"")</f>
        <v/>
      </c>
      <c r="J1270" s="40" t="str">
        <f t="shared" si="104"/>
        <v/>
      </c>
      <c r="K1270" s="24" t="str">
        <f t="shared" si="105"/>
        <v/>
      </c>
      <c r="L1270" s="25" t="str">
        <f t="shared" si="101"/>
        <v/>
      </c>
      <c r="M1270" s="37"/>
      <c r="N1270" s="37"/>
      <c r="O1270" s="33" t="str">
        <f t="shared" si="102"/>
        <v/>
      </c>
      <c r="P1270" s="33" t="str">
        <f t="shared" si="103"/>
        <v/>
      </c>
      <c r="X1270" s="1"/>
    </row>
    <row r="1271" spans="7:24">
      <c r="G1271" s="21"/>
      <c r="H1271" s="23"/>
      <c r="I1271" s="23" t="str">
        <f>_xlfn.IFNA(VLOOKUP(A1271,A1272:$H$3524,8,0),"")</f>
        <v/>
      </c>
      <c r="J1271" s="40" t="str">
        <f t="shared" si="104"/>
        <v/>
      </c>
      <c r="K1271" s="24" t="str">
        <f t="shared" si="105"/>
        <v/>
      </c>
      <c r="L1271" s="25" t="str">
        <f t="shared" ref="L1271:L1334" si="106">IF(K1271="","",IF(B1271="Break","Break",IF(K1271&lt;&gt;0,"Work Finished",IF(B1271="OFF","Work Finished",IF(I1271="","Working","Work Finished")))))</f>
        <v/>
      </c>
      <c r="M1271" s="37"/>
      <c r="N1271" s="37"/>
      <c r="O1271" s="33" t="str">
        <f t="shared" ref="O1271:O1334" si="107">IF(AND(J1271="",M1271="",N1271=""),"",J1271-M1271-N1271)</f>
        <v/>
      </c>
      <c r="P1271" s="33" t="str">
        <f t="shared" ref="P1271:P1334" si="108">IF(HOUR(H1271)=0,"",HOUR(H1271))</f>
        <v/>
      </c>
      <c r="X1271" s="1"/>
    </row>
    <row r="1272" spans="7:24">
      <c r="G1272" s="21"/>
      <c r="H1272" s="23"/>
      <c r="I1272" s="23" t="str">
        <f>_xlfn.IFNA(VLOOKUP(A1272,A1273:$H$3524,8,0),"")</f>
        <v/>
      </c>
      <c r="J1272" s="40" t="str">
        <f t="shared" si="104"/>
        <v/>
      </c>
      <c r="K1272" s="24" t="str">
        <f t="shared" si="105"/>
        <v/>
      </c>
      <c r="L1272" s="25" t="str">
        <f t="shared" si="106"/>
        <v/>
      </c>
      <c r="M1272" s="37"/>
      <c r="N1272" s="37"/>
      <c r="O1272" s="33" t="str">
        <f t="shared" si="107"/>
        <v/>
      </c>
      <c r="P1272" s="33" t="str">
        <f t="shared" si="108"/>
        <v/>
      </c>
      <c r="X1272" s="1"/>
    </row>
    <row r="1273" spans="7:24">
      <c r="G1273" s="21"/>
      <c r="H1273" s="23"/>
      <c r="I1273" s="23" t="str">
        <f>_xlfn.IFNA(VLOOKUP(A1273,A1274:$H$3524,8,0),"")</f>
        <v/>
      </c>
      <c r="J1273" s="40" t="str">
        <f t="shared" si="104"/>
        <v/>
      </c>
      <c r="K1273" s="24" t="str">
        <f t="shared" si="105"/>
        <v/>
      </c>
      <c r="L1273" s="25" t="str">
        <f t="shared" si="106"/>
        <v/>
      </c>
      <c r="M1273" s="37"/>
      <c r="N1273" s="37"/>
      <c r="O1273" s="33" t="str">
        <f t="shared" si="107"/>
        <v/>
      </c>
      <c r="P1273" s="33" t="str">
        <f t="shared" si="108"/>
        <v/>
      </c>
      <c r="X1273" s="1"/>
    </row>
    <row r="1274" spans="7:24">
      <c r="G1274" s="21"/>
      <c r="H1274" s="23"/>
      <c r="I1274" s="23" t="str">
        <f>_xlfn.IFNA(VLOOKUP(A1274,A1275:$H$3524,8,0),"")</f>
        <v/>
      </c>
      <c r="J1274" s="40" t="str">
        <f t="shared" si="104"/>
        <v/>
      </c>
      <c r="K1274" s="24" t="str">
        <f t="shared" si="105"/>
        <v/>
      </c>
      <c r="L1274" s="25" t="str">
        <f t="shared" si="106"/>
        <v/>
      </c>
      <c r="M1274" s="37"/>
      <c r="N1274" s="37"/>
      <c r="O1274" s="33" t="str">
        <f t="shared" si="107"/>
        <v/>
      </c>
      <c r="P1274" s="33" t="str">
        <f t="shared" si="108"/>
        <v/>
      </c>
      <c r="X1274" s="1"/>
    </row>
    <row r="1275" spans="7:24">
      <c r="G1275" s="21"/>
      <c r="H1275" s="23"/>
      <c r="I1275" s="23" t="str">
        <f>_xlfn.IFNA(VLOOKUP(A1275,A1276:$H$3524,8,0),"")</f>
        <v/>
      </c>
      <c r="J1275" s="40" t="str">
        <f t="shared" si="104"/>
        <v/>
      </c>
      <c r="K1275" s="24" t="str">
        <f t="shared" si="105"/>
        <v/>
      </c>
      <c r="L1275" s="25" t="str">
        <f t="shared" si="106"/>
        <v/>
      </c>
      <c r="M1275" s="37"/>
      <c r="N1275" s="37"/>
      <c r="O1275" s="33" t="str">
        <f t="shared" si="107"/>
        <v/>
      </c>
      <c r="P1275" s="33" t="str">
        <f t="shared" si="108"/>
        <v/>
      </c>
      <c r="X1275" s="1"/>
    </row>
    <row r="1276" spans="7:24">
      <c r="G1276" s="21"/>
      <c r="H1276" s="23"/>
      <c r="I1276" s="23" t="str">
        <f>_xlfn.IFNA(VLOOKUP(A1276,A1277:$H$3524,8,0),"")</f>
        <v/>
      </c>
      <c r="J1276" s="40" t="str">
        <f t="shared" si="104"/>
        <v/>
      </c>
      <c r="K1276" s="24" t="str">
        <f t="shared" si="105"/>
        <v/>
      </c>
      <c r="L1276" s="25" t="str">
        <f t="shared" si="106"/>
        <v/>
      </c>
      <c r="M1276" s="37"/>
      <c r="N1276" s="37"/>
      <c r="O1276" s="33" t="str">
        <f t="shared" si="107"/>
        <v/>
      </c>
      <c r="P1276" s="33" t="str">
        <f t="shared" si="108"/>
        <v/>
      </c>
      <c r="X1276" s="1"/>
    </row>
    <row r="1277" spans="7:24">
      <c r="G1277" s="21"/>
      <c r="H1277" s="23"/>
      <c r="I1277" s="23" t="str">
        <f>_xlfn.IFNA(VLOOKUP(A1277,A1278:$H$3524,8,0),"")</f>
        <v/>
      </c>
      <c r="J1277" s="40" t="str">
        <f t="shared" si="104"/>
        <v/>
      </c>
      <c r="K1277" s="24" t="str">
        <f t="shared" si="105"/>
        <v/>
      </c>
      <c r="L1277" s="25" t="str">
        <f t="shared" si="106"/>
        <v/>
      </c>
      <c r="M1277" s="37"/>
      <c r="N1277" s="37"/>
      <c r="O1277" s="33" t="str">
        <f t="shared" si="107"/>
        <v/>
      </c>
      <c r="P1277" s="33" t="str">
        <f t="shared" si="108"/>
        <v/>
      </c>
      <c r="X1277" s="1"/>
    </row>
    <row r="1278" spans="7:24">
      <c r="G1278" s="21"/>
      <c r="H1278" s="23"/>
      <c r="I1278" s="23" t="str">
        <f>_xlfn.IFNA(VLOOKUP(A1278,A1279:$H$3524,8,0),"")</f>
        <v/>
      </c>
      <c r="J1278" s="40" t="str">
        <f t="shared" si="104"/>
        <v/>
      </c>
      <c r="K1278" s="24" t="str">
        <f t="shared" si="105"/>
        <v/>
      </c>
      <c r="L1278" s="25" t="str">
        <f t="shared" si="106"/>
        <v/>
      </c>
      <c r="M1278" s="37"/>
      <c r="N1278" s="37"/>
      <c r="O1278" s="33" t="str">
        <f t="shared" si="107"/>
        <v/>
      </c>
      <c r="P1278" s="33" t="str">
        <f t="shared" si="108"/>
        <v/>
      </c>
      <c r="X1278" s="1"/>
    </row>
    <row r="1279" spans="7:24">
      <c r="G1279" s="21"/>
      <c r="H1279" s="23"/>
      <c r="I1279" s="23" t="str">
        <f>_xlfn.IFNA(VLOOKUP(A1279,A1280:$H$3524,8,0),"")</f>
        <v/>
      </c>
      <c r="J1279" s="40" t="str">
        <f t="shared" si="104"/>
        <v/>
      </c>
      <c r="K1279" s="24" t="str">
        <f t="shared" si="105"/>
        <v/>
      </c>
      <c r="L1279" s="25" t="str">
        <f t="shared" si="106"/>
        <v/>
      </c>
      <c r="M1279" s="37"/>
      <c r="N1279" s="37"/>
      <c r="O1279" s="33" t="str">
        <f t="shared" si="107"/>
        <v/>
      </c>
      <c r="P1279" s="33" t="str">
        <f t="shared" si="108"/>
        <v/>
      </c>
      <c r="X1279" s="1"/>
    </row>
    <row r="1280" spans="7:24">
      <c r="G1280" s="21"/>
      <c r="H1280" s="23"/>
      <c r="I1280" s="23" t="str">
        <f>_xlfn.IFNA(VLOOKUP(A1280,A1281:$H$3524,8,0),"")</f>
        <v/>
      </c>
      <c r="J1280" s="40" t="str">
        <f t="shared" si="104"/>
        <v/>
      </c>
      <c r="K1280" s="24" t="str">
        <f t="shared" si="105"/>
        <v/>
      </c>
      <c r="L1280" s="25" t="str">
        <f t="shared" si="106"/>
        <v/>
      </c>
      <c r="M1280" s="37"/>
      <c r="N1280" s="37"/>
      <c r="O1280" s="33" t="str">
        <f t="shared" si="107"/>
        <v/>
      </c>
      <c r="P1280" s="33" t="str">
        <f t="shared" si="108"/>
        <v/>
      </c>
      <c r="X1280" s="1"/>
    </row>
    <row r="1281" spans="7:24">
      <c r="G1281" s="21"/>
      <c r="H1281" s="23"/>
      <c r="I1281" s="23" t="str">
        <f>_xlfn.IFNA(VLOOKUP(A1281,A1282:$H$3524,8,0),"")</f>
        <v/>
      </c>
      <c r="J1281" s="40" t="str">
        <f t="shared" si="104"/>
        <v/>
      </c>
      <c r="K1281" s="24" t="str">
        <f t="shared" si="105"/>
        <v/>
      </c>
      <c r="L1281" s="25" t="str">
        <f t="shared" si="106"/>
        <v/>
      </c>
      <c r="M1281" s="37"/>
      <c r="N1281" s="37"/>
      <c r="O1281" s="33" t="str">
        <f t="shared" si="107"/>
        <v/>
      </c>
      <c r="P1281" s="33" t="str">
        <f t="shared" si="108"/>
        <v/>
      </c>
      <c r="X1281" s="1"/>
    </row>
    <row r="1282" spans="7:24">
      <c r="G1282" s="21"/>
      <c r="H1282" s="23"/>
      <c r="I1282" s="23" t="str">
        <f>_xlfn.IFNA(VLOOKUP(A1282,A1283:$H$3524,8,0),"")</f>
        <v/>
      </c>
      <c r="J1282" s="40" t="str">
        <f t="shared" si="104"/>
        <v/>
      </c>
      <c r="K1282" s="24" t="str">
        <f t="shared" si="105"/>
        <v/>
      </c>
      <c r="L1282" s="25" t="str">
        <f t="shared" si="106"/>
        <v/>
      </c>
      <c r="M1282" s="37"/>
      <c r="N1282" s="37"/>
      <c r="O1282" s="33" t="str">
        <f t="shared" si="107"/>
        <v/>
      </c>
      <c r="P1282" s="33" t="str">
        <f t="shared" si="108"/>
        <v/>
      </c>
      <c r="X1282" s="1"/>
    </row>
    <row r="1283" spans="7:24">
      <c r="G1283" s="21"/>
      <c r="H1283" s="23"/>
      <c r="I1283" s="23" t="str">
        <f>_xlfn.IFNA(VLOOKUP(A1283,A1284:$H$3524,8,0),"")</f>
        <v/>
      </c>
      <c r="J1283" s="40" t="str">
        <f t="shared" si="104"/>
        <v/>
      </c>
      <c r="K1283" s="24" t="str">
        <f t="shared" si="105"/>
        <v/>
      </c>
      <c r="L1283" s="25" t="str">
        <f t="shared" si="106"/>
        <v/>
      </c>
      <c r="M1283" s="37"/>
      <c r="N1283" s="37"/>
      <c r="O1283" s="33" t="str">
        <f t="shared" si="107"/>
        <v/>
      </c>
      <c r="P1283" s="33" t="str">
        <f t="shared" si="108"/>
        <v/>
      </c>
      <c r="X1283" s="1"/>
    </row>
    <row r="1284" spans="7:24">
      <c r="G1284" s="21"/>
      <c r="H1284" s="23"/>
      <c r="I1284" s="23" t="str">
        <f>_xlfn.IFNA(VLOOKUP(A1284,A1285:$H$3524,8,0),"")</f>
        <v/>
      </c>
      <c r="J1284" s="40" t="str">
        <f t="shared" si="104"/>
        <v/>
      </c>
      <c r="K1284" s="24" t="str">
        <f t="shared" si="105"/>
        <v/>
      </c>
      <c r="L1284" s="25" t="str">
        <f t="shared" si="106"/>
        <v/>
      </c>
      <c r="M1284" s="37"/>
      <c r="N1284" s="37"/>
      <c r="O1284" s="33" t="str">
        <f t="shared" si="107"/>
        <v/>
      </c>
      <c r="P1284" s="33" t="str">
        <f t="shared" si="108"/>
        <v/>
      </c>
      <c r="X1284" s="1"/>
    </row>
    <row r="1285" spans="7:24">
      <c r="G1285" s="21"/>
      <c r="H1285" s="23"/>
      <c r="I1285" s="23" t="str">
        <f>_xlfn.IFNA(VLOOKUP(A1285,A1286:$H$3524,8,0),"")</f>
        <v/>
      </c>
      <c r="J1285" s="40" t="str">
        <f t="shared" si="104"/>
        <v/>
      </c>
      <c r="K1285" s="24" t="str">
        <f t="shared" si="105"/>
        <v/>
      </c>
      <c r="L1285" s="25" t="str">
        <f t="shared" si="106"/>
        <v/>
      </c>
      <c r="M1285" s="37"/>
      <c r="N1285" s="37"/>
      <c r="O1285" s="33" t="str">
        <f t="shared" si="107"/>
        <v/>
      </c>
      <c r="P1285" s="33" t="str">
        <f t="shared" si="108"/>
        <v/>
      </c>
      <c r="X1285" s="1"/>
    </row>
    <row r="1286" spans="7:24">
      <c r="G1286" s="21"/>
      <c r="H1286" s="23"/>
      <c r="I1286" s="23" t="str">
        <f>_xlfn.IFNA(VLOOKUP(A1286,A1287:$H$3524,8,0),"")</f>
        <v/>
      </c>
      <c r="J1286" s="40" t="str">
        <f t="shared" ref="J1286:J1349" si="109">IF(B1286="OFF",0,IF(AND(D1286&lt;&gt;"",E1286&lt;&gt;""),E1286-D1286+1,""))</f>
        <v/>
      </c>
      <c r="K1286" s="24" t="str">
        <f t="shared" si="105"/>
        <v/>
      </c>
      <c r="L1286" s="25" t="str">
        <f t="shared" si="106"/>
        <v/>
      </c>
      <c r="M1286" s="37"/>
      <c r="N1286" s="37"/>
      <c r="O1286" s="33" t="str">
        <f t="shared" si="107"/>
        <v/>
      </c>
      <c r="P1286" s="33" t="str">
        <f t="shared" si="108"/>
        <v/>
      </c>
      <c r="X1286" s="1"/>
    </row>
    <row r="1287" spans="7:24">
      <c r="G1287" s="21"/>
      <c r="H1287" s="23"/>
      <c r="I1287" s="23" t="str">
        <f>_xlfn.IFNA(VLOOKUP(A1287,A1288:$H$3524,8,0),"")</f>
        <v/>
      </c>
      <c r="J1287" s="40" t="str">
        <f t="shared" si="109"/>
        <v/>
      </c>
      <c r="K1287" s="24" t="str">
        <f t="shared" si="105"/>
        <v/>
      </c>
      <c r="L1287" s="25" t="str">
        <f t="shared" si="106"/>
        <v/>
      </c>
      <c r="M1287" s="37"/>
      <c r="N1287" s="37"/>
      <c r="O1287" s="33" t="str">
        <f t="shared" si="107"/>
        <v/>
      </c>
      <c r="P1287" s="33" t="str">
        <f t="shared" si="108"/>
        <v/>
      </c>
      <c r="X1287" s="1"/>
    </row>
    <row r="1288" spans="7:24">
      <c r="G1288" s="21"/>
      <c r="H1288" s="23"/>
      <c r="I1288" s="23" t="str">
        <f>_xlfn.IFNA(VLOOKUP(A1288,A1289:$H$3524,8,0),"")</f>
        <v/>
      </c>
      <c r="J1288" s="40" t="str">
        <f t="shared" si="109"/>
        <v/>
      </c>
      <c r="K1288" s="24" t="str">
        <f t="shared" si="105"/>
        <v/>
      </c>
      <c r="L1288" s="25" t="str">
        <f t="shared" si="106"/>
        <v/>
      </c>
      <c r="M1288" s="37"/>
      <c r="N1288" s="37"/>
      <c r="O1288" s="33" t="str">
        <f t="shared" si="107"/>
        <v/>
      </c>
      <c r="P1288" s="33" t="str">
        <f t="shared" si="108"/>
        <v/>
      </c>
      <c r="X1288" s="1"/>
    </row>
    <row r="1289" spans="7:24">
      <c r="G1289" s="21"/>
      <c r="H1289" s="23"/>
      <c r="I1289" s="23" t="str">
        <f>_xlfn.IFNA(VLOOKUP(A1289,A1290:$H$3524,8,0),"")</f>
        <v/>
      </c>
      <c r="J1289" s="40" t="str">
        <f t="shared" si="109"/>
        <v/>
      </c>
      <c r="K1289" s="24" t="str">
        <f t="shared" si="105"/>
        <v/>
      </c>
      <c r="L1289" s="25" t="str">
        <f t="shared" si="106"/>
        <v/>
      </c>
      <c r="M1289" s="37"/>
      <c r="N1289" s="37"/>
      <c r="O1289" s="33" t="str">
        <f t="shared" si="107"/>
        <v/>
      </c>
      <c r="P1289" s="33" t="str">
        <f t="shared" si="108"/>
        <v/>
      </c>
      <c r="X1289" s="1"/>
    </row>
    <row r="1290" spans="7:24">
      <c r="G1290" s="21"/>
      <c r="H1290" s="23"/>
      <c r="I1290" s="23" t="str">
        <f>_xlfn.IFNA(VLOOKUP(A1290,A1291:$H$3524,8,0),"")</f>
        <v/>
      </c>
      <c r="J1290" s="40" t="str">
        <f t="shared" si="109"/>
        <v/>
      </c>
      <c r="K1290" s="24" t="str">
        <f t="shared" si="105"/>
        <v/>
      </c>
      <c r="L1290" s="25" t="str">
        <f t="shared" si="106"/>
        <v/>
      </c>
      <c r="M1290" s="37"/>
      <c r="N1290" s="37"/>
      <c r="O1290" s="33" t="str">
        <f t="shared" si="107"/>
        <v/>
      </c>
      <c r="P1290" s="33" t="str">
        <f t="shared" si="108"/>
        <v/>
      </c>
      <c r="X1290" s="1"/>
    </row>
    <row r="1291" spans="7:24">
      <c r="G1291" s="21"/>
      <c r="H1291" s="23"/>
      <c r="I1291" s="23" t="str">
        <f>_xlfn.IFNA(VLOOKUP(A1291,A1292:$H$3524,8,0),"")</f>
        <v/>
      </c>
      <c r="J1291" s="40" t="str">
        <f t="shared" si="109"/>
        <v/>
      </c>
      <c r="K1291" s="24" t="str">
        <f t="shared" si="105"/>
        <v/>
      </c>
      <c r="L1291" s="25" t="str">
        <f t="shared" si="106"/>
        <v/>
      </c>
      <c r="M1291" s="37"/>
      <c r="N1291" s="37"/>
      <c r="O1291" s="33" t="str">
        <f t="shared" si="107"/>
        <v/>
      </c>
      <c r="P1291" s="33" t="str">
        <f t="shared" si="108"/>
        <v/>
      </c>
      <c r="X1291" s="1"/>
    </row>
    <row r="1292" spans="7:24">
      <c r="G1292" s="21"/>
      <c r="H1292" s="23"/>
      <c r="I1292" s="23" t="str">
        <f>_xlfn.IFNA(VLOOKUP(A1292,A1293:$H$3524,8,0),"")</f>
        <v/>
      </c>
      <c r="J1292" s="40" t="str">
        <f t="shared" si="109"/>
        <v/>
      </c>
      <c r="K1292" s="24" t="str">
        <f t="shared" si="105"/>
        <v/>
      </c>
      <c r="L1292" s="25" t="str">
        <f t="shared" si="106"/>
        <v/>
      </c>
      <c r="M1292" s="37"/>
      <c r="N1292" s="37"/>
      <c r="O1292" s="33" t="str">
        <f t="shared" si="107"/>
        <v/>
      </c>
      <c r="P1292" s="33" t="str">
        <f t="shared" si="108"/>
        <v/>
      </c>
      <c r="X1292" s="1"/>
    </row>
    <row r="1293" spans="7:24">
      <c r="G1293" s="21"/>
      <c r="H1293" s="23"/>
      <c r="I1293" s="23" t="str">
        <f>_xlfn.IFNA(VLOOKUP(A1293,A1294:$H$3524,8,0),"")</f>
        <v/>
      </c>
      <c r="J1293" s="40" t="str">
        <f t="shared" si="109"/>
        <v/>
      </c>
      <c r="K1293" s="24" t="str">
        <f t="shared" si="105"/>
        <v/>
      </c>
      <c r="L1293" s="25" t="str">
        <f t="shared" si="106"/>
        <v/>
      </c>
      <c r="M1293" s="37"/>
      <c r="N1293" s="37"/>
      <c r="O1293" s="33" t="str">
        <f t="shared" si="107"/>
        <v/>
      </c>
      <c r="P1293" s="33" t="str">
        <f t="shared" si="108"/>
        <v/>
      </c>
      <c r="X1293" s="1"/>
    </row>
    <row r="1294" spans="7:24">
      <c r="G1294" s="21"/>
      <c r="H1294" s="23"/>
      <c r="I1294" s="23" t="str">
        <f>_xlfn.IFNA(VLOOKUP(A1294,A1295:$H$3524,8,0),"")</f>
        <v/>
      </c>
      <c r="J1294" s="40" t="str">
        <f t="shared" si="109"/>
        <v/>
      </c>
      <c r="K1294" s="24" t="str">
        <f t="shared" si="105"/>
        <v/>
      </c>
      <c r="L1294" s="25" t="str">
        <f t="shared" si="106"/>
        <v/>
      </c>
      <c r="M1294" s="37"/>
      <c r="N1294" s="37"/>
      <c r="O1294" s="33" t="str">
        <f t="shared" si="107"/>
        <v/>
      </c>
      <c r="P1294" s="33" t="str">
        <f t="shared" si="108"/>
        <v/>
      </c>
      <c r="X1294" s="1"/>
    </row>
    <row r="1295" spans="7:24">
      <c r="G1295" s="21"/>
      <c r="H1295" s="23"/>
      <c r="I1295" s="23" t="str">
        <f>_xlfn.IFNA(VLOOKUP(A1295,A1296:$H$3524,8,0),"")</f>
        <v/>
      </c>
      <c r="J1295" s="40" t="str">
        <f t="shared" si="109"/>
        <v/>
      </c>
      <c r="K1295" s="24" t="str">
        <f t="shared" si="105"/>
        <v/>
      </c>
      <c r="L1295" s="25" t="str">
        <f t="shared" si="106"/>
        <v/>
      </c>
      <c r="M1295" s="37"/>
      <c r="N1295" s="37"/>
      <c r="O1295" s="33" t="str">
        <f t="shared" si="107"/>
        <v/>
      </c>
      <c r="P1295" s="33" t="str">
        <f t="shared" si="108"/>
        <v/>
      </c>
      <c r="X1295" s="1"/>
    </row>
    <row r="1296" spans="7:24">
      <c r="G1296" s="21"/>
      <c r="H1296" s="23"/>
      <c r="I1296" s="23" t="str">
        <f>_xlfn.IFNA(VLOOKUP(A1296,A1297:$H$3524,8,0),"")</f>
        <v/>
      </c>
      <c r="J1296" s="40" t="str">
        <f t="shared" si="109"/>
        <v/>
      </c>
      <c r="K1296" s="24" t="str">
        <f t="shared" si="105"/>
        <v/>
      </c>
      <c r="L1296" s="25" t="str">
        <f t="shared" si="106"/>
        <v/>
      </c>
      <c r="M1296" s="37"/>
      <c r="N1296" s="37"/>
      <c r="O1296" s="33" t="str">
        <f t="shared" si="107"/>
        <v/>
      </c>
      <c r="P1296" s="33" t="str">
        <f t="shared" si="108"/>
        <v/>
      </c>
      <c r="X1296" s="1"/>
    </row>
    <row r="1297" spans="7:24">
      <c r="G1297" s="21"/>
      <c r="H1297" s="23"/>
      <c r="I1297" s="23" t="str">
        <f>_xlfn.IFNA(VLOOKUP(A1297,A1298:$H$3524,8,0),"")</f>
        <v/>
      </c>
      <c r="J1297" s="40" t="str">
        <f t="shared" si="109"/>
        <v/>
      </c>
      <c r="K1297" s="24" t="str">
        <f t="shared" si="105"/>
        <v/>
      </c>
      <c r="L1297" s="25" t="str">
        <f t="shared" si="106"/>
        <v/>
      </c>
      <c r="M1297" s="37"/>
      <c r="N1297" s="37"/>
      <c r="O1297" s="33" t="str">
        <f t="shared" si="107"/>
        <v/>
      </c>
      <c r="P1297" s="33" t="str">
        <f t="shared" si="108"/>
        <v/>
      </c>
      <c r="X1297" s="1"/>
    </row>
    <row r="1298" spans="7:24">
      <c r="G1298" s="21"/>
      <c r="H1298" s="23"/>
      <c r="I1298" s="23" t="str">
        <f>_xlfn.IFNA(VLOOKUP(A1298,A1299:$H$3524,8,0),"")</f>
        <v/>
      </c>
      <c r="J1298" s="40" t="str">
        <f t="shared" si="109"/>
        <v/>
      </c>
      <c r="K1298" s="24" t="str">
        <f t="shared" si="105"/>
        <v/>
      </c>
      <c r="L1298" s="25" t="str">
        <f t="shared" si="106"/>
        <v/>
      </c>
      <c r="M1298" s="37"/>
      <c r="N1298" s="37"/>
      <c r="O1298" s="33" t="str">
        <f t="shared" si="107"/>
        <v/>
      </c>
      <c r="P1298" s="33" t="str">
        <f t="shared" si="108"/>
        <v/>
      </c>
      <c r="X1298" s="1"/>
    </row>
    <row r="1299" spans="7:24">
      <c r="G1299" s="21"/>
      <c r="H1299" s="23"/>
      <c r="I1299" s="23" t="str">
        <f>_xlfn.IFNA(VLOOKUP(A1299,A1300:$H$3524,8,0),"")</f>
        <v/>
      </c>
      <c r="J1299" s="40" t="str">
        <f t="shared" si="109"/>
        <v/>
      </c>
      <c r="K1299" s="24" t="str">
        <f t="shared" si="105"/>
        <v/>
      </c>
      <c r="L1299" s="25" t="str">
        <f t="shared" si="106"/>
        <v/>
      </c>
      <c r="M1299" s="37"/>
      <c r="N1299" s="37"/>
      <c r="O1299" s="33" t="str">
        <f t="shared" si="107"/>
        <v/>
      </c>
      <c r="P1299" s="33" t="str">
        <f t="shared" si="108"/>
        <v/>
      </c>
      <c r="X1299" s="1"/>
    </row>
    <row r="1300" spans="7:24">
      <c r="G1300" s="21"/>
      <c r="H1300" s="23"/>
      <c r="I1300" s="23" t="str">
        <f>_xlfn.IFNA(VLOOKUP(A1300,A1301:$H$3524,8,0),"")</f>
        <v/>
      </c>
      <c r="J1300" s="40" t="str">
        <f t="shared" si="109"/>
        <v/>
      </c>
      <c r="K1300" s="24" t="str">
        <f t="shared" si="105"/>
        <v/>
      </c>
      <c r="L1300" s="25" t="str">
        <f t="shared" si="106"/>
        <v/>
      </c>
      <c r="M1300" s="37"/>
      <c r="N1300" s="37"/>
      <c r="O1300" s="33" t="str">
        <f t="shared" si="107"/>
        <v/>
      </c>
      <c r="P1300" s="33" t="str">
        <f t="shared" si="108"/>
        <v/>
      </c>
      <c r="X1300" s="1"/>
    </row>
    <row r="1301" spans="7:24">
      <c r="G1301" s="21"/>
      <c r="H1301" s="23"/>
      <c r="I1301" s="23" t="str">
        <f>_xlfn.IFNA(VLOOKUP(A1301,A1302:$H$3524,8,0),"")</f>
        <v/>
      </c>
      <c r="J1301" s="40" t="str">
        <f t="shared" si="109"/>
        <v/>
      </c>
      <c r="K1301" s="24" t="str">
        <f t="shared" si="105"/>
        <v/>
      </c>
      <c r="L1301" s="25" t="str">
        <f t="shared" si="106"/>
        <v/>
      </c>
      <c r="M1301" s="37"/>
      <c r="N1301" s="37"/>
      <c r="O1301" s="33" t="str">
        <f t="shared" si="107"/>
        <v/>
      </c>
      <c r="P1301" s="33" t="str">
        <f t="shared" si="108"/>
        <v/>
      </c>
      <c r="X1301" s="1"/>
    </row>
    <row r="1302" spans="7:24">
      <c r="G1302" s="21"/>
      <c r="H1302" s="23"/>
      <c r="I1302" s="23" t="str">
        <f>_xlfn.IFNA(VLOOKUP(A1302,A1303:$H$3524,8,0),"")</f>
        <v/>
      </c>
      <c r="J1302" s="40" t="str">
        <f t="shared" si="109"/>
        <v/>
      </c>
      <c r="K1302" s="24" t="str">
        <f t="shared" ref="K1302:K1365" si="110">IF(H1302="","",IFERROR((I1302-H1302)*24,0))</f>
        <v/>
      </c>
      <c r="L1302" s="25" t="str">
        <f t="shared" si="106"/>
        <v/>
      </c>
      <c r="M1302" s="37"/>
      <c r="N1302" s="37"/>
      <c r="O1302" s="33" t="str">
        <f t="shared" si="107"/>
        <v/>
      </c>
      <c r="P1302" s="33" t="str">
        <f t="shared" si="108"/>
        <v/>
      </c>
      <c r="X1302" s="1"/>
    </row>
    <row r="1303" spans="7:24">
      <c r="G1303" s="21"/>
      <c r="H1303" s="23"/>
      <c r="I1303" s="23" t="str">
        <f>_xlfn.IFNA(VLOOKUP(A1303,A1304:$H$3524,8,0),"")</f>
        <v/>
      </c>
      <c r="J1303" s="40" t="str">
        <f t="shared" si="109"/>
        <v/>
      </c>
      <c r="K1303" s="24" t="str">
        <f t="shared" si="110"/>
        <v/>
      </c>
      <c r="L1303" s="25" t="str">
        <f t="shared" si="106"/>
        <v/>
      </c>
      <c r="M1303" s="37"/>
      <c r="N1303" s="37"/>
      <c r="O1303" s="33" t="str">
        <f t="shared" si="107"/>
        <v/>
      </c>
      <c r="P1303" s="33" t="str">
        <f t="shared" si="108"/>
        <v/>
      </c>
      <c r="X1303" s="1"/>
    </row>
    <row r="1304" spans="7:24">
      <c r="G1304" s="21"/>
      <c r="H1304" s="23"/>
      <c r="I1304" s="23" t="str">
        <f>_xlfn.IFNA(VLOOKUP(A1304,A1305:$H$3524,8,0),"")</f>
        <v/>
      </c>
      <c r="J1304" s="40" t="str">
        <f t="shared" si="109"/>
        <v/>
      </c>
      <c r="K1304" s="24" t="str">
        <f t="shared" si="110"/>
        <v/>
      </c>
      <c r="L1304" s="25" t="str">
        <f t="shared" si="106"/>
        <v/>
      </c>
      <c r="M1304" s="37"/>
      <c r="N1304" s="37"/>
      <c r="O1304" s="33" t="str">
        <f t="shared" si="107"/>
        <v/>
      </c>
      <c r="P1304" s="33" t="str">
        <f t="shared" si="108"/>
        <v/>
      </c>
      <c r="X1304" s="1"/>
    </row>
    <row r="1305" spans="7:24">
      <c r="G1305" s="21"/>
      <c r="H1305" s="23"/>
      <c r="I1305" s="23" t="str">
        <f>_xlfn.IFNA(VLOOKUP(A1305,A1306:$H$3524,8,0),"")</f>
        <v/>
      </c>
      <c r="J1305" s="40" t="str">
        <f t="shared" si="109"/>
        <v/>
      </c>
      <c r="K1305" s="24" t="str">
        <f t="shared" si="110"/>
        <v/>
      </c>
      <c r="L1305" s="25" t="str">
        <f t="shared" si="106"/>
        <v/>
      </c>
      <c r="M1305" s="37"/>
      <c r="N1305" s="37"/>
      <c r="O1305" s="33" t="str">
        <f t="shared" si="107"/>
        <v/>
      </c>
      <c r="P1305" s="33" t="str">
        <f t="shared" si="108"/>
        <v/>
      </c>
      <c r="X1305" s="1"/>
    </row>
    <row r="1306" spans="7:24">
      <c r="G1306" s="21"/>
      <c r="H1306" s="23"/>
      <c r="I1306" s="23" t="str">
        <f>_xlfn.IFNA(VLOOKUP(A1306,A1307:$H$3524,8,0),"")</f>
        <v/>
      </c>
      <c r="J1306" s="40" t="str">
        <f t="shared" si="109"/>
        <v/>
      </c>
      <c r="K1306" s="24" t="str">
        <f t="shared" si="110"/>
        <v/>
      </c>
      <c r="L1306" s="25" t="str">
        <f t="shared" si="106"/>
        <v/>
      </c>
      <c r="M1306" s="37"/>
      <c r="N1306" s="37"/>
      <c r="O1306" s="33" t="str">
        <f t="shared" si="107"/>
        <v/>
      </c>
      <c r="P1306" s="33" t="str">
        <f t="shared" si="108"/>
        <v/>
      </c>
      <c r="X1306" s="1"/>
    </row>
    <row r="1307" spans="7:24">
      <c r="G1307" s="21"/>
      <c r="H1307" s="23"/>
      <c r="I1307" s="23" t="str">
        <f>_xlfn.IFNA(VLOOKUP(A1307,A1308:$H$3524,8,0),"")</f>
        <v/>
      </c>
      <c r="J1307" s="40" t="str">
        <f t="shared" si="109"/>
        <v/>
      </c>
      <c r="K1307" s="24" t="str">
        <f t="shared" si="110"/>
        <v/>
      </c>
      <c r="L1307" s="25" t="str">
        <f t="shared" si="106"/>
        <v/>
      </c>
      <c r="M1307" s="37"/>
      <c r="N1307" s="37"/>
      <c r="O1307" s="33" t="str">
        <f t="shared" si="107"/>
        <v/>
      </c>
      <c r="P1307" s="33" t="str">
        <f t="shared" si="108"/>
        <v/>
      </c>
      <c r="X1307" s="1"/>
    </row>
    <row r="1308" spans="7:24">
      <c r="G1308" s="21"/>
      <c r="H1308" s="23"/>
      <c r="I1308" s="23" t="str">
        <f>_xlfn.IFNA(VLOOKUP(A1308,A1309:$H$3524,8,0),"")</f>
        <v/>
      </c>
      <c r="J1308" s="40" t="str">
        <f t="shared" si="109"/>
        <v/>
      </c>
      <c r="K1308" s="24" t="str">
        <f t="shared" si="110"/>
        <v/>
      </c>
      <c r="L1308" s="25" t="str">
        <f t="shared" si="106"/>
        <v/>
      </c>
      <c r="M1308" s="37"/>
      <c r="N1308" s="37"/>
      <c r="O1308" s="33" t="str">
        <f t="shared" si="107"/>
        <v/>
      </c>
      <c r="P1308" s="33" t="str">
        <f t="shared" si="108"/>
        <v/>
      </c>
      <c r="X1308" s="1"/>
    </row>
    <row r="1309" spans="7:24">
      <c r="G1309" s="21"/>
      <c r="H1309" s="23"/>
      <c r="I1309" s="23" t="str">
        <f>_xlfn.IFNA(VLOOKUP(A1309,A1310:$H$3524,8,0),"")</f>
        <v/>
      </c>
      <c r="J1309" s="40" t="str">
        <f t="shared" si="109"/>
        <v/>
      </c>
      <c r="K1309" s="24" t="str">
        <f t="shared" si="110"/>
        <v/>
      </c>
      <c r="L1309" s="25" t="str">
        <f t="shared" si="106"/>
        <v/>
      </c>
      <c r="M1309" s="37"/>
      <c r="N1309" s="37"/>
      <c r="O1309" s="33" t="str">
        <f t="shared" si="107"/>
        <v/>
      </c>
      <c r="P1309" s="33" t="str">
        <f t="shared" si="108"/>
        <v/>
      </c>
      <c r="X1309" s="1"/>
    </row>
    <row r="1310" spans="7:24">
      <c r="G1310" s="21"/>
      <c r="H1310" s="23"/>
      <c r="I1310" s="23" t="str">
        <f>_xlfn.IFNA(VLOOKUP(A1310,A1311:$H$3524,8,0),"")</f>
        <v/>
      </c>
      <c r="J1310" s="40" t="str">
        <f t="shared" si="109"/>
        <v/>
      </c>
      <c r="K1310" s="24" t="str">
        <f t="shared" si="110"/>
        <v/>
      </c>
      <c r="L1310" s="25" t="str">
        <f t="shared" si="106"/>
        <v/>
      </c>
      <c r="M1310" s="37"/>
      <c r="N1310" s="37"/>
      <c r="O1310" s="33" t="str">
        <f t="shared" si="107"/>
        <v/>
      </c>
      <c r="P1310" s="33" t="str">
        <f t="shared" si="108"/>
        <v/>
      </c>
      <c r="X1310" s="1"/>
    </row>
    <row r="1311" spans="7:24">
      <c r="G1311" s="21"/>
      <c r="H1311" s="23"/>
      <c r="I1311" s="23" t="str">
        <f>_xlfn.IFNA(VLOOKUP(A1311,A1312:$H$3524,8,0),"")</f>
        <v/>
      </c>
      <c r="J1311" s="40" t="str">
        <f t="shared" si="109"/>
        <v/>
      </c>
      <c r="K1311" s="24" t="str">
        <f t="shared" si="110"/>
        <v/>
      </c>
      <c r="L1311" s="25" t="str">
        <f t="shared" si="106"/>
        <v/>
      </c>
      <c r="M1311" s="37"/>
      <c r="N1311" s="37"/>
      <c r="O1311" s="33" t="str">
        <f t="shared" si="107"/>
        <v/>
      </c>
      <c r="P1311" s="33" t="str">
        <f t="shared" si="108"/>
        <v/>
      </c>
      <c r="X1311" s="1"/>
    </row>
    <row r="1312" spans="7:24">
      <c r="G1312" s="21"/>
      <c r="H1312" s="23"/>
      <c r="I1312" s="23" t="str">
        <f>_xlfn.IFNA(VLOOKUP(A1312,A1313:$H$3524,8,0),"")</f>
        <v/>
      </c>
      <c r="J1312" s="40" t="str">
        <f t="shared" si="109"/>
        <v/>
      </c>
      <c r="K1312" s="24" t="str">
        <f t="shared" si="110"/>
        <v/>
      </c>
      <c r="L1312" s="25" t="str">
        <f t="shared" si="106"/>
        <v/>
      </c>
      <c r="M1312" s="37"/>
      <c r="N1312" s="37"/>
      <c r="O1312" s="33" t="str">
        <f t="shared" si="107"/>
        <v/>
      </c>
      <c r="P1312" s="33" t="str">
        <f t="shared" si="108"/>
        <v/>
      </c>
      <c r="X1312" s="1"/>
    </row>
    <row r="1313" spans="7:24">
      <c r="G1313" s="21"/>
      <c r="H1313" s="23"/>
      <c r="I1313" s="23" t="str">
        <f>_xlfn.IFNA(VLOOKUP(A1313,A1314:$H$3524,8,0),"")</f>
        <v/>
      </c>
      <c r="J1313" s="40" t="str">
        <f t="shared" si="109"/>
        <v/>
      </c>
      <c r="K1313" s="24" t="str">
        <f t="shared" si="110"/>
        <v/>
      </c>
      <c r="L1313" s="25" t="str">
        <f t="shared" si="106"/>
        <v/>
      </c>
      <c r="M1313" s="37"/>
      <c r="N1313" s="37"/>
      <c r="O1313" s="33" t="str">
        <f t="shared" si="107"/>
        <v/>
      </c>
      <c r="P1313" s="33" t="str">
        <f t="shared" si="108"/>
        <v/>
      </c>
      <c r="X1313" s="1"/>
    </row>
    <row r="1314" spans="7:24">
      <c r="G1314" s="21"/>
      <c r="H1314" s="23"/>
      <c r="I1314" s="23" t="str">
        <f>_xlfn.IFNA(VLOOKUP(A1314,A1315:$H$3524,8,0),"")</f>
        <v/>
      </c>
      <c r="J1314" s="40" t="str">
        <f t="shared" si="109"/>
        <v/>
      </c>
      <c r="K1314" s="24" t="str">
        <f t="shared" si="110"/>
        <v/>
      </c>
      <c r="L1314" s="25" t="str">
        <f t="shared" si="106"/>
        <v/>
      </c>
      <c r="M1314" s="37"/>
      <c r="N1314" s="37"/>
      <c r="O1314" s="33" t="str">
        <f t="shared" si="107"/>
        <v/>
      </c>
      <c r="P1314" s="33" t="str">
        <f t="shared" si="108"/>
        <v/>
      </c>
      <c r="X1314" s="1"/>
    </row>
    <row r="1315" spans="7:24">
      <c r="G1315" s="21"/>
      <c r="H1315" s="23"/>
      <c r="I1315" s="23" t="str">
        <f>_xlfn.IFNA(VLOOKUP(A1315,A1316:$H$3524,8,0),"")</f>
        <v/>
      </c>
      <c r="J1315" s="40" t="str">
        <f t="shared" si="109"/>
        <v/>
      </c>
      <c r="K1315" s="24" t="str">
        <f t="shared" si="110"/>
        <v/>
      </c>
      <c r="L1315" s="25" t="str">
        <f t="shared" si="106"/>
        <v/>
      </c>
      <c r="M1315" s="37"/>
      <c r="N1315" s="37"/>
      <c r="O1315" s="33" t="str">
        <f t="shared" si="107"/>
        <v/>
      </c>
      <c r="P1315" s="33" t="str">
        <f t="shared" si="108"/>
        <v/>
      </c>
      <c r="X1315" s="1"/>
    </row>
    <row r="1316" spans="7:24">
      <c r="G1316" s="21"/>
      <c r="H1316" s="23"/>
      <c r="I1316" s="23" t="str">
        <f>_xlfn.IFNA(VLOOKUP(A1316,A1317:$H$3524,8,0),"")</f>
        <v/>
      </c>
      <c r="J1316" s="40" t="str">
        <f t="shared" si="109"/>
        <v/>
      </c>
      <c r="K1316" s="24" t="str">
        <f t="shared" si="110"/>
        <v/>
      </c>
      <c r="L1316" s="25" t="str">
        <f t="shared" si="106"/>
        <v/>
      </c>
      <c r="M1316" s="37"/>
      <c r="N1316" s="37"/>
      <c r="O1316" s="33" t="str">
        <f t="shared" si="107"/>
        <v/>
      </c>
      <c r="P1316" s="33" t="str">
        <f t="shared" si="108"/>
        <v/>
      </c>
      <c r="X1316" s="1"/>
    </row>
    <row r="1317" spans="7:24">
      <c r="G1317" s="21"/>
      <c r="H1317" s="23"/>
      <c r="I1317" s="23" t="str">
        <f>_xlfn.IFNA(VLOOKUP(A1317,A1318:$H$3524,8,0),"")</f>
        <v/>
      </c>
      <c r="J1317" s="40" t="str">
        <f t="shared" si="109"/>
        <v/>
      </c>
      <c r="K1317" s="24" t="str">
        <f t="shared" si="110"/>
        <v/>
      </c>
      <c r="L1317" s="25" t="str">
        <f t="shared" si="106"/>
        <v/>
      </c>
      <c r="M1317" s="37"/>
      <c r="N1317" s="37"/>
      <c r="O1317" s="33" t="str">
        <f t="shared" si="107"/>
        <v/>
      </c>
      <c r="P1317" s="33" t="str">
        <f t="shared" si="108"/>
        <v/>
      </c>
      <c r="X1317" s="1"/>
    </row>
    <row r="1318" spans="7:24">
      <c r="G1318" s="21"/>
      <c r="H1318" s="23"/>
      <c r="I1318" s="23" t="str">
        <f>_xlfn.IFNA(VLOOKUP(A1318,A1319:$H$3524,8,0),"")</f>
        <v/>
      </c>
      <c r="J1318" s="40" t="str">
        <f t="shared" si="109"/>
        <v/>
      </c>
      <c r="K1318" s="24" t="str">
        <f t="shared" si="110"/>
        <v/>
      </c>
      <c r="L1318" s="25" t="str">
        <f t="shared" si="106"/>
        <v/>
      </c>
      <c r="M1318" s="37"/>
      <c r="N1318" s="37"/>
      <c r="O1318" s="33" t="str">
        <f t="shared" si="107"/>
        <v/>
      </c>
      <c r="P1318" s="33" t="str">
        <f t="shared" si="108"/>
        <v/>
      </c>
      <c r="X1318" s="1"/>
    </row>
    <row r="1319" spans="7:24">
      <c r="G1319" s="21"/>
      <c r="H1319" s="23"/>
      <c r="I1319" s="23" t="str">
        <f>_xlfn.IFNA(VLOOKUP(A1319,A1320:$H$3524,8,0),"")</f>
        <v/>
      </c>
      <c r="J1319" s="40" t="str">
        <f t="shared" si="109"/>
        <v/>
      </c>
      <c r="K1319" s="24" t="str">
        <f t="shared" si="110"/>
        <v/>
      </c>
      <c r="L1319" s="25" t="str">
        <f t="shared" si="106"/>
        <v/>
      </c>
      <c r="M1319" s="37"/>
      <c r="N1319" s="37"/>
      <c r="O1319" s="33" t="str">
        <f t="shared" si="107"/>
        <v/>
      </c>
      <c r="P1319" s="33" t="str">
        <f t="shared" si="108"/>
        <v/>
      </c>
      <c r="X1319" s="1"/>
    </row>
    <row r="1320" spans="7:24">
      <c r="G1320" s="21"/>
      <c r="H1320" s="23"/>
      <c r="I1320" s="23" t="str">
        <f>_xlfn.IFNA(VLOOKUP(A1320,A1321:$H$3524,8,0),"")</f>
        <v/>
      </c>
      <c r="J1320" s="40" t="str">
        <f t="shared" si="109"/>
        <v/>
      </c>
      <c r="K1320" s="24" t="str">
        <f t="shared" si="110"/>
        <v/>
      </c>
      <c r="L1320" s="25" t="str">
        <f t="shared" si="106"/>
        <v/>
      </c>
      <c r="M1320" s="37"/>
      <c r="N1320" s="37"/>
      <c r="O1320" s="33" t="str">
        <f t="shared" si="107"/>
        <v/>
      </c>
      <c r="P1320" s="33" t="str">
        <f t="shared" si="108"/>
        <v/>
      </c>
      <c r="X1320" s="1"/>
    </row>
    <row r="1321" spans="7:24">
      <c r="G1321" s="21"/>
      <c r="H1321" s="23"/>
      <c r="I1321" s="23" t="str">
        <f>_xlfn.IFNA(VLOOKUP(A1321,A1322:$H$3524,8,0),"")</f>
        <v/>
      </c>
      <c r="J1321" s="40" t="str">
        <f t="shared" si="109"/>
        <v/>
      </c>
      <c r="K1321" s="24" t="str">
        <f t="shared" si="110"/>
        <v/>
      </c>
      <c r="L1321" s="25" t="str">
        <f t="shared" si="106"/>
        <v/>
      </c>
      <c r="M1321" s="37"/>
      <c r="N1321" s="37"/>
      <c r="O1321" s="33" t="str">
        <f t="shared" si="107"/>
        <v/>
      </c>
      <c r="P1321" s="33" t="str">
        <f t="shared" si="108"/>
        <v/>
      </c>
      <c r="X1321" s="1"/>
    </row>
    <row r="1322" spans="7:24">
      <c r="G1322" s="21"/>
      <c r="H1322" s="23"/>
      <c r="I1322" s="23" t="str">
        <f>_xlfn.IFNA(VLOOKUP(A1322,A1323:$H$3524,8,0),"")</f>
        <v/>
      </c>
      <c r="J1322" s="40" t="str">
        <f t="shared" si="109"/>
        <v/>
      </c>
      <c r="K1322" s="24" t="str">
        <f t="shared" si="110"/>
        <v/>
      </c>
      <c r="L1322" s="25" t="str">
        <f t="shared" si="106"/>
        <v/>
      </c>
      <c r="M1322" s="37"/>
      <c r="N1322" s="37"/>
      <c r="O1322" s="33" t="str">
        <f t="shared" si="107"/>
        <v/>
      </c>
      <c r="P1322" s="33" t="str">
        <f t="shared" si="108"/>
        <v/>
      </c>
      <c r="X1322" s="1"/>
    </row>
    <row r="1323" spans="7:24">
      <c r="G1323" s="21"/>
      <c r="H1323" s="23"/>
      <c r="I1323" s="23" t="str">
        <f>_xlfn.IFNA(VLOOKUP(A1323,A1324:$H$3524,8,0),"")</f>
        <v/>
      </c>
      <c r="J1323" s="40" t="str">
        <f t="shared" si="109"/>
        <v/>
      </c>
      <c r="K1323" s="24" t="str">
        <f t="shared" si="110"/>
        <v/>
      </c>
      <c r="L1323" s="25" t="str">
        <f t="shared" si="106"/>
        <v/>
      </c>
      <c r="M1323" s="37"/>
      <c r="N1323" s="37"/>
      <c r="O1323" s="33" t="str">
        <f t="shared" si="107"/>
        <v/>
      </c>
      <c r="P1323" s="33" t="str">
        <f t="shared" si="108"/>
        <v/>
      </c>
      <c r="X1323" s="1"/>
    </row>
    <row r="1324" spans="7:24">
      <c r="G1324" s="21"/>
      <c r="H1324" s="23"/>
      <c r="I1324" s="23" t="str">
        <f>_xlfn.IFNA(VLOOKUP(A1324,A1325:$H$3524,8,0),"")</f>
        <v/>
      </c>
      <c r="J1324" s="40" t="str">
        <f t="shared" si="109"/>
        <v/>
      </c>
      <c r="K1324" s="24" t="str">
        <f t="shared" si="110"/>
        <v/>
      </c>
      <c r="L1324" s="25" t="str">
        <f t="shared" si="106"/>
        <v/>
      </c>
      <c r="M1324" s="37"/>
      <c r="N1324" s="37"/>
      <c r="O1324" s="33" t="str">
        <f t="shared" si="107"/>
        <v/>
      </c>
      <c r="P1324" s="33" t="str">
        <f t="shared" si="108"/>
        <v/>
      </c>
      <c r="X1324" s="1"/>
    </row>
    <row r="1325" spans="7:24">
      <c r="G1325" s="21"/>
      <c r="H1325" s="23"/>
      <c r="I1325" s="23" t="str">
        <f>_xlfn.IFNA(VLOOKUP(A1325,A1326:$H$3524,8,0),"")</f>
        <v/>
      </c>
      <c r="J1325" s="40" t="str">
        <f t="shared" si="109"/>
        <v/>
      </c>
      <c r="K1325" s="24" t="str">
        <f t="shared" si="110"/>
        <v/>
      </c>
      <c r="L1325" s="25" t="str">
        <f t="shared" si="106"/>
        <v/>
      </c>
      <c r="M1325" s="37"/>
      <c r="N1325" s="37"/>
      <c r="O1325" s="33" t="str">
        <f t="shared" si="107"/>
        <v/>
      </c>
      <c r="P1325" s="33" t="str">
        <f t="shared" si="108"/>
        <v/>
      </c>
      <c r="X1325" s="1"/>
    </row>
    <row r="1326" spans="7:24">
      <c r="G1326" s="21"/>
      <c r="H1326" s="23"/>
      <c r="I1326" s="23" t="str">
        <f>_xlfn.IFNA(VLOOKUP(A1326,A1327:$H$3524,8,0),"")</f>
        <v/>
      </c>
      <c r="J1326" s="40" t="str">
        <f t="shared" si="109"/>
        <v/>
      </c>
      <c r="K1326" s="24" t="str">
        <f t="shared" si="110"/>
        <v/>
      </c>
      <c r="L1326" s="25" t="str">
        <f t="shared" si="106"/>
        <v/>
      </c>
      <c r="M1326" s="37"/>
      <c r="N1326" s="37"/>
      <c r="O1326" s="33" t="str">
        <f t="shared" si="107"/>
        <v/>
      </c>
      <c r="P1326" s="33" t="str">
        <f t="shared" si="108"/>
        <v/>
      </c>
      <c r="X1326" s="1"/>
    </row>
    <row r="1327" spans="7:24">
      <c r="G1327" s="21"/>
      <c r="H1327" s="23"/>
      <c r="I1327" s="23" t="str">
        <f>_xlfn.IFNA(VLOOKUP(A1327,A1328:$H$3524,8,0),"")</f>
        <v/>
      </c>
      <c r="J1327" s="40" t="str">
        <f t="shared" si="109"/>
        <v/>
      </c>
      <c r="K1327" s="24" t="str">
        <f t="shared" si="110"/>
        <v/>
      </c>
      <c r="L1327" s="25" t="str">
        <f t="shared" si="106"/>
        <v/>
      </c>
      <c r="M1327" s="37"/>
      <c r="N1327" s="37"/>
      <c r="O1327" s="33" t="str">
        <f t="shared" si="107"/>
        <v/>
      </c>
      <c r="P1327" s="33" t="str">
        <f t="shared" si="108"/>
        <v/>
      </c>
      <c r="X1327" s="1"/>
    </row>
    <row r="1328" spans="7:24">
      <c r="G1328" s="21"/>
      <c r="H1328" s="23"/>
      <c r="I1328" s="23" t="str">
        <f>_xlfn.IFNA(VLOOKUP(A1328,A1329:$H$3524,8,0),"")</f>
        <v/>
      </c>
      <c r="J1328" s="40" t="str">
        <f t="shared" si="109"/>
        <v/>
      </c>
      <c r="K1328" s="24" t="str">
        <f t="shared" si="110"/>
        <v/>
      </c>
      <c r="L1328" s="25" t="str">
        <f t="shared" si="106"/>
        <v/>
      </c>
      <c r="M1328" s="37"/>
      <c r="N1328" s="37"/>
      <c r="O1328" s="33" t="str">
        <f t="shared" si="107"/>
        <v/>
      </c>
      <c r="P1328" s="33" t="str">
        <f t="shared" si="108"/>
        <v/>
      </c>
      <c r="X1328" s="1"/>
    </row>
    <row r="1329" spans="7:24">
      <c r="G1329" s="21"/>
      <c r="H1329" s="23"/>
      <c r="I1329" s="23" t="str">
        <f>_xlfn.IFNA(VLOOKUP(A1329,A1330:$H$3524,8,0),"")</f>
        <v/>
      </c>
      <c r="J1329" s="40" t="str">
        <f t="shared" si="109"/>
        <v/>
      </c>
      <c r="K1329" s="24" t="str">
        <f t="shared" si="110"/>
        <v/>
      </c>
      <c r="L1329" s="25" t="str">
        <f t="shared" si="106"/>
        <v/>
      </c>
      <c r="M1329" s="37"/>
      <c r="N1329" s="37"/>
      <c r="O1329" s="33" t="str">
        <f t="shared" si="107"/>
        <v/>
      </c>
      <c r="P1329" s="33" t="str">
        <f t="shared" si="108"/>
        <v/>
      </c>
      <c r="X1329" s="1"/>
    </row>
    <row r="1330" spans="7:24">
      <c r="G1330" s="21"/>
      <c r="H1330" s="23"/>
      <c r="I1330" s="23" t="str">
        <f>_xlfn.IFNA(VLOOKUP(A1330,A1331:$H$3524,8,0),"")</f>
        <v/>
      </c>
      <c r="J1330" s="40" t="str">
        <f t="shared" si="109"/>
        <v/>
      </c>
      <c r="K1330" s="24" t="str">
        <f t="shared" si="110"/>
        <v/>
      </c>
      <c r="L1330" s="25" t="str">
        <f t="shared" si="106"/>
        <v/>
      </c>
      <c r="M1330" s="37"/>
      <c r="N1330" s="37"/>
      <c r="O1330" s="33" t="str">
        <f t="shared" si="107"/>
        <v/>
      </c>
      <c r="P1330" s="33" t="str">
        <f t="shared" si="108"/>
        <v/>
      </c>
      <c r="X1330" s="1"/>
    </row>
    <row r="1331" spans="7:24">
      <c r="G1331" s="21"/>
      <c r="H1331" s="23"/>
      <c r="I1331" s="23" t="str">
        <f>_xlfn.IFNA(VLOOKUP(A1331,A1332:$H$3524,8,0),"")</f>
        <v/>
      </c>
      <c r="J1331" s="40" t="str">
        <f t="shared" si="109"/>
        <v/>
      </c>
      <c r="K1331" s="24" t="str">
        <f t="shared" si="110"/>
        <v/>
      </c>
      <c r="L1331" s="25" t="str">
        <f t="shared" si="106"/>
        <v/>
      </c>
      <c r="M1331" s="37"/>
      <c r="N1331" s="37"/>
      <c r="O1331" s="33" t="str">
        <f t="shared" si="107"/>
        <v/>
      </c>
      <c r="P1331" s="33" t="str">
        <f t="shared" si="108"/>
        <v/>
      </c>
      <c r="X1331" s="1"/>
    </row>
    <row r="1332" spans="7:24">
      <c r="G1332" s="21"/>
      <c r="H1332" s="23"/>
      <c r="I1332" s="23" t="str">
        <f>_xlfn.IFNA(VLOOKUP(A1332,A1333:$H$3524,8,0),"")</f>
        <v/>
      </c>
      <c r="J1332" s="40" t="str">
        <f t="shared" si="109"/>
        <v/>
      </c>
      <c r="K1332" s="24" t="str">
        <f t="shared" si="110"/>
        <v/>
      </c>
      <c r="L1332" s="25" t="str">
        <f t="shared" si="106"/>
        <v/>
      </c>
      <c r="M1332" s="37"/>
      <c r="N1332" s="37"/>
      <c r="O1332" s="33" t="str">
        <f t="shared" si="107"/>
        <v/>
      </c>
      <c r="P1332" s="33" t="str">
        <f t="shared" si="108"/>
        <v/>
      </c>
      <c r="X1332" s="1"/>
    </row>
    <row r="1333" spans="7:24">
      <c r="G1333" s="21"/>
      <c r="H1333" s="23"/>
      <c r="I1333" s="23" t="str">
        <f>_xlfn.IFNA(VLOOKUP(A1333,A1334:$H$3524,8,0),"")</f>
        <v/>
      </c>
      <c r="J1333" s="40" t="str">
        <f t="shared" si="109"/>
        <v/>
      </c>
      <c r="K1333" s="24" t="str">
        <f t="shared" si="110"/>
        <v/>
      </c>
      <c r="L1333" s="25" t="str">
        <f t="shared" si="106"/>
        <v/>
      </c>
      <c r="M1333" s="37"/>
      <c r="N1333" s="37"/>
      <c r="O1333" s="33" t="str">
        <f t="shared" si="107"/>
        <v/>
      </c>
      <c r="P1333" s="33" t="str">
        <f t="shared" si="108"/>
        <v/>
      </c>
      <c r="X1333" s="1"/>
    </row>
    <row r="1334" spans="7:24">
      <c r="G1334" s="21"/>
      <c r="H1334" s="23"/>
      <c r="I1334" s="23" t="str">
        <f>_xlfn.IFNA(VLOOKUP(A1334,A1335:$H$3524,8,0),"")</f>
        <v/>
      </c>
      <c r="J1334" s="40" t="str">
        <f t="shared" si="109"/>
        <v/>
      </c>
      <c r="K1334" s="24" t="str">
        <f t="shared" si="110"/>
        <v/>
      </c>
      <c r="L1334" s="25" t="str">
        <f t="shared" si="106"/>
        <v/>
      </c>
      <c r="M1334" s="37"/>
      <c r="N1334" s="37"/>
      <c r="O1334" s="33" t="str">
        <f t="shared" si="107"/>
        <v/>
      </c>
      <c r="P1334" s="33" t="str">
        <f t="shared" si="108"/>
        <v/>
      </c>
      <c r="X1334" s="1"/>
    </row>
    <row r="1335" spans="7:24">
      <c r="G1335" s="21"/>
      <c r="H1335" s="23"/>
      <c r="I1335" s="23" t="str">
        <f>_xlfn.IFNA(VLOOKUP(A1335,A1336:$H$3524,8,0),"")</f>
        <v/>
      </c>
      <c r="J1335" s="40" t="str">
        <f t="shared" si="109"/>
        <v/>
      </c>
      <c r="K1335" s="24" t="str">
        <f t="shared" si="110"/>
        <v/>
      </c>
      <c r="L1335" s="25" t="str">
        <f t="shared" ref="L1335:L1398" si="111">IF(K1335="","",IF(B1335="Break","Break",IF(K1335&lt;&gt;0,"Work Finished",IF(B1335="OFF","Work Finished",IF(I1335="","Working","Work Finished")))))</f>
        <v/>
      </c>
      <c r="M1335" s="37"/>
      <c r="N1335" s="37"/>
      <c r="O1335" s="33" t="str">
        <f t="shared" ref="O1335:O1398" si="112">IF(AND(J1335="",M1335="",N1335=""),"",J1335-M1335-N1335)</f>
        <v/>
      </c>
      <c r="P1335" s="33" t="str">
        <f t="shared" ref="P1335:P1398" si="113">IF(HOUR(H1335)=0,"",HOUR(H1335))</f>
        <v/>
      </c>
      <c r="X1335" s="1"/>
    </row>
    <row r="1336" spans="7:24">
      <c r="G1336" s="21"/>
      <c r="H1336" s="23"/>
      <c r="I1336" s="23" t="str">
        <f>_xlfn.IFNA(VLOOKUP(A1336,A1337:$H$3524,8,0),"")</f>
        <v/>
      </c>
      <c r="J1336" s="40" t="str">
        <f t="shared" si="109"/>
        <v/>
      </c>
      <c r="K1336" s="24" t="str">
        <f t="shared" si="110"/>
        <v/>
      </c>
      <c r="L1336" s="25" t="str">
        <f t="shared" si="111"/>
        <v/>
      </c>
      <c r="M1336" s="37"/>
      <c r="N1336" s="37"/>
      <c r="O1336" s="33" t="str">
        <f t="shared" si="112"/>
        <v/>
      </c>
      <c r="P1336" s="33" t="str">
        <f t="shared" si="113"/>
        <v/>
      </c>
      <c r="X1336" s="1"/>
    </row>
    <row r="1337" spans="7:24">
      <c r="G1337" s="21"/>
      <c r="H1337" s="23"/>
      <c r="I1337" s="23" t="str">
        <f>_xlfn.IFNA(VLOOKUP(A1337,A1338:$H$3524,8,0),"")</f>
        <v/>
      </c>
      <c r="J1337" s="40" t="str">
        <f t="shared" si="109"/>
        <v/>
      </c>
      <c r="K1337" s="24" t="str">
        <f t="shared" si="110"/>
        <v/>
      </c>
      <c r="L1337" s="25" t="str">
        <f t="shared" si="111"/>
        <v/>
      </c>
      <c r="M1337" s="37"/>
      <c r="N1337" s="37"/>
      <c r="O1337" s="33" t="str">
        <f t="shared" si="112"/>
        <v/>
      </c>
      <c r="P1337" s="33" t="str">
        <f t="shared" si="113"/>
        <v/>
      </c>
      <c r="X1337" s="1"/>
    </row>
    <row r="1338" spans="7:24">
      <c r="G1338" s="21"/>
      <c r="H1338" s="23"/>
      <c r="I1338" s="23" t="str">
        <f>_xlfn.IFNA(VLOOKUP(A1338,A1339:$H$3524,8,0),"")</f>
        <v/>
      </c>
      <c r="J1338" s="40" t="str">
        <f t="shared" si="109"/>
        <v/>
      </c>
      <c r="K1338" s="24" t="str">
        <f t="shared" si="110"/>
        <v/>
      </c>
      <c r="L1338" s="25" t="str">
        <f t="shared" si="111"/>
        <v/>
      </c>
      <c r="M1338" s="37"/>
      <c r="N1338" s="37"/>
      <c r="O1338" s="33" t="str">
        <f t="shared" si="112"/>
        <v/>
      </c>
      <c r="P1338" s="33" t="str">
        <f t="shared" si="113"/>
        <v/>
      </c>
      <c r="X1338" s="1"/>
    </row>
    <row r="1339" spans="7:24">
      <c r="G1339" s="21"/>
      <c r="H1339" s="23"/>
      <c r="I1339" s="23" t="str">
        <f>_xlfn.IFNA(VLOOKUP(A1339,A1340:$H$3524,8,0),"")</f>
        <v/>
      </c>
      <c r="J1339" s="40" t="str">
        <f t="shared" si="109"/>
        <v/>
      </c>
      <c r="K1339" s="24" t="str">
        <f t="shared" si="110"/>
        <v/>
      </c>
      <c r="L1339" s="25" t="str">
        <f t="shared" si="111"/>
        <v/>
      </c>
      <c r="M1339" s="37"/>
      <c r="N1339" s="37"/>
      <c r="O1339" s="33" t="str">
        <f t="shared" si="112"/>
        <v/>
      </c>
      <c r="P1339" s="33" t="str">
        <f t="shared" si="113"/>
        <v/>
      </c>
      <c r="X1339" s="1"/>
    </row>
    <row r="1340" spans="7:24">
      <c r="G1340" s="21"/>
      <c r="H1340" s="23"/>
      <c r="I1340" s="23" t="str">
        <f>_xlfn.IFNA(VLOOKUP(A1340,A1341:$H$3524,8,0),"")</f>
        <v/>
      </c>
      <c r="J1340" s="40" t="str">
        <f t="shared" si="109"/>
        <v/>
      </c>
      <c r="K1340" s="24" t="str">
        <f t="shared" si="110"/>
        <v/>
      </c>
      <c r="L1340" s="25" t="str">
        <f t="shared" si="111"/>
        <v/>
      </c>
      <c r="M1340" s="37"/>
      <c r="N1340" s="37"/>
      <c r="O1340" s="33" t="str">
        <f t="shared" si="112"/>
        <v/>
      </c>
      <c r="P1340" s="33" t="str">
        <f t="shared" si="113"/>
        <v/>
      </c>
      <c r="X1340" s="1"/>
    </row>
    <row r="1341" spans="7:24">
      <c r="G1341" s="21"/>
      <c r="H1341" s="23"/>
      <c r="I1341" s="23" t="str">
        <f>_xlfn.IFNA(VLOOKUP(A1341,A1342:$H$3524,8,0),"")</f>
        <v/>
      </c>
      <c r="J1341" s="40" t="str">
        <f t="shared" si="109"/>
        <v/>
      </c>
      <c r="K1341" s="24" t="str">
        <f t="shared" si="110"/>
        <v/>
      </c>
      <c r="L1341" s="25" t="str">
        <f t="shared" si="111"/>
        <v/>
      </c>
      <c r="M1341" s="37"/>
      <c r="N1341" s="37"/>
      <c r="O1341" s="33" t="str">
        <f t="shared" si="112"/>
        <v/>
      </c>
      <c r="P1341" s="33" t="str">
        <f t="shared" si="113"/>
        <v/>
      </c>
      <c r="X1341" s="1"/>
    </row>
    <row r="1342" spans="7:24">
      <c r="G1342" s="21"/>
      <c r="H1342" s="23"/>
      <c r="I1342" s="23" t="str">
        <f>_xlfn.IFNA(VLOOKUP(A1342,A1343:$H$3524,8,0),"")</f>
        <v/>
      </c>
      <c r="J1342" s="40" t="str">
        <f t="shared" si="109"/>
        <v/>
      </c>
      <c r="K1342" s="24" t="str">
        <f t="shared" si="110"/>
        <v/>
      </c>
      <c r="L1342" s="25" t="str">
        <f t="shared" si="111"/>
        <v/>
      </c>
      <c r="M1342" s="37"/>
      <c r="N1342" s="37"/>
      <c r="O1342" s="33" t="str">
        <f t="shared" si="112"/>
        <v/>
      </c>
      <c r="P1342" s="33" t="str">
        <f t="shared" si="113"/>
        <v/>
      </c>
      <c r="X1342" s="1"/>
    </row>
    <row r="1343" spans="7:24">
      <c r="G1343" s="21"/>
      <c r="H1343" s="23"/>
      <c r="I1343" s="23" t="str">
        <f>_xlfn.IFNA(VLOOKUP(A1343,A1344:$H$3524,8,0),"")</f>
        <v/>
      </c>
      <c r="J1343" s="40" t="str">
        <f t="shared" si="109"/>
        <v/>
      </c>
      <c r="K1343" s="24" t="str">
        <f t="shared" si="110"/>
        <v/>
      </c>
      <c r="L1343" s="25" t="str">
        <f t="shared" si="111"/>
        <v/>
      </c>
      <c r="M1343" s="37"/>
      <c r="N1343" s="37"/>
      <c r="O1343" s="33" t="str">
        <f t="shared" si="112"/>
        <v/>
      </c>
      <c r="P1343" s="33" t="str">
        <f t="shared" si="113"/>
        <v/>
      </c>
      <c r="X1343" s="1"/>
    </row>
    <row r="1344" spans="7:24">
      <c r="G1344" s="21"/>
      <c r="H1344" s="23"/>
      <c r="I1344" s="23" t="str">
        <f>_xlfn.IFNA(VLOOKUP(A1344,A1345:$H$3524,8,0),"")</f>
        <v/>
      </c>
      <c r="J1344" s="40" t="str">
        <f t="shared" si="109"/>
        <v/>
      </c>
      <c r="K1344" s="24" t="str">
        <f t="shared" si="110"/>
        <v/>
      </c>
      <c r="L1344" s="25" t="str">
        <f t="shared" si="111"/>
        <v/>
      </c>
      <c r="M1344" s="37"/>
      <c r="N1344" s="37"/>
      <c r="O1344" s="33" t="str">
        <f t="shared" si="112"/>
        <v/>
      </c>
      <c r="P1344" s="33" t="str">
        <f t="shared" si="113"/>
        <v/>
      </c>
      <c r="X1344" s="1"/>
    </row>
    <row r="1345" spans="7:24">
      <c r="G1345" s="21"/>
      <c r="H1345" s="23"/>
      <c r="I1345" s="23" t="str">
        <f>_xlfn.IFNA(VLOOKUP(A1345,A1346:$H$3524,8,0),"")</f>
        <v/>
      </c>
      <c r="J1345" s="40" t="str">
        <f t="shared" si="109"/>
        <v/>
      </c>
      <c r="K1345" s="24" t="str">
        <f t="shared" si="110"/>
        <v/>
      </c>
      <c r="L1345" s="25" t="str">
        <f t="shared" si="111"/>
        <v/>
      </c>
      <c r="M1345" s="37"/>
      <c r="N1345" s="37"/>
      <c r="O1345" s="33" t="str">
        <f t="shared" si="112"/>
        <v/>
      </c>
      <c r="P1345" s="33" t="str">
        <f t="shared" si="113"/>
        <v/>
      </c>
      <c r="X1345" s="1"/>
    </row>
    <row r="1346" spans="7:24">
      <c r="G1346" s="21"/>
      <c r="H1346" s="23"/>
      <c r="I1346" s="23" t="str">
        <f>_xlfn.IFNA(VLOOKUP(A1346,A1347:$H$3524,8,0),"")</f>
        <v/>
      </c>
      <c r="J1346" s="40" t="str">
        <f t="shared" si="109"/>
        <v/>
      </c>
      <c r="K1346" s="24" t="str">
        <f t="shared" si="110"/>
        <v/>
      </c>
      <c r="L1346" s="25" t="str">
        <f t="shared" si="111"/>
        <v/>
      </c>
      <c r="M1346" s="37"/>
      <c r="N1346" s="37"/>
      <c r="O1346" s="33" t="str">
        <f t="shared" si="112"/>
        <v/>
      </c>
      <c r="P1346" s="33" t="str">
        <f t="shared" si="113"/>
        <v/>
      </c>
      <c r="X1346" s="1"/>
    </row>
    <row r="1347" spans="7:24">
      <c r="G1347" s="21"/>
      <c r="H1347" s="23"/>
      <c r="I1347" s="23" t="str">
        <f>_xlfn.IFNA(VLOOKUP(A1347,A1348:$H$3524,8,0),"")</f>
        <v/>
      </c>
      <c r="J1347" s="40" t="str">
        <f t="shared" si="109"/>
        <v/>
      </c>
      <c r="K1347" s="24" t="str">
        <f t="shared" si="110"/>
        <v/>
      </c>
      <c r="L1347" s="25" t="str">
        <f t="shared" si="111"/>
        <v/>
      </c>
      <c r="M1347" s="37"/>
      <c r="N1347" s="37"/>
      <c r="O1347" s="33" t="str">
        <f t="shared" si="112"/>
        <v/>
      </c>
      <c r="P1347" s="33" t="str">
        <f t="shared" si="113"/>
        <v/>
      </c>
      <c r="X1347" s="1"/>
    </row>
    <row r="1348" spans="7:24">
      <c r="G1348" s="21"/>
      <c r="H1348" s="23"/>
      <c r="I1348" s="23" t="str">
        <f>_xlfn.IFNA(VLOOKUP(A1348,A1349:$H$3524,8,0),"")</f>
        <v/>
      </c>
      <c r="J1348" s="40" t="str">
        <f t="shared" si="109"/>
        <v/>
      </c>
      <c r="K1348" s="24" t="str">
        <f t="shared" si="110"/>
        <v/>
      </c>
      <c r="L1348" s="25" t="str">
        <f t="shared" si="111"/>
        <v/>
      </c>
      <c r="M1348" s="37"/>
      <c r="N1348" s="37"/>
      <c r="O1348" s="33" t="str">
        <f t="shared" si="112"/>
        <v/>
      </c>
      <c r="P1348" s="33" t="str">
        <f t="shared" si="113"/>
        <v/>
      </c>
      <c r="X1348" s="1"/>
    </row>
    <row r="1349" spans="7:24">
      <c r="G1349" s="21"/>
      <c r="H1349" s="23"/>
      <c r="I1349" s="23" t="str">
        <f>_xlfn.IFNA(VLOOKUP(A1349,A1350:$H$3524,8,0),"")</f>
        <v/>
      </c>
      <c r="J1349" s="40" t="str">
        <f t="shared" si="109"/>
        <v/>
      </c>
      <c r="K1349" s="24" t="str">
        <f t="shared" si="110"/>
        <v/>
      </c>
      <c r="L1349" s="25" t="str">
        <f t="shared" si="111"/>
        <v/>
      </c>
      <c r="M1349" s="37"/>
      <c r="N1349" s="37"/>
      <c r="O1349" s="33" t="str">
        <f t="shared" si="112"/>
        <v/>
      </c>
      <c r="P1349" s="33" t="str">
        <f t="shared" si="113"/>
        <v/>
      </c>
      <c r="X1349" s="1"/>
    </row>
    <row r="1350" spans="7:24">
      <c r="G1350" s="21"/>
      <c r="H1350" s="23"/>
      <c r="I1350" s="23" t="str">
        <f>_xlfn.IFNA(VLOOKUP(A1350,A1351:$H$3524,8,0),"")</f>
        <v/>
      </c>
      <c r="J1350" s="40" t="str">
        <f t="shared" ref="J1350:J1413" si="114">IF(B1350="OFF",0,IF(AND(D1350&lt;&gt;"",E1350&lt;&gt;""),E1350-D1350+1,""))</f>
        <v/>
      </c>
      <c r="K1350" s="24" t="str">
        <f t="shared" si="110"/>
        <v/>
      </c>
      <c r="L1350" s="25" t="str">
        <f t="shared" si="111"/>
        <v/>
      </c>
      <c r="M1350" s="37"/>
      <c r="N1350" s="37"/>
      <c r="O1350" s="33" t="str">
        <f t="shared" si="112"/>
        <v/>
      </c>
      <c r="P1350" s="33" t="str">
        <f t="shared" si="113"/>
        <v/>
      </c>
      <c r="X1350" s="1"/>
    </row>
    <row r="1351" spans="7:24">
      <c r="G1351" s="21"/>
      <c r="H1351" s="23"/>
      <c r="I1351" s="23" t="str">
        <f>_xlfn.IFNA(VLOOKUP(A1351,A1352:$H$3524,8,0),"")</f>
        <v/>
      </c>
      <c r="J1351" s="40" t="str">
        <f t="shared" si="114"/>
        <v/>
      </c>
      <c r="K1351" s="24" t="str">
        <f t="shared" si="110"/>
        <v/>
      </c>
      <c r="L1351" s="25" t="str">
        <f t="shared" si="111"/>
        <v/>
      </c>
      <c r="M1351" s="37"/>
      <c r="N1351" s="37"/>
      <c r="O1351" s="33" t="str">
        <f t="shared" si="112"/>
        <v/>
      </c>
      <c r="P1351" s="33" t="str">
        <f t="shared" si="113"/>
        <v/>
      </c>
      <c r="X1351" s="1"/>
    </row>
    <row r="1352" spans="7:24">
      <c r="G1352" s="21"/>
      <c r="H1352" s="23"/>
      <c r="I1352" s="23" t="str">
        <f>_xlfn.IFNA(VLOOKUP(A1352,A1353:$H$3524,8,0),"")</f>
        <v/>
      </c>
      <c r="J1352" s="40" t="str">
        <f t="shared" si="114"/>
        <v/>
      </c>
      <c r="K1352" s="24" t="str">
        <f t="shared" si="110"/>
        <v/>
      </c>
      <c r="L1352" s="25" t="str">
        <f t="shared" si="111"/>
        <v/>
      </c>
      <c r="M1352" s="37"/>
      <c r="N1352" s="37"/>
      <c r="O1352" s="33" t="str">
        <f t="shared" si="112"/>
        <v/>
      </c>
      <c r="P1352" s="33" t="str">
        <f t="shared" si="113"/>
        <v/>
      </c>
      <c r="X1352" s="1"/>
    </row>
    <row r="1353" spans="7:24">
      <c r="G1353" s="21"/>
      <c r="H1353" s="23"/>
      <c r="I1353" s="23" t="str">
        <f>_xlfn.IFNA(VLOOKUP(A1353,A1354:$H$3524,8,0),"")</f>
        <v/>
      </c>
      <c r="J1353" s="40" t="str">
        <f t="shared" si="114"/>
        <v/>
      </c>
      <c r="K1353" s="24" t="str">
        <f t="shared" si="110"/>
        <v/>
      </c>
      <c r="L1353" s="25" t="str">
        <f t="shared" si="111"/>
        <v/>
      </c>
      <c r="M1353" s="37"/>
      <c r="N1353" s="37"/>
      <c r="O1353" s="33" t="str">
        <f t="shared" si="112"/>
        <v/>
      </c>
      <c r="P1353" s="33" t="str">
        <f t="shared" si="113"/>
        <v/>
      </c>
      <c r="X1353" s="1"/>
    </row>
    <row r="1354" spans="7:24">
      <c r="G1354" s="21"/>
      <c r="H1354" s="23"/>
      <c r="I1354" s="23" t="str">
        <f>_xlfn.IFNA(VLOOKUP(A1354,A1355:$H$3524,8,0),"")</f>
        <v/>
      </c>
      <c r="J1354" s="40" t="str">
        <f t="shared" si="114"/>
        <v/>
      </c>
      <c r="K1354" s="24" t="str">
        <f t="shared" si="110"/>
        <v/>
      </c>
      <c r="L1354" s="25" t="str">
        <f t="shared" si="111"/>
        <v/>
      </c>
      <c r="M1354" s="37"/>
      <c r="N1354" s="37"/>
      <c r="O1354" s="33" t="str">
        <f t="shared" si="112"/>
        <v/>
      </c>
      <c r="P1354" s="33" t="str">
        <f t="shared" si="113"/>
        <v/>
      </c>
      <c r="X1354" s="1"/>
    </row>
    <row r="1355" spans="7:24">
      <c r="G1355" s="21"/>
      <c r="H1355" s="23"/>
      <c r="I1355" s="23" t="str">
        <f>_xlfn.IFNA(VLOOKUP(A1355,A1356:$H$3524,8,0),"")</f>
        <v/>
      </c>
      <c r="J1355" s="40" t="str">
        <f t="shared" si="114"/>
        <v/>
      </c>
      <c r="K1355" s="24" t="str">
        <f t="shared" si="110"/>
        <v/>
      </c>
      <c r="L1355" s="25" t="str">
        <f t="shared" si="111"/>
        <v/>
      </c>
      <c r="M1355" s="37"/>
      <c r="N1355" s="37"/>
      <c r="O1355" s="33" t="str">
        <f t="shared" si="112"/>
        <v/>
      </c>
      <c r="P1355" s="33" t="str">
        <f t="shared" si="113"/>
        <v/>
      </c>
      <c r="X1355" s="1"/>
    </row>
    <row r="1356" spans="7:24">
      <c r="G1356" s="21"/>
      <c r="H1356" s="23"/>
      <c r="I1356" s="23" t="str">
        <f>_xlfn.IFNA(VLOOKUP(A1356,A1357:$H$3524,8,0),"")</f>
        <v/>
      </c>
      <c r="J1356" s="40" t="str">
        <f t="shared" si="114"/>
        <v/>
      </c>
      <c r="K1356" s="24" t="str">
        <f t="shared" si="110"/>
        <v/>
      </c>
      <c r="L1356" s="25" t="str">
        <f t="shared" si="111"/>
        <v/>
      </c>
      <c r="M1356" s="37"/>
      <c r="N1356" s="37"/>
      <c r="O1356" s="33" t="str">
        <f t="shared" si="112"/>
        <v/>
      </c>
      <c r="P1356" s="33" t="str">
        <f t="shared" si="113"/>
        <v/>
      </c>
      <c r="X1356" s="1"/>
    </row>
    <row r="1357" spans="7:24">
      <c r="G1357" s="21"/>
      <c r="H1357" s="23"/>
      <c r="I1357" s="23" t="str">
        <f>_xlfn.IFNA(VLOOKUP(A1357,A1358:$H$3524,8,0),"")</f>
        <v/>
      </c>
      <c r="J1357" s="40" t="str">
        <f t="shared" si="114"/>
        <v/>
      </c>
      <c r="K1357" s="24" t="str">
        <f t="shared" si="110"/>
        <v/>
      </c>
      <c r="L1357" s="25" t="str">
        <f t="shared" si="111"/>
        <v/>
      </c>
      <c r="M1357" s="37"/>
      <c r="N1357" s="37"/>
      <c r="O1357" s="33" t="str">
        <f t="shared" si="112"/>
        <v/>
      </c>
      <c r="P1357" s="33" t="str">
        <f t="shared" si="113"/>
        <v/>
      </c>
      <c r="X1357" s="1"/>
    </row>
    <row r="1358" spans="7:24">
      <c r="G1358" s="21"/>
      <c r="H1358" s="23"/>
      <c r="I1358" s="23" t="str">
        <f>_xlfn.IFNA(VLOOKUP(A1358,A1359:$H$3524,8,0),"")</f>
        <v/>
      </c>
      <c r="J1358" s="40" t="str">
        <f t="shared" si="114"/>
        <v/>
      </c>
      <c r="K1358" s="24" t="str">
        <f t="shared" si="110"/>
        <v/>
      </c>
      <c r="L1358" s="25" t="str">
        <f t="shared" si="111"/>
        <v/>
      </c>
      <c r="M1358" s="37"/>
      <c r="N1358" s="37"/>
      <c r="O1358" s="33" t="str">
        <f t="shared" si="112"/>
        <v/>
      </c>
      <c r="P1358" s="33" t="str">
        <f t="shared" si="113"/>
        <v/>
      </c>
      <c r="X1358" s="1"/>
    </row>
    <row r="1359" spans="7:24">
      <c r="G1359" s="21"/>
      <c r="H1359" s="23"/>
      <c r="I1359" s="23" t="str">
        <f>_xlfn.IFNA(VLOOKUP(A1359,A1360:$H$3524,8,0),"")</f>
        <v/>
      </c>
      <c r="J1359" s="40" t="str">
        <f t="shared" si="114"/>
        <v/>
      </c>
      <c r="K1359" s="24" t="str">
        <f t="shared" si="110"/>
        <v/>
      </c>
      <c r="L1359" s="25" t="str">
        <f t="shared" si="111"/>
        <v/>
      </c>
      <c r="M1359" s="37"/>
      <c r="N1359" s="37"/>
      <c r="O1359" s="33" t="str">
        <f t="shared" si="112"/>
        <v/>
      </c>
      <c r="P1359" s="33" t="str">
        <f t="shared" si="113"/>
        <v/>
      </c>
      <c r="X1359" s="1"/>
    </row>
    <row r="1360" spans="7:24">
      <c r="G1360" s="21"/>
      <c r="H1360" s="23"/>
      <c r="I1360" s="23" t="str">
        <f>_xlfn.IFNA(VLOOKUP(A1360,A1361:$H$3524,8,0),"")</f>
        <v/>
      </c>
      <c r="J1360" s="40" t="str">
        <f t="shared" si="114"/>
        <v/>
      </c>
      <c r="K1360" s="24" t="str">
        <f t="shared" si="110"/>
        <v/>
      </c>
      <c r="L1360" s="25" t="str">
        <f t="shared" si="111"/>
        <v/>
      </c>
      <c r="M1360" s="37"/>
      <c r="N1360" s="37"/>
      <c r="O1360" s="33" t="str">
        <f t="shared" si="112"/>
        <v/>
      </c>
      <c r="P1360" s="33" t="str">
        <f t="shared" si="113"/>
        <v/>
      </c>
      <c r="X1360" s="1"/>
    </row>
    <row r="1361" spans="7:24">
      <c r="G1361" s="21"/>
      <c r="H1361" s="23"/>
      <c r="I1361" s="23" t="str">
        <f>_xlfn.IFNA(VLOOKUP(A1361,A1362:$H$3524,8,0),"")</f>
        <v/>
      </c>
      <c r="J1361" s="40" t="str">
        <f t="shared" si="114"/>
        <v/>
      </c>
      <c r="K1361" s="24" t="str">
        <f t="shared" si="110"/>
        <v/>
      </c>
      <c r="L1361" s="25" t="str">
        <f t="shared" si="111"/>
        <v/>
      </c>
      <c r="M1361" s="37"/>
      <c r="N1361" s="37"/>
      <c r="O1361" s="33" t="str">
        <f t="shared" si="112"/>
        <v/>
      </c>
      <c r="P1361" s="33" t="str">
        <f t="shared" si="113"/>
        <v/>
      </c>
      <c r="X1361" s="1"/>
    </row>
    <row r="1362" spans="7:24">
      <c r="G1362" s="21"/>
      <c r="H1362" s="23"/>
      <c r="I1362" s="23" t="str">
        <f>_xlfn.IFNA(VLOOKUP(A1362,A1363:$H$3524,8,0),"")</f>
        <v/>
      </c>
      <c r="J1362" s="40" t="str">
        <f t="shared" si="114"/>
        <v/>
      </c>
      <c r="K1362" s="24" t="str">
        <f t="shared" si="110"/>
        <v/>
      </c>
      <c r="L1362" s="25" t="str">
        <f t="shared" si="111"/>
        <v/>
      </c>
      <c r="M1362" s="37"/>
      <c r="N1362" s="37"/>
      <c r="O1362" s="33" t="str">
        <f t="shared" si="112"/>
        <v/>
      </c>
      <c r="P1362" s="33" t="str">
        <f t="shared" si="113"/>
        <v/>
      </c>
      <c r="X1362" s="1"/>
    </row>
    <row r="1363" spans="7:24">
      <c r="G1363" s="21"/>
      <c r="H1363" s="23"/>
      <c r="I1363" s="23" t="str">
        <f>_xlfn.IFNA(VLOOKUP(A1363,A1364:$H$3524,8,0),"")</f>
        <v/>
      </c>
      <c r="J1363" s="40" t="str">
        <f t="shared" si="114"/>
        <v/>
      </c>
      <c r="K1363" s="24" t="str">
        <f t="shared" si="110"/>
        <v/>
      </c>
      <c r="L1363" s="25" t="str">
        <f t="shared" si="111"/>
        <v/>
      </c>
      <c r="M1363" s="37"/>
      <c r="N1363" s="37"/>
      <c r="O1363" s="33" t="str">
        <f t="shared" si="112"/>
        <v/>
      </c>
      <c r="P1363" s="33" t="str">
        <f t="shared" si="113"/>
        <v/>
      </c>
      <c r="X1363" s="1"/>
    </row>
    <row r="1364" spans="7:24">
      <c r="G1364" s="21"/>
      <c r="H1364" s="23"/>
      <c r="I1364" s="23" t="str">
        <f>_xlfn.IFNA(VLOOKUP(A1364,A1365:$H$3524,8,0),"")</f>
        <v/>
      </c>
      <c r="J1364" s="40" t="str">
        <f t="shared" si="114"/>
        <v/>
      </c>
      <c r="K1364" s="24" t="str">
        <f t="shared" si="110"/>
        <v/>
      </c>
      <c r="L1364" s="25" t="str">
        <f t="shared" si="111"/>
        <v/>
      </c>
      <c r="M1364" s="37"/>
      <c r="N1364" s="37"/>
      <c r="O1364" s="33" t="str">
        <f t="shared" si="112"/>
        <v/>
      </c>
      <c r="P1364" s="33" t="str">
        <f t="shared" si="113"/>
        <v/>
      </c>
      <c r="X1364" s="1"/>
    </row>
    <row r="1365" spans="7:24">
      <c r="G1365" s="21"/>
      <c r="H1365" s="23"/>
      <c r="I1365" s="23" t="str">
        <f>_xlfn.IFNA(VLOOKUP(A1365,A1366:$H$3524,8,0),"")</f>
        <v/>
      </c>
      <c r="J1365" s="40" t="str">
        <f t="shared" si="114"/>
        <v/>
      </c>
      <c r="K1365" s="24" t="str">
        <f t="shared" si="110"/>
        <v/>
      </c>
      <c r="L1365" s="25" t="str">
        <f t="shared" si="111"/>
        <v/>
      </c>
      <c r="M1365" s="37"/>
      <c r="N1365" s="37"/>
      <c r="O1365" s="33" t="str">
        <f t="shared" si="112"/>
        <v/>
      </c>
      <c r="P1365" s="33" t="str">
        <f t="shared" si="113"/>
        <v/>
      </c>
      <c r="X1365" s="1"/>
    </row>
    <row r="1366" spans="7:24">
      <c r="G1366" s="21"/>
      <c r="H1366" s="23"/>
      <c r="I1366" s="23" t="str">
        <f>_xlfn.IFNA(VLOOKUP(A1366,A1367:$H$3524,8,0),"")</f>
        <v/>
      </c>
      <c r="J1366" s="40" t="str">
        <f t="shared" si="114"/>
        <v/>
      </c>
      <c r="K1366" s="24" t="str">
        <f t="shared" ref="K1366:K1429" si="115">IF(H1366="","",IFERROR((I1366-H1366)*24,0))</f>
        <v/>
      </c>
      <c r="L1366" s="25" t="str">
        <f t="shared" si="111"/>
        <v/>
      </c>
      <c r="M1366" s="37"/>
      <c r="N1366" s="37"/>
      <c r="O1366" s="33" t="str">
        <f t="shared" si="112"/>
        <v/>
      </c>
      <c r="P1366" s="33" t="str">
        <f t="shared" si="113"/>
        <v/>
      </c>
      <c r="X1366" s="1"/>
    </row>
    <row r="1367" spans="7:24">
      <c r="G1367" s="21"/>
      <c r="H1367" s="23"/>
      <c r="I1367" s="23" t="str">
        <f>_xlfn.IFNA(VLOOKUP(A1367,A1368:$H$3524,8,0),"")</f>
        <v/>
      </c>
      <c r="J1367" s="40" t="str">
        <f t="shared" si="114"/>
        <v/>
      </c>
      <c r="K1367" s="24" t="str">
        <f t="shared" si="115"/>
        <v/>
      </c>
      <c r="L1367" s="25" t="str">
        <f t="shared" si="111"/>
        <v/>
      </c>
      <c r="M1367" s="37"/>
      <c r="N1367" s="37"/>
      <c r="O1367" s="33" t="str">
        <f t="shared" si="112"/>
        <v/>
      </c>
      <c r="P1367" s="33" t="str">
        <f t="shared" si="113"/>
        <v/>
      </c>
      <c r="X1367" s="1"/>
    </row>
    <row r="1368" spans="7:24">
      <c r="G1368" s="21"/>
      <c r="H1368" s="23"/>
      <c r="I1368" s="23" t="str">
        <f>_xlfn.IFNA(VLOOKUP(A1368,A1369:$H$3524,8,0),"")</f>
        <v/>
      </c>
      <c r="J1368" s="40" t="str">
        <f t="shared" si="114"/>
        <v/>
      </c>
      <c r="K1368" s="24" t="str">
        <f t="shared" si="115"/>
        <v/>
      </c>
      <c r="L1368" s="25" t="str">
        <f t="shared" si="111"/>
        <v/>
      </c>
      <c r="M1368" s="37"/>
      <c r="N1368" s="37"/>
      <c r="O1368" s="33" t="str">
        <f t="shared" si="112"/>
        <v/>
      </c>
      <c r="P1368" s="33" t="str">
        <f t="shared" si="113"/>
        <v/>
      </c>
      <c r="X1368" s="1"/>
    </row>
    <row r="1369" spans="7:24">
      <c r="G1369" s="21"/>
      <c r="H1369" s="23"/>
      <c r="I1369" s="23" t="str">
        <f>_xlfn.IFNA(VLOOKUP(A1369,A1370:$H$3524,8,0),"")</f>
        <v/>
      </c>
      <c r="J1369" s="40" t="str">
        <f t="shared" si="114"/>
        <v/>
      </c>
      <c r="K1369" s="24" t="str">
        <f t="shared" si="115"/>
        <v/>
      </c>
      <c r="L1369" s="25" t="str">
        <f t="shared" si="111"/>
        <v/>
      </c>
      <c r="M1369" s="37"/>
      <c r="N1369" s="37"/>
      <c r="O1369" s="33" t="str">
        <f t="shared" si="112"/>
        <v/>
      </c>
      <c r="P1369" s="33" t="str">
        <f t="shared" si="113"/>
        <v/>
      </c>
      <c r="X1369" s="1"/>
    </row>
    <row r="1370" spans="7:24">
      <c r="G1370" s="21"/>
      <c r="H1370" s="23"/>
      <c r="I1370" s="23" t="str">
        <f>_xlfn.IFNA(VLOOKUP(A1370,A1371:$H$3524,8,0),"")</f>
        <v/>
      </c>
      <c r="J1370" s="40" t="str">
        <f t="shared" si="114"/>
        <v/>
      </c>
      <c r="K1370" s="24" t="str">
        <f t="shared" si="115"/>
        <v/>
      </c>
      <c r="L1370" s="25" t="str">
        <f t="shared" si="111"/>
        <v/>
      </c>
      <c r="M1370" s="37"/>
      <c r="N1370" s="37"/>
      <c r="O1370" s="33" t="str">
        <f t="shared" si="112"/>
        <v/>
      </c>
      <c r="P1370" s="33" t="str">
        <f t="shared" si="113"/>
        <v/>
      </c>
      <c r="X1370" s="1"/>
    </row>
    <row r="1371" spans="7:24">
      <c r="G1371" s="21"/>
      <c r="H1371" s="23"/>
      <c r="I1371" s="23" t="str">
        <f>_xlfn.IFNA(VLOOKUP(A1371,A1372:$H$3524,8,0),"")</f>
        <v/>
      </c>
      <c r="J1371" s="40" t="str">
        <f t="shared" si="114"/>
        <v/>
      </c>
      <c r="K1371" s="24" t="str">
        <f t="shared" si="115"/>
        <v/>
      </c>
      <c r="L1371" s="25" t="str">
        <f t="shared" si="111"/>
        <v/>
      </c>
      <c r="M1371" s="37"/>
      <c r="N1371" s="37"/>
      <c r="O1371" s="33" t="str">
        <f t="shared" si="112"/>
        <v/>
      </c>
      <c r="P1371" s="33" t="str">
        <f t="shared" si="113"/>
        <v/>
      </c>
      <c r="X1371" s="1"/>
    </row>
    <row r="1372" spans="7:24">
      <c r="G1372" s="21"/>
      <c r="H1372" s="23"/>
      <c r="I1372" s="23" t="str">
        <f>_xlfn.IFNA(VLOOKUP(A1372,A1373:$H$3524,8,0),"")</f>
        <v/>
      </c>
      <c r="J1372" s="40" t="str">
        <f t="shared" si="114"/>
        <v/>
      </c>
      <c r="K1372" s="24" t="str">
        <f t="shared" si="115"/>
        <v/>
      </c>
      <c r="L1372" s="25" t="str">
        <f t="shared" si="111"/>
        <v/>
      </c>
      <c r="M1372" s="37"/>
      <c r="N1372" s="37"/>
      <c r="O1372" s="33" t="str">
        <f t="shared" si="112"/>
        <v/>
      </c>
      <c r="P1372" s="33" t="str">
        <f t="shared" si="113"/>
        <v/>
      </c>
      <c r="X1372" s="1"/>
    </row>
    <row r="1373" spans="7:24">
      <c r="G1373" s="21"/>
      <c r="H1373" s="23"/>
      <c r="I1373" s="23" t="str">
        <f>_xlfn.IFNA(VLOOKUP(A1373,A1374:$H$3524,8,0),"")</f>
        <v/>
      </c>
      <c r="J1373" s="40" t="str">
        <f t="shared" si="114"/>
        <v/>
      </c>
      <c r="K1373" s="24" t="str">
        <f t="shared" si="115"/>
        <v/>
      </c>
      <c r="L1373" s="25" t="str">
        <f t="shared" si="111"/>
        <v/>
      </c>
      <c r="M1373" s="37"/>
      <c r="N1373" s="37"/>
      <c r="O1373" s="33" t="str">
        <f t="shared" si="112"/>
        <v/>
      </c>
      <c r="P1373" s="33" t="str">
        <f t="shared" si="113"/>
        <v/>
      </c>
      <c r="X1373" s="1"/>
    </row>
    <row r="1374" spans="7:24">
      <c r="G1374" s="21"/>
      <c r="H1374" s="23"/>
      <c r="I1374" s="23" t="str">
        <f>_xlfn.IFNA(VLOOKUP(A1374,A1375:$H$3524,8,0),"")</f>
        <v/>
      </c>
      <c r="J1374" s="40" t="str">
        <f t="shared" si="114"/>
        <v/>
      </c>
      <c r="K1374" s="24" t="str">
        <f t="shared" si="115"/>
        <v/>
      </c>
      <c r="L1374" s="25" t="str">
        <f t="shared" si="111"/>
        <v/>
      </c>
      <c r="M1374" s="37"/>
      <c r="N1374" s="37"/>
      <c r="O1374" s="33" t="str">
        <f t="shared" si="112"/>
        <v/>
      </c>
      <c r="P1374" s="33" t="str">
        <f t="shared" si="113"/>
        <v/>
      </c>
      <c r="X1374" s="1"/>
    </row>
    <row r="1375" spans="7:24">
      <c r="G1375" s="21"/>
      <c r="H1375" s="23"/>
      <c r="I1375" s="23" t="str">
        <f>_xlfn.IFNA(VLOOKUP(A1375,A1376:$H$3524,8,0),"")</f>
        <v/>
      </c>
      <c r="J1375" s="40" t="str">
        <f t="shared" si="114"/>
        <v/>
      </c>
      <c r="K1375" s="24" t="str">
        <f t="shared" si="115"/>
        <v/>
      </c>
      <c r="L1375" s="25" t="str">
        <f t="shared" si="111"/>
        <v/>
      </c>
      <c r="M1375" s="37"/>
      <c r="N1375" s="37"/>
      <c r="O1375" s="33" t="str">
        <f t="shared" si="112"/>
        <v/>
      </c>
      <c r="P1375" s="33" t="str">
        <f t="shared" si="113"/>
        <v/>
      </c>
      <c r="X1375" s="1"/>
    </row>
    <row r="1376" spans="7:24">
      <c r="G1376" s="21"/>
      <c r="H1376" s="23"/>
      <c r="I1376" s="23" t="str">
        <f>_xlfn.IFNA(VLOOKUP(A1376,A1377:$H$3524,8,0),"")</f>
        <v/>
      </c>
      <c r="J1376" s="40" t="str">
        <f t="shared" si="114"/>
        <v/>
      </c>
      <c r="K1376" s="24" t="str">
        <f t="shared" si="115"/>
        <v/>
      </c>
      <c r="L1376" s="25" t="str">
        <f t="shared" si="111"/>
        <v/>
      </c>
      <c r="M1376" s="37"/>
      <c r="N1376" s="37"/>
      <c r="O1376" s="33" t="str">
        <f t="shared" si="112"/>
        <v/>
      </c>
      <c r="P1376" s="33" t="str">
        <f t="shared" si="113"/>
        <v/>
      </c>
      <c r="X1376" s="1"/>
    </row>
    <row r="1377" spans="7:24">
      <c r="G1377" s="21"/>
      <c r="H1377" s="23"/>
      <c r="I1377" s="23" t="str">
        <f>_xlfn.IFNA(VLOOKUP(A1377,A1378:$H$3524,8,0),"")</f>
        <v/>
      </c>
      <c r="J1377" s="40" t="str">
        <f t="shared" si="114"/>
        <v/>
      </c>
      <c r="K1377" s="24" t="str">
        <f t="shared" si="115"/>
        <v/>
      </c>
      <c r="L1377" s="25" t="str">
        <f t="shared" si="111"/>
        <v/>
      </c>
      <c r="M1377" s="37"/>
      <c r="N1377" s="37"/>
      <c r="O1377" s="33" t="str">
        <f t="shared" si="112"/>
        <v/>
      </c>
      <c r="P1377" s="33" t="str">
        <f t="shared" si="113"/>
        <v/>
      </c>
      <c r="X1377" s="1"/>
    </row>
    <row r="1378" spans="7:24">
      <c r="G1378" s="21"/>
      <c r="H1378" s="23"/>
      <c r="I1378" s="23" t="str">
        <f>_xlfn.IFNA(VLOOKUP(A1378,A1379:$H$3524,8,0),"")</f>
        <v/>
      </c>
      <c r="J1378" s="40" t="str">
        <f t="shared" si="114"/>
        <v/>
      </c>
      <c r="K1378" s="24" t="str">
        <f t="shared" si="115"/>
        <v/>
      </c>
      <c r="L1378" s="25" t="str">
        <f t="shared" si="111"/>
        <v/>
      </c>
      <c r="M1378" s="37"/>
      <c r="N1378" s="37"/>
      <c r="O1378" s="33" t="str">
        <f t="shared" si="112"/>
        <v/>
      </c>
      <c r="P1378" s="33" t="str">
        <f t="shared" si="113"/>
        <v/>
      </c>
      <c r="X1378" s="1"/>
    </row>
    <row r="1379" spans="7:24">
      <c r="G1379" s="21"/>
      <c r="H1379" s="23"/>
      <c r="I1379" s="23" t="str">
        <f>_xlfn.IFNA(VLOOKUP(A1379,A1380:$H$3524,8,0),"")</f>
        <v/>
      </c>
      <c r="J1379" s="40" t="str">
        <f t="shared" si="114"/>
        <v/>
      </c>
      <c r="K1379" s="24" t="str">
        <f t="shared" si="115"/>
        <v/>
      </c>
      <c r="L1379" s="25" t="str">
        <f t="shared" si="111"/>
        <v/>
      </c>
      <c r="M1379" s="37"/>
      <c r="N1379" s="37"/>
      <c r="O1379" s="33" t="str">
        <f t="shared" si="112"/>
        <v/>
      </c>
      <c r="P1379" s="33" t="str">
        <f t="shared" si="113"/>
        <v/>
      </c>
      <c r="X1379" s="1"/>
    </row>
    <row r="1380" spans="7:24">
      <c r="G1380" s="21"/>
      <c r="H1380" s="23"/>
      <c r="I1380" s="23" t="str">
        <f>_xlfn.IFNA(VLOOKUP(A1380,A1381:$H$3524,8,0),"")</f>
        <v/>
      </c>
      <c r="J1380" s="40" t="str">
        <f t="shared" si="114"/>
        <v/>
      </c>
      <c r="K1380" s="24" t="str">
        <f t="shared" si="115"/>
        <v/>
      </c>
      <c r="L1380" s="25" t="str">
        <f t="shared" si="111"/>
        <v/>
      </c>
      <c r="M1380" s="37"/>
      <c r="N1380" s="37"/>
      <c r="O1380" s="33" t="str">
        <f t="shared" si="112"/>
        <v/>
      </c>
      <c r="P1380" s="33" t="str">
        <f t="shared" si="113"/>
        <v/>
      </c>
      <c r="X1380" s="1"/>
    </row>
    <row r="1381" spans="7:24">
      <c r="G1381" s="21"/>
      <c r="H1381" s="23"/>
      <c r="I1381" s="23" t="str">
        <f>_xlfn.IFNA(VLOOKUP(A1381,A1382:$H$3524,8,0),"")</f>
        <v/>
      </c>
      <c r="J1381" s="40" t="str">
        <f t="shared" si="114"/>
        <v/>
      </c>
      <c r="K1381" s="24" t="str">
        <f t="shared" si="115"/>
        <v/>
      </c>
      <c r="L1381" s="25" t="str">
        <f t="shared" si="111"/>
        <v/>
      </c>
      <c r="M1381" s="37"/>
      <c r="N1381" s="37"/>
      <c r="O1381" s="33" t="str">
        <f t="shared" si="112"/>
        <v/>
      </c>
      <c r="P1381" s="33" t="str">
        <f t="shared" si="113"/>
        <v/>
      </c>
      <c r="X1381" s="1"/>
    </row>
    <row r="1382" spans="7:24">
      <c r="G1382" s="21"/>
      <c r="H1382" s="23"/>
      <c r="I1382" s="23" t="str">
        <f>_xlfn.IFNA(VLOOKUP(A1382,A1383:$H$3524,8,0),"")</f>
        <v/>
      </c>
      <c r="J1382" s="40" t="str">
        <f t="shared" si="114"/>
        <v/>
      </c>
      <c r="K1382" s="24" t="str">
        <f t="shared" si="115"/>
        <v/>
      </c>
      <c r="L1382" s="25" t="str">
        <f t="shared" si="111"/>
        <v/>
      </c>
      <c r="M1382" s="37"/>
      <c r="N1382" s="37"/>
      <c r="O1382" s="33" t="str">
        <f t="shared" si="112"/>
        <v/>
      </c>
      <c r="P1382" s="33" t="str">
        <f t="shared" si="113"/>
        <v/>
      </c>
      <c r="X1382" s="1"/>
    </row>
    <row r="1383" spans="7:24">
      <c r="G1383" s="21"/>
      <c r="H1383" s="23"/>
      <c r="I1383" s="23" t="str">
        <f>_xlfn.IFNA(VLOOKUP(A1383,A1384:$H$3524,8,0),"")</f>
        <v/>
      </c>
      <c r="J1383" s="40" t="str">
        <f t="shared" si="114"/>
        <v/>
      </c>
      <c r="K1383" s="24" t="str">
        <f t="shared" si="115"/>
        <v/>
      </c>
      <c r="L1383" s="25" t="str">
        <f t="shared" si="111"/>
        <v/>
      </c>
      <c r="M1383" s="37"/>
      <c r="N1383" s="37"/>
      <c r="O1383" s="33" t="str">
        <f t="shared" si="112"/>
        <v/>
      </c>
      <c r="P1383" s="33" t="str">
        <f t="shared" si="113"/>
        <v/>
      </c>
      <c r="X1383" s="1"/>
    </row>
    <row r="1384" spans="7:24">
      <c r="G1384" s="21"/>
      <c r="H1384" s="23"/>
      <c r="I1384" s="23" t="str">
        <f>_xlfn.IFNA(VLOOKUP(A1384,A1385:$H$3524,8,0),"")</f>
        <v/>
      </c>
      <c r="J1384" s="40" t="str">
        <f t="shared" si="114"/>
        <v/>
      </c>
      <c r="K1384" s="24" t="str">
        <f t="shared" si="115"/>
        <v/>
      </c>
      <c r="L1384" s="25" t="str">
        <f t="shared" si="111"/>
        <v/>
      </c>
      <c r="M1384" s="37"/>
      <c r="N1384" s="37"/>
      <c r="O1384" s="33" t="str">
        <f t="shared" si="112"/>
        <v/>
      </c>
      <c r="P1384" s="33" t="str">
        <f t="shared" si="113"/>
        <v/>
      </c>
      <c r="X1384" s="1"/>
    </row>
    <row r="1385" spans="7:24">
      <c r="G1385" s="21"/>
      <c r="H1385" s="23"/>
      <c r="I1385" s="23" t="str">
        <f>_xlfn.IFNA(VLOOKUP(A1385,A1386:$H$3524,8,0),"")</f>
        <v/>
      </c>
      <c r="J1385" s="40" t="str">
        <f t="shared" si="114"/>
        <v/>
      </c>
      <c r="K1385" s="24" t="str">
        <f t="shared" si="115"/>
        <v/>
      </c>
      <c r="L1385" s="25" t="str">
        <f t="shared" si="111"/>
        <v/>
      </c>
      <c r="M1385" s="37"/>
      <c r="N1385" s="37"/>
      <c r="O1385" s="33" t="str">
        <f t="shared" si="112"/>
        <v/>
      </c>
      <c r="P1385" s="33" t="str">
        <f t="shared" si="113"/>
        <v/>
      </c>
      <c r="X1385" s="1"/>
    </row>
    <row r="1386" spans="7:24">
      <c r="G1386" s="21"/>
      <c r="H1386" s="23"/>
      <c r="I1386" s="23" t="str">
        <f>_xlfn.IFNA(VLOOKUP(A1386,A1387:$H$3524,8,0),"")</f>
        <v/>
      </c>
      <c r="J1386" s="40" t="str">
        <f t="shared" si="114"/>
        <v/>
      </c>
      <c r="K1386" s="24" t="str">
        <f t="shared" si="115"/>
        <v/>
      </c>
      <c r="L1386" s="25" t="str">
        <f t="shared" si="111"/>
        <v/>
      </c>
      <c r="M1386" s="37"/>
      <c r="N1386" s="37"/>
      <c r="O1386" s="33" t="str">
        <f t="shared" si="112"/>
        <v/>
      </c>
      <c r="P1386" s="33" t="str">
        <f t="shared" si="113"/>
        <v/>
      </c>
      <c r="X1386" s="1"/>
    </row>
    <row r="1387" spans="7:24">
      <c r="G1387" s="21"/>
      <c r="H1387" s="23"/>
      <c r="I1387" s="23" t="str">
        <f>_xlfn.IFNA(VLOOKUP(A1387,A1388:$H$3524,8,0),"")</f>
        <v/>
      </c>
      <c r="J1387" s="40" t="str">
        <f t="shared" si="114"/>
        <v/>
      </c>
      <c r="K1387" s="24" t="str">
        <f t="shared" si="115"/>
        <v/>
      </c>
      <c r="L1387" s="25" t="str">
        <f t="shared" si="111"/>
        <v/>
      </c>
      <c r="M1387" s="37"/>
      <c r="N1387" s="37"/>
      <c r="O1387" s="33" t="str">
        <f t="shared" si="112"/>
        <v/>
      </c>
      <c r="P1387" s="33" t="str">
        <f t="shared" si="113"/>
        <v/>
      </c>
      <c r="X1387" s="1"/>
    </row>
    <row r="1388" spans="7:24">
      <c r="G1388" s="21"/>
      <c r="H1388" s="23"/>
      <c r="I1388" s="23" t="str">
        <f>_xlfn.IFNA(VLOOKUP(A1388,A1389:$H$3524,8,0),"")</f>
        <v/>
      </c>
      <c r="J1388" s="40" t="str">
        <f t="shared" si="114"/>
        <v/>
      </c>
      <c r="K1388" s="24" t="str">
        <f t="shared" si="115"/>
        <v/>
      </c>
      <c r="L1388" s="25" t="str">
        <f t="shared" si="111"/>
        <v/>
      </c>
      <c r="M1388" s="37"/>
      <c r="N1388" s="37"/>
      <c r="O1388" s="33" t="str">
        <f t="shared" si="112"/>
        <v/>
      </c>
      <c r="P1388" s="33" t="str">
        <f t="shared" si="113"/>
        <v/>
      </c>
      <c r="X1388" s="1"/>
    </row>
    <row r="1389" spans="7:24">
      <c r="G1389" s="21"/>
      <c r="H1389" s="23"/>
      <c r="I1389" s="23" t="str">
        <f>_xlfn.IFNA(VLOOKUP(A1389,A1390:$H$3524,8,0),"")</f>
        <v/>
      </c>
      <c r="J1389" s="40" t="str">
        <f t="shared" si="114"/>
        <v/>
      </c>
      <c r="K1389" s="24" t="str">
        <f t="shared" si="115"/>
        <v/>
      </c>
      <c r="L1389" s="25" t="str">
        <f t="shared" si="111"/>
        <v/>
      </c>
      <c r="M1389" s="37"/>
      <c r="N1389" s="37"/>
      <c r="O1389" s="33" t="str">
        <f t="shared" si="112"/>
        <v/>
      </c>
      <c r="P1389" s="33" t="str">
        <f t="shared" si="113"/>
        <v/>
      </c>
      <c r="X1389" s="1"/>
    </row>
    <row r="1390" spans="7:24">
      <c r="G1390" s="21"/>
      <c r="H1390" s="23"/>
      <c r="I1390" s="23" t="str">
        <f>_xlfn.IFNA(VLOOKUP(A1390,A1391:$H$3524,8,0),"")</f>
        <v/>
      </c>
      <c r="J1390" s="40" t="str">
        <f t="shared" si="114"/>
        <v/>
      </c>
      <c r="K1390" s="24" t="str">
        <f t="shared" si="115"/>
        <v/>
      </c>
      <c r="L1390" s="25" t="str">
        <f t="shared" si="111"/>
        <v/>
      </c>
      <c r="M1390" s="37"/>
      <c r="N1390" s="37"/>
      <c r="O1390" s="33" t="str">
        <f t="shared" si="112"/>
        <v/>
      </c>
      <c r="P1390" s="33" t="str">
        <f t="shared" si="113"/>
        <v/>
      </c>
      <c r="X1390" s="1"/>
    </row>
    <row r="1391" spans="7:24">
      <c r="G1391" s="21"/>
      <c r="H1391" s="23"/>
      <c r="I1391" s="23" t="str">
        <f>_xlfn.IFNA(VLOOKUP(A1391,A1392:$H$3524,8,0),"")</f>
        <v/>
      </c>
      <c r="J1391" s="40" t="str">
        <f t="shared" si="114"/>
        <v/>
      </c>
      <c r="K1391" s="24" t="str">
        <f t="shared" si="115"/>
        <v/>
      </c>
      <c r="L1391" s="25" t="str">
        <f t="shared" si="111"/>
        <v/>
      </c>
      <c r="M1391" s="37"/>
      <c r="N1391" s="37"/>
      <c r="O1391" s="33" t="str">
        <f t="shared" si="112"/>
        <v/>
      </c>
      <c r="P1391" s="33" t="str">
        <f t="shared" si="113"/>
        <v/>
      </c>
      <c r="X1391" s="1"/>
    </row>
    <row r="1392" spans="7:24">
      <c r="G1392" s="21"/>
      <c r="H1392" s="23"/>
      <c r="I1392" s="23" t="str">
        <f>_xlfn.IFNA(VLOOKUP(A1392,A1393:$H$3524,8,0),"")</f>
        <v/>
      </c>
      <c r="J1392" s="40" t="str">
        <f t="shared" si="114"/>
        <v/>
      </c>
      <c r="K1392" s="24" t="str">
        <f t="shared" si="115"/>
        <v/>
      </c>
      <c r="L1392" s="25" t="str">
        <f t="shared" si="111"/>
        <v/>
      </c>
      <c r="M1392" s="37"/>
      <c r="N1392" s="37"/>
      <c r="O1392" s="33" t="str">
        <f t="shared" si="112"/>
        <v/>
      </c>
      <c r="P1392" s="33" t="str">
        <f t="shared" si="113"/>
        <v/>
      </c>
      <c r="X1392" s="1"/>
    </row>
    <row r="1393" spans="7:24">
      <c r="G1393" s="21"/>
      <c r="H1393" s="23"/>
      <c r="I1393" s="23" t="str">
        <f>_xlfn.IFNA(VLOOKUP(A1393,A1394:$H$3524,8,0),"")</f>
        <v/>
      </c>
      <c r="J1393" s="40" t="str">
        <f t="shared" si="114"/>
        <v/>
      </c>
      <c r="K1393" s="24" t="str">
        <f t="shared" si="115"/>
        <v/>
      </c>
      <c r="L1393" s="25" t="str">
        <f t="shared" si="111"/>
        <v/>
      </c>
      <c r="M1393" s="37"/>
      <c r="N1393" s="37"/>
      <c r="O1393" s="33" t="str">
        <f t="shared" si="112"/>
        <v/>
      </c>
      <c r="P1393" s="33" t="str">
        <f t="shared" si="113"/>
        <v/>
      </c>
      <c r="X1393" s="1"/>
    </row>
    <row r="1394" spans="7:24">
      <c r="G1394" s="21"/>
      <c r="H1394" s="23"/>
      <c r="I1394" s="23" t="str">
        <f>_xlfn.IFNA(VLOOKUP(A1394,A1395:$H$3524,8,0),"")</f>
        <v/>
      </c>
      <c r="J1394" s="40" t="str">
        <f t="shared" si="114"/>
        <v/>
      </c>
      <c r="K1394" s="24" t="str">
        <f t="shared" si="115"/>
        <v/>
      </c>
      <c r="L1394" s="25" t="str">
        <f t="shared" si="111"/>
        <v/>
      </c>
      <c r="M1394" s="37"/>
      <c r="N1394" s="37"/>
      <c r="O1394" s="33" t="str">
        <f t="shared" si="112"/>
        <v/>
      </c>
      <c r="P1394" s="33" t="str">
        <f t="shared" si="113"/>
        <v/>
      </c>
      <c r="X1394" s="1"/>
    </row>
    <row r="1395" spans="7:24">
      <c r="G1395" s="21"/>
      <c r="H1395" s="23"/>
      <c r="I1395" s="23" t="str">
        <f>_xlfn.IFNA(VLOOKUP(A1395,A1396:$H$3524,8,0),"")</f>
        <v/>
      </c>
      <c r="J1395" s="40" t="str">
        <f t="shared" si="114"/>
        <v/>
      </c>
      <c r="K1395" s="24" t="str">
        <f t="shared" si="115"/>
        <v/>
      </c>
      <c r="L1395" s="25" t="str">
        <f t="shared" si="111"/>
        <v/>
      </c>
      <c r="M1395" s="37"/>
      <c r="N1395" s="37"/>
      <c r="O1395" s="33" t="str">
        <f t="shared" si="112"/>
        <v/>
      </c>
      <c r="P1395" s="33" t="str">
        <f t="shared" si="113"/>
        <v/>
      </c>
      <c r="X1395" s="1"/>
    </row>
    <row r="1396" spans="7:24">
      <c r="G1396" s="21"/>
      <c r="H1396" s="23"/>
      <c r="I1396" s="23" t="str">
        <f>_xlfn.IFNA(VLOOKUP(A1396,A1397:$H$3524,8,0),"")</f>
        <v/>
      </c>
      <c r="J1396" s="40" t="str">
        <f t="shared" si="114"/>
        <v/>
      </c>
      <c r="K1396" s="24" t="str">
        <f t="shared" si="115"/>
        <v/>
      </c>
      <c r="L1396" s="25" t="str">
        <f t="shared" si="111"/>
        <v/>
      </c>
      <c r="M1396" s="37"/>
      <c r="N1396" s="37"/>
      <c r="O1396" s="33" t="str">
        <f t="shared" si="112"/>
        <v/>
      </c>
      <c r="P1396" s="33" t="str">
        <f t="shared" si="113"/>
        <v/>
      </c>
      <c r="X1396" s="1"/>
    </row>
    <row r="1397" spans="7:24">
      <c r="G1397" s="21"/>
      <c r="H1397" s="23"/>
      <c r="I1397" s="23" t="str">
        <f>_xlfn.IFNA(VLOOKUP(A1397,A1398:$H$3524,8,0),"")</f>
        <v/>
      </c>
      <c r="J1397" s="40" t="str">
        <f t="shared" si="114"/>
        <v/>
      </c>
      <c r="K1397" s="24" t="str">
        <f t="shared" si="115"/>
        <v/>
      </c>
      <c r="L1397" s="25" t="str">
        <f t="shared" si="111"/>
        <v/>
      </c>
      <c r="M1397" s="37"/>
      <c r="N1397" s="37"/>
      <c r="O1397" s="33" t="str">
        <f t="shared" si="112"/>
        <v/>
      </c>
      <c r="P1397" s="33" t="str">
        <f t="shared" si="113"/>
        <v/>
      </c>
      <c r="X1397" s="1"/>
    </row>
    <row r="1398" spans="7:24">
      <c r="G1398" s="21"/>
      <c r="H1398" s="23"/>
      <c r="I1398" s="23" t="str">
        <f>_xlfn.IFNA(VLOOKUP(A1398,A1399:$H$3524,8,0),"")</f>
        <v/>
      </c>
      <c r="J1398" s="40" t="str">
        <f t="shared" si="114"/>
        <v/>
      </c>
      <c r="K1398" s="24" t="str">
        <f t="shared" si="115"/>
        <v/>
      </c>
      <c r="L1398" s="25" t="str">
        <f t="shared" si="111"/>
        <v/>
      </c>
      <c r="M1398" s="37"/>
      <c r="N1398" s="37"/>
      <c r="O1398" s="33" t="str">
        <f t="shared" si="112"/>
        <v/>
      </c>
      <c r="P1398" s="33" t="str">
        <f t="shared" si="113"/>
        <v/>
      </c>
      <c r="X1398" s="1"/>
    </row>
    <row r="1399" spans="7:24">
      <c r="G1399" s="21"/>
      <c r="H1399" s="23"/>
      <c r="I1399" s="23" t="str">
        <f>_xlfn.IFNA(VLOOKUP(A1399,A1400:$H$3524,8,0),"")</f>
        <v/>
      </c>
      <c r="J1399" s="40" t="str">
        <f t="shared" si="114"/>
        <v/>
      </c>
      <c r="K1399" s="24" t="str">
        <f t="shared" si="115"/>
        <v/>
      </c>
      <c r="L1399" s="25" t="str">
        <f t="shared" ref="L1399:L1462" si="116">IF(K1399="","",IF(B1399="Break","Break",IF(K1399&lt;&gt;0,"Work Finished",IF(B1399="OFF","Work Finished",IF(I1399="","Working","Work Finished")))))</f>
        <v/>
      </c>
      <c r="M1399" s="37"/>
      <c r="N1399" s="37"/>
      <c r="O1399" s="33" t="str">
        <f t="shared" ref="O1399:O1462" si="117">IF(AND(J1399="",M1399="",N1399=""),"",J1399-M1399-N1399)</f>
        <v/>
      </c>
      <c r="P1399" s="33" t="str">
        <f t="shared" ref="P1399:P1462" si="118">IF(HOUR(H1399)=0,"",HOUR(H1399))</f>
        <v/>
      </c>
      <c r="X1399" s="1"/>
    </row>
    <row r="1400" spans="7:24">
      <c r="G1400" s="21"/>
      <c r="H1400" s="23"/>
      <c r="I1400" s="23" t="str">
        <f>_xlfn.IFNA(VLOOKUP(A1400,A1401:$H$3524,8,0),"")</f>
        <v/>
      </c>
      <c r="J1400" s="40" t="str">
        <f t="shared" si="114"/>
        <v/>
      </c>
      <c r="K1400" s="24" t="str">
        <f t="shared" si="115"/>
        <v/>
      </c>
      <c r="L1400" s="25" t="str">
        <f t="shared" si="116"/>
        <v/>
      </c>
      <c r="M1400" s="37"/>
      <c r="N1400" s="37"/>
      <c r="O1400" s="33" t="str">
        <f t="shared" si="117"/>
        <v/>
      </c>
      <c r="P1400" s="33" t="str">
        <f t="shared" si="118"/>
        <v/>
      </c>
      <c r="X1400" s="1"/>
    </row>
    <row r="1401" spans="7:24">
      <c r="G1401" s="21"/>
      <c r="H1401" s="23"/>
      <c r="I1401" s="23" t="str">
        <f>_xlfn.IFNA(VLOOKUP(A1401,A1402:$H$3524,8,0),"")</f>
        <v/>
      </c>
      <c r="J1401" s="40" t="str">
        <f t="shared" si="114"/>
        <v/>
      </c>
      <c r="K1401" s="24" t="str">
        <f t="shared" si="115"/>
        <v/>
      </c>
      <c r="L1401" s="25" t="str">
        <f t="shared" si="116"/>
        <v/>
      </c>
      <c r="M1401" s="37"/>
      <c r="N1401" s="37"/>
      <c r="O1401" s="33" t="str">
        <f t="shared" si="117"/>
        <v/>
      </c>
      <c r="P1401" s="33" t="str">
        <f t="shared" si="118"/>
        <v/>
      </c>
      <c r="X1401" s="1"/>
    </row>
    <row r="1402" spans="7:24">
      <c r="G1402" s="21"/>
      <c r="H1402" s="23"/>
      <c r="I1402" s="23" t="str">
        <f>_xlfn.IFNA(VLOOKUP(A1402,A1403:$H$3524,8,0),"")</f>
        <v/>
      </c>
      <c r="J1402" s="40" t="str">
        <f t="shared" si="114"/>
        <v/>
      </c>
      <c r="K1402" s="24" t="str">
        <f t="shared" si="115"/>
        <v/>
      </c>
      <c r="L1402" s="25" t="str">
        <f t="shared" si="116"/>
        <v/>
      </c>
      <c r="M1402" s="37"/>
      <c r="N1402" s="37"/>
      <c r="O1402" s="33" t="str">
        <f t="shared" si="117"/>
        <v/>
      </c>
      <c r="P1402" s="33" t="str">
        <f t="shared" si="118"/>
        <v/>
      </c>
      <c r="X1402" s="1"/>
    </row>
    <row r="1403" spans="7:24">
      <c r="G1403" s="21"/>
      <c r="H1403" s="23"/>
      <c r="I1403" s="23" t="str">
        <f>_xlfn.IFNA(VLOOKUP(A1403,A1404:$H$3524,8,0),"")</f>
        <v/>
      </c>
      <c r="J1403" s="40" t="str">
        <f t="shared" si="114"/>
        <v/>
      </c>
      <c r="K1403" s="24" t="str">
        <f t="shared" si="115"/>
        <v/>
      </c>
      <c r="L1403" s="25" t="str">
        <f t="shared" si="116"/>
        <v/>
      </c>
      <c r="M1403" s="37"/>
      <c r="N1403" s="37"/>
      <c r="O1403" s="33" t="str">
        <f t="shared" si="117"/>
        <v/>
      </c>
      <c r="P1403" s="33" t="str">
        <f t="shared" si="118"/>
        <v/>
      </c>
      <c r="X1403" s="1"/>
    </row>
    <row r="1404" spans="7:24">
      <c r="G1404" s="21"/>
      <c r="H1404" s="23"/>
      <c r="I1404" s="23" t="str">
        <f>_xlfn.IFNA(VLOOKUP(A1404,A1405:$H$3524,8,0),"")</f>
        <v/>
      </c>
      <c r="J1404" s="40" t="str">
        <f t="shared" si="114"/>
        <v/>
      </c>
      <c r="K1404" s="24" t="str">
        <f t="shared" si="115"/>
        <v/>
      </c>
      <c r="L1404" s="25" t="str">
        <f t="shared" si="116"/>
        <v/>
      </c>
      <c r="M1404" s="37"/>
      <c r="N1404" s="37"/>
      <c r="O1404" s="33" t="str">
        <f t="shared" si="117"/>
        <v/>
      </c>
      <c r="P1404" s="33" t="str">
        <f t="shared" si="118"/>
        <v/>
      </c>
      <c r="X1404" s="1"/>
    </row>
    <row r="1405" spans="7:24">
      <c r="G1405" s="21"/>
      <c r="H1405" s="23"/>
      <c r="I1405" s="23" t="str">
        <f>_xlfn.IFNA(VLOOKUP(A1405,A1406:$H$3524,8,0),"")</f>
        <v/>
      </c>
      <c r="J1405" s="40" t="str">
        <f t="shared" si="114"/>
        <v/>
      </c>
      <c r="K1405" s="24" t="str">
        <f t="shared" si="115"/>
        <v/>
      </c>
      <c r="L1405" s="25" t="str">
        <f t="shared" si="116"/>
        <v/>
      </c>
      <c r="M1405" s="37"/>
      <c r="N1405" s="37"/>
      <c r="O1405" s="33" t="str">
        <f t="shared" si="117"/>
        <v/>
      </c>
      <c r="P1405" s="33" t="str">
        <f t="shared" si="118"/>
        <v/>
      </c>
      <c r="X1405" s="1"/>
    </row>
    <row r="1406" spans="7:24">
      <c r="G1406" s="21"/>
      <c r="H1406" s="23"/>
      <c r="I1406" s="23" t="str">
        <f>_xlfn.IFNA(VLOOKUP(A1406,A1407:$H$3524,8,0),"")</f>
        <v/>
      </c>
      <c r="J1406" s="40" t="str">
        <f t="shared" si="114"/>
        <v/>
      </c>
      <c r="K1406" s="24" t="str">
        <f t="shared" si="115"/>
        <v/>
      </c>
      <c r="L1406" s="25" t="str">
        <f t="shared" si="116"/>
        <v/>
      </c>
      <c r="M1406" s="37"/>
      <c r="N1406" s="37"/>
      <c r="O1406" s="33" t="str">
        <f t="shared" si="117"/>
        <v/>
      </c>
      <c r="P1406" s="33" t="str">
        <f t="shared" si="118"/>
        <v/>
      </c>
      <c r="X1406" s="1"/>
    </row>
    <row r="1407" spans="7:24">
      <c r="G1407" s="21"/>
      <c r="H1407" s="23"/>
      <c r="I1407" s="23" t="str">
        <f>_xlfn.IFNA(VLOOKUP(A1407,A1408:$H$3524,8,0),"")</f>
        <v/>
      </c>
      <c r="J1407" s="40" t="str">
        <f t="shared" si="114"/>
        <v/>
      </c>
      <c r="K1407" s="24" t="str">
        <f t="shared" si="115"/>
        <v/>
      </c>
      <c r="L1407" s="25" t="str">
        <f t="shared" si="116"/>
        <v/>
      </c>
      <c r="M1407" s="37"/>
      <c r="N1407" s="37"/>
      <c r="O1407" s="33" t="str">
        <f t="shared" si="117"/>
        <v/>
      </c>
      <c r="P1407" s="33" t="str">
        <f t="shared" si="118"/>
        <v/>
      </c>
      <c r="X1407" s="1"/>
    </row>
    <row r="1408" spans="7:24">
      <c r="G1408" s="21"/>
      <c r="H1408" s="23"/>
      <c r="I1408" s="23" t="str">
        <f>_xlfn.IFNA(VLOOKUP(A1408,A1409:$H$3524,8,0),"")</f>
        <v/>
      </c>
      <c r="J1408" s="40" t="str">
        <f t="shared" si="114"/>
        <v/>
      </c>
      <c r="K1408" s="24" t="str">
        <f t="shared" si="115"/>
        <v/>
      </c>
      <c r="L1408" s="25" t="str">
        <f t="shared" si="116"/>
        <v/>
      </c>
      <c r="M1408" s="37"/>
      <c r="N1408" s="37"/>
      <c r="O1408" s="33" t="str">
        <f t="shared" si="117"/>
        <v/>
      </c>
      <c r="P1408" s="33" t="str">
        <f t="shared" si="118"/>
        <v/>
      </c>
      <c r="X1408" s="1"/>
    </row>
    <row r="1409" spans="7:24">
      <c r="G1409" s="21"/>
      <c r="H1409" s="23"/>
      <c r="I1409" s="23" t="str">
        <f>_xlfn.IFNA(VLOOKUP(A1409,A1410:$H$3524,8,0),"")</f>
        <v/>
      </c>
      <c r="J1409" s="40" t="str">
        <f t="shared" si="114"/>
        <v/>
      </c>
      <c r="K1409" s="24" t="str">
        <f t="shared" si="115"/>
        <v/>
      </c>
      <c r="L1409" s="25" t="str">
        <f t="shared" si="116"/>
        <v/>
      </c>
      <c r="M1409" s="37"/>
      <c r="N1409" s="37"/>
      <c r="O1409" s="33" t="str">
        <f t="shared" si="117"/>
        <v/>
      </c>
      <c r="P1409" s="33" t="str">
        <f t="shared" si="118"/>
        <v/>
      </c>
      <c r="X1409" s="1"/>
    </row>
    <row r="1410" spans="7:24">
      <c r="G1410" s="21"/>
      <c r="H1410" s="23"/>
      <c r="I1410" s="23" t="str">
        <f>_xlfn.IFNA(VLOOKUP(A1410,A1411:$H$3524,8,0),"")</f>
        <v/>
      </c>
      <c r="J1410" s="40" t="str">
        <f t="shared" si="114"/>
        <v/>
      </c>
      <c r="K1410" s="24" t="str">
        <f t="shared" si="115"/>
        <v/>
      </c>
      <c r="L1410" s="25" t="str">
        <f t="shared" si="116"/>
        <v/>
      </c>
      <c r="M1410" s="37"/>
      <c r="N1410" s="37"/>
      <c r="O1410" s="33" t="str">
        <f t="shared" si="117"/>
        <v/>
      </c>
      <c r="P1410" s="33" t="str">
        <f t="shared" si="118"/>
        <v/>
      </c>
      <c r="X1410" s="1"/>
    </row>
    <row r="1411" spans="7:24">
      <c r="G1411" s="21"/>
      <c r="H1411" s="23"/>
      <c r="I1411" s="23" t="str">
        <f>_xlfn.IFNA(VLOOKUP(A1411,A1412:$H$3524,8,0),"")</f>
        <v/>
      </c>
      <c r="J1411" s="40" t="str">
        <f t="shared" si="114"/>
        <v/>
      </c>
      <c r="K1411" s="24" t="str">
        <f t="shared" si="115"/>
        <v/>
      </c>
      <c r="L1411" s="25" t="str">
        <f t="shared" si="116"/>
        <v/>
      </c>
      <c r="M1411" s="37"/>
      <c r="N1411" s="37"/>
      <c r="O1411" s="33" t="str">
        <f t="shared" si="117"/>
        <v/>
      </c>
      <c r="P1411" s="33" t="str">
        <f t="shared" si="118"/>
        <v/>
      </c>
      <c r="X1411" s="1"/>
    </row>
    <row r="1412" spans="7:24">
      <c r="G1412" s="21"/>
      <c r="H1412" s="23"/>
      <c r="I1412" s="23" t="str">
        <f>_xlfn.IFNA(VLOOKUP(A1412,A1413:$H$3524,8,0),"")</f>
        <v/>
      </c>
      <c r="J1412" s="40" t="str">
        <f t="shared" si="114"/>
        <v/>
      </c>
      <c r="K1412" s="24" t="str">
        <f t="shared" si="115"/>
        <v/>
      </c>
      <c r="L1412" s="25" t="str">
        <f t="shared" si="116"/>
        <v/>
      </c>
      <c r="M1412" s="37"/>
      <c r="N1412" s="37"/>
      <c r="O1412" s="33" t="str">
        <f t="shared" si="117"/>
        <v/>
      </c>
      <c r="P1412" s="33" t="str">
        <f t="shared" si="118"/>
        <v/>
      </c>
      <c r="X1412" s="1"/>
    </row>
    <row r="1413" spans="7:24">
      <c r="G1413" s="21"/>
      <c r="H1413" s="23"/>
      <c r="I1413" s="23" t="str">
        <f>_xlfn.IFNA(VLOOKUP(A1413,A1414:$H$3524,8,0),"")</f>
        <v/>
      </c>
      <c r="J1413" s="40" t="str">
        <f t="shared" si="114"/>
        <v/>
      </c>
      <c r="K1413" s="24" t="str">
        <f t="shared" si="115"/>
        <v/>
      </c>
      <c r="L1413" s="25" t="str">
        <f t="shared" si="116"/>
        <v/>
      </c>
      <c r="M1413" s="37"/>
      <c r="N1413" s="37"/>
      <c r="O1413" s="33" t="str">
        <f t="shared" si="117"/>
        <v/>
      </c>
      <c r="P1413" s="33" t="str">
        <f t="shared" si="118"/>
        <v/>
      </c>
      <c r="X1413" s="1"/>
    </row>
    <row r="1414" spans="7:24">
      <c r="G1414" s="21"/>
      <c r="H1414" s="23"/>
      <c r="I1414" s="23" t="str">
        <f>_xlfn.IFNA(VLOOKUP(A1414,A1415:$H$3524,8,0),"")</f>
        <v/>
      </c>
      <c r="J1414" s="40" t="str">
        <f t="shared" ref="J1414:J1477" si="119">IF(B1414="OFF",0,IF(AND(D1414&lt;&gt;"",E1414&lt;&gt;""),E1414-D1414+1,""))</f>
        <v/>
      </c>
      <c r="K1414" s="24" t="str">
        <f t="shared" si="115"/>
        <v/>
      </c>
      <c r="L1414" s="25" t="str">
        <f t="shared" si="116"/>
        <v/>
      </c>
      <c r="M1414" s="37"/>
      <c r="N1414" s="37"/>
      <c r="O1414" s="33" t="str">
        <f t="shared" si="117"/>
        <v/>
      </c>
      <c r="P1414" s="33" t="str">
        <f t="shared" si="118"/>
        <v/>
      </c>
      <c r="X1414" s="1"/>
    </row>
    <row r="1415" spans="7:24">
      <c r="G1415" s="21"/>
      <c r="H1415" s="23"/>
      <c r="I1415" s="23" t="str">
        <f>_xlfn.IFNA(VLOOKUP(A1415,A1416:$H$3524,8,0),"")</f>
        <v/>
      </c>
      <c r="J1415" s="40" t="str">
        <f t="shared" si="119"/>
        <v/>
      </c>
      <c r="K1415" s="24" t="str">
        <f t="shared" si="115"/>
        <v/>
      </c>
      <c r="L1415" s="25" t="str">
        <f t="shared" si="116"/>
        <v/>
      </c>
      <c r="M1415" s="37"/>
      <c r="N1415" s="37"/>
      <c r="O1415" s="33" t="str">
        <f t="shared" si="117"/>
        <v/>
      </c>
      <c r="P1415" s="33" t="str">
        <f t="shared" si="118"/>
        <v/>
      </c>
      <c r="X1415" s="1"/>
    </row>
    <row r="1416" spans="7:24">
      <c r="G1416" s="21"/>
      <c r="H1416" s="23"/>
      <c r="I1416" s="23" t="str">
        <f>_xlfn.IFNA(VLOOKUP(A1416,A1417:$H$3524,8,0),"")</f>
        <v/>
      </c>
      <c r="J1416" s="40" t="str">
        <f t="shared" si="119"/>
        <v/>
      </c>
      <c r="K1416" s="24" t="str">
        <f t="shared" si="115"/>
        <v/>
      </c>
      <c r="L1416" s="25" t="str">
        <f t="shared" si="116"/>
        <v/>
      </c>
      <c r="M1416" s="37"/>
      <c r="N1416" s="37"/>
      <c r="O1416" s="33" t="str">
        <f t="shared" si="117"/>
        <v/>
      </c>
      <c r="P1416" s="33" t="str">
        <f t="shared" si="118"/>
        <v/>
      </c>
      <c r="X1416" s="1"/>
    </row>
    <row r="1417" spans="7:24">
      <c r="G1417" s="21"/>
      <c r="H1417" s="23"/>
      <c r="I1417" s="23" t="str">
        <f>_xlfn.IFNA(VLOOKUP(A1417,A1418:$H$3524,8,0),"")</f>
        <v/>
      </c>
      <c r="J1417" s="40" t="str">
        <f t="shared" si="119"/>
        <v/>
      </c>
      <c r="K1417" s="24" t="str">
        <f t="shared" si="115"/>
        <v/>
      </c>
      <c r="L1417" s="25" t="str">
        <f t="shared" si="116"/>
        <v/>
      </c>
      <c r="M1417" s="37"/>
      <c r="N1417" s="37"/>
      <c r="O1417" s="33" t="str">
        <f t="shared" si="117"/>
        <v/>
      </c>
      <c r="P1417" s="33" t="str">
        <f t="shared" si="118"/>
        <v/>
      </c>
      <c r="X1417" s="1"/>
    </row>
    <row r="1418" spans="7:24">
      <c r="G1418" s="21"/>
      <c r="H1418" s="23"/>
      <c r="I1418" s="23" t="str">
        <f>_xlfn.IFNA(VLOOKUP(A1418,A1419:$H$3524,8,0),"")</f>
        <v/>
      </c>
      <c r="J1418" s="40" t="str">
        <f t="shared" si="119"/>
        <v/>
      </c>
      <c r="K1418" s="24" t="str">
        <f t="shared" si="115"/>
        <v/>
      </c>
      <c r="L1418" s="25" t="str">
        <f t="shared" si="116"/>
        <v/>
      </c>
      <c r="M1418" s="37"/>
      <c r="N1418" s="37"/>
      <c r="O1418" s="33" t="str">
        <f t="shared" si="117"/>
        <v/>
      </c>
      <c r="P1418" s="33" t="str">
        <f t="shared" si="118"/>
        <v/>
      </c>
      <c r="X1418" s="1"/>
    </row>
    <row r="1419" spans="7:24">
      <c r="G1419" s="21"/>
      <c r="H1419" s="23"/>
      <c r="I1419" s="23" t="str">
        <f>_xlfn.IFNA(VLOOKUP(A1419,A1420:$H$3524,8,0),"")</f>
        <v/>
      </c>
      <c r="J1419" s="40" t="str">
        <f t="shared" si="119"/>
        <v/>
      </c>
      <c r="K1419" s="24" t="str">
        <f t="shared" si="115"/>
        <v/>
      </c>
      <c r="L1419" s="25" t="str">
        <f t="shared" si="116"/>
        <v/>
      </c>
      <c r="M1419" s="37"/>
      <c r="N1419" s="37"/>
      <c r="O1419" s="33" t="str">
        <f t="shared" si="117"/>
        <v/>
      </c>
      <c r="P1419" s="33" t="str">
        <f t="shared" si="118"/>
        <v/>
      </c>
      <c r="X1419" s="1"/>
    </row>
    <row r="1420" spans="7:24">
      <c r="G1420" s="21"/>
      <c r="H1420" s="23"/>
      <c r="I1420" s="23" t="str">
        <f>_xlfn.IFNA(VLOOKUP(A1420,A1421:$H$3524,8,0),"")</f>
        <v/>
      </c>
      <c r="J1420" s="40" t="str">
        <f t="shared" si="119"/>
        <v/>
      </c>
      <c r="K1420" s="24" t="str">
        <f t="shared" si="115"/>
        <v/>
      </c>
      <c r="L1420" s="25" t="str">
        <f t="shared" si="116"/>
        <v/>
      </c>
      <c r="M1420" s="37"/>
      <c r="N1420" s="37"/>
      <c r="O1420" s="33" t="str">
        <f t="shared" si="117"/>
        <v/>
      </c>
      <c r="P1420" s="33" t="str">
        <f t="shared" si="118"/>
        <v/>
      </c>
      <c r="X1420" s="1"/>
    </row>
    <row r="1421" spans="7:24">
      <c r="G1421" s="21"/>
      <c r="H1421" s="23"/>
      <c r="I1421" s="23" t="str">
        <f>_xlfn.IFNA(VLOOKUP(A1421,A1422:$H$3524,8,0),"")</f>
        <v/>
      </c>
      <c r="J1421" s="40" t="str">
        <f t="shared" si="119"/>
        <v/>
      </c>
      <c r="K1421" s="24" t="str">
        <f t="shared" si="115"/>
        <v/>
      </c>
      <c r="L1421" s="25" t="str">
        <f t="shared" si="116"/>
        <v/>
      </c>
      <c r="M1421" s="37"/>
      <c r="N1421" s="37"/>
      <c r="O1421" s="33" t="str">
        <f t="shared" si="117"/>
        <v/>
      </c>
      <c r="P1421" s="33" t="str">
        <f t="shared" si="118"/>
        <v/>
      </c>
      <c r="X1421" s="1"/>
    </row>
    <row r="1422" spans="7:24">
      <c r="G1422" s="21"/>
      <c r="H1422" s="23"/>
      <c r="I1422" s="23" t="str">
        <f>_xlfn.IFNA(VLOOKUP(A1422,A1423:$H$3524,8,0),"")</f>
        <v/>
      </c>
      <c r="J1422" s="40" t="str">
        <f t="shared" si="119"/>
        <v/>
      </c>
      <c r="K1422" s="24" t="str">
        <f t="shared" si="115"/>
        <v/>
      </c>
      <c r="L1422" s="25" t="str">
        <f t="shared" si="116"/>
        <v/>
      </c>
      <c r="M1422" s="37"/>
      <c r="N1422" s="37"/>
      <c r="O1422" s="33" t="str">
        <f t="shared" si="117"/>
        <v/>
      </c>
      <c r="P1422" s="33" t="str">
        <f t="shared" si="118"/>
        <v/>
      </c>
      <c r="X1422" s="1"/>
    </row>
    <row r="1423" spans="7:24">
      <c r="G1423" s="21"/>
      <c r="H1423" s="23"/>
      <c r="I1423" s="23" t="str">
        <f>_xlfn.IFNA(VLOOKUP(A1423,A1424:$H$3524,8,0),"")</f>
        <v/>
      </c>
      <c r="J1423" s="40" t="str">
        <f t="shared" si="119"/>
        <v/>
      </c>
      <c r="K1423" s="24" t="str">
        <f t="shared" si="115"/>
        <v/>
      </c>
      <c r="L1423" s="25" t="str">
        <f t="shared" si="116"/>
        <v/>
      </c>
      <c r="M1423" s="37"/>
      <c r="N1423" s="37"/>
      <c r="O1423" s="33" t="str">
        <f t="shared" si="117"/>
        <v/>
      </c>
      <c r="P1423" s="33" t="str">
        <f t="shared" si="118"/>
        <v/>
      </c>
      <c r="X1423" s="1"/>
    </row>
    <row r="1424" spans="7:24">
      <c r="G1424" s="21"/>
      <c r="H1424" s="23"/>
      <c r="I1424" s="23" t="str">
        <f>_xlfn.IFNA(VLOOKUP(A1424,A1425:$H$3524,8,0),"")</f>
        <v/>
      </c>
      <c r="J1424" s="40" t="str">
        <f t="shared" si="119"/>
        <v/>
      </c>
      <c r="K1424" s="24" t="str">
        <f t="shared" si="115"/>
        <v/>
      </c>
      <c r="L1424" s="25" t="str">
        <f t="shared" si="116"/>
        <v/>
      </c>
      <c r="M1424" s="37"/>
      <c r="N1424" s="37"/>
      <c r="O1424" s="33" t="str">
        <f t="shared" si="117"/>
        <v/>
      </c>
      <c r="P1424" s="33" t="str">
        <f t="shared" si="118"/>
        <v/>
      </c>
      <c r="X1424" s="1"/>
    </row>
    <row r="1425" spans="7:24">
      <c r="G1425" s="21"/>
      <c r="H1425" s="23"/>
      <c r="I1425" s="23" t="str">
        <f>_xlfn.IFNA(VLOOKUP(A1425,A1426:$H$3524,8,0),"")</f>
        <v/>
      </c>
      <c r="J1425" s="40" t="str">
        <f t="shared" si="119"/>
        <v/>
      </c>
      <c r="K1425" s="24" t="str">
        <f t="shared" si="115"/>
        <v/>
      </c>
      <c r="L1425" s="25" t="str">
        <f t="shared" si="116"/>
        <v/>
      </c>
      <c r="M1425" s="37"/>
      <c r="N1425" s="37"/>
      <c r="O1425" s="33" t="str">
        <f t="shared" si="117"/>
        <v/>
      </c>
      <c r="P1425" s="33" t="str">
        <f t="shared" si="118"/>
        <v/>
      </c>
      <c r="X1425" s="1"/>
    </row>
    <row r="1426" spans="7:24">
      <c r="G1426" s="21"/>
      <c r="H1426" s="23"/>
      <c r="I1426" s="23" t="str">
        <f>_xlfn.IFNA(VLOOKUP(A1426,A1427:$H$3524,8,0),"")</f>
        <v/>
      </c>
      <c r="J1426" s="40" t="str">
        <f t="shared" si="119"/>
        <v/>
      </c>
      <c r="K1426" s="24" t="str">
        <f t="shared" si="115"/>
        <v/>
      </c>
      <c r="L1426" s="25" t="str">
        <f t="shared" si="116"/>
        <v/>
      </c>
      <c r="M1426" s="37"/>
      <c r="N1426" s="37"/>
      <c r="O1426" s="33" t="str">
        <f t="shared" si="117"/>
        <v/>
      </c>
      <c r="P1426" s="33" t="str">
        <f t="shared" si="118"/>
        <v/>
      </c>
      <c r="X1426" s="1"/>
    </row>
    <row r="1427" spans="7:24">
      <c r="G1427" s="21"/>
      <c r="H1427" s="23"/>
      <c r="I1427" s="23" t="str">
        <f>_xlfn.IFNA(VLOOKUP(A1427,A1428:$H$3524,8,0),"")</f>
        <v/>
      </c>
      <c r="J1427" s="40" t="str">
        <f t="shared" si="119"/>
        <v/>
      </c>
      <c r="K1427" s="24" t="str">
        <f t="shared" si="115"/>
        <v/>
      </c>
      <c r="L1427" s="25" t="str">
        <f t="shared" si="116"/>
        <v/>
      </c>
      <c r="M1427" s="37"/>
      <c r="N1427" s="37"/>
      <c r="O1427" s="33" t="str">
        <f t="shared" si="117"/>
        <v/>
      </c>
      <c r="P1427" s="33" t="str">
        <f t="shared" si="118"/>
        <v/>
      </c>
      <c r="X1427" s="1"/>
    </row>
    <row r="1428" spans="7:24">
      <c r="G1428" s="21"/>
      <c r="H1428" s="23"/>
      <c r="I1428" s="23" t="str">
        <f>_xlfn.IFNA(VLOOKUP(A1428,A1429:$H$3524,8,0),"")</f>
        <v/>
      </c>
      <c r="J1428" s="40" t="str">
        <f t="shared" si="119"/>
        <v/>
      </c>
      <c r="K1428" s="24" t="str">
        <f t="shared" si="115"/>
        <v/>
      </c>
      <c r="L1428" s="25" t="str">
        <f t="shared" si="116"/>
        <v/>
      </c>
      <c r="M1428" s="37"/>
      <c r="N1428" s="37"/>
      <c r="O1428" s="33" t="str">
        <f t="shared" si="117"/>
        <v/>
      </c>
      <c r="P1428" s="33" t="str">
        <f t="shared" si="118"/>
        <v/>
      </c>
      <c r="X1428" s="1"/>
    </row>
    <row r="1429" spans="7:24">
      <c r="G1429" s="21"/>
      <c r="H1429" s="23"/>
      <c r="I1429" s="23" t="str">
        <f>_xlfn.IFNA(VLOOKUP(A1429,A1430:$H$3524,8,0),"")</f>
        <v/>
      </c>
      <c r="J1429" s="40" t="str">
        <f t="shared" si="119"/>
        <v/>
      </c>
      <c r="K1429" s="24" t="str">
        <f t="shared" si="115"/>
        <v/>
      </c>
      <c r="L1429" s="25" t="str">
        <f t="shared" si="116"/>
        <v/>
      </c>
      <c r="M1429" s="37"/>
      <c r="N1429" s="37"/>
      <c r="O1429" s="33" t="str">
        <f t="shared" si="117"/>
        <v/>
      </c>
      <c r="P1429" s="33" t="str">
        <f t="shared" si="118"/>
        <v/>
      </c>
      <c r="X1429" s="1"/>
    </row>
    <row r="1430" spans="7:24">
      <c r="G1430" s="21"/>
      <c r="H1430" s="23"/>
      <c r="I1430" s="23" t="str">
        <f>_xlfn.IFNA(VLOOKUP(A1430,A1431:$H$3524,8,0),"")</f>
        <v/>
      </c>
      <c r="J1430" s="40" t="str">
        <f t="shared" si="119"/>
        <v/>
      </c>
      <c r="K1430" s="24" t="str">
        <f t="shared" ref="K1430:K1493" si="120">IF(H1430="","",IFERROR((I1430-H1430)*24,0))</f>
        <v/>
      </c>
      <c r="L1430" s="25" t="str">
        <f t="shared" si="116"/>
        <v/>
      </c>
      <c r="M1430" s="37"/>
      <c r="N1430" s="37"/>
      <c r="O1430" s="33" t="str">
        <f t="shared" si="117"/>
        <v/>
      </c>
      <c r="P1430" s="33" t="str">
        <f t="shared" si="118"/>
        <v/>
      </c>
      <c r="X1430" s="1"/>
    </row>
    <row r="1431" spans="7:24">
      <c r="G1431" s="21"/>
      <c r="H1431" s="23"/>
      <c r="I1431" s="23" t="str">
        <f>_xlfn.IFNA(VLOOKUP(A1431,A1432:$H$3524,8,0),"")</f>
        <v/>
      </c>
      <c r="J1431" s="40" t="str">
        <f t="shared" si="119"/>
        <v/>
      </c>
      <c r="K1431" s="24" t="str">
        <f t="shared" si="120"/>
        <v/>
      </c>
      <c r="L1431" s="25" t="str">
        <f t="shared" si="116"/>
        <v/>
      </c>
      <c r="M1431" s="37"/>
      <c r="N1431" s="37"/>
      <c r="O1431" s="33" t="str">
        <f t="shared" si="117"/>
        <v/>
      </c>
      <c r="P1431" s="33" t="str">
        <f t="shared" si="118"/>
        <v/>
      </c>
      <c r="X1431" s="1"/>
    </row>
    <row r="1432" spans="7:24">
      <c r="G1432" s="21"/>
      <c r="H1432" s="23"/>
      <c r="I1432" s="23" t="str">
        <f>_xlfn.IFNA(VLOOKUP(A1432,A1433:$H$3524,8,0),"")</f>
        <v/>
      </c>
      <c r="J1432" s="40" t="str">
        <f t="shared" si="119"/>
        <v/>
      </c>
      <c r="K1432" s="24" t="str">
        <f t="shared" si="120"/>
        <v/>
      </c>
      <c r="L1432" s="25" t="str">
        <f t="shared" si="116"/>
        <v/>
      </c>
      <c r="M1432" s="37"/>
      <c r="N1432" s="37"/>
      <c r="O1432" s="33" t="str">
        <f t="shared" si="117"/>
        <v/>
      </c>
      <c r="P1432" s="33" t="str">
        <f t="shared" si="118"/>
        <v/>
      </c>
      <c r="X1432" s="1"/>
    </row>
    <row r="1433" spans="7:24">
      <c r="G1433" s="21"/>
      <c r="H1433" s="23"/>
      <c r="I1433" s="23" t="str">
        <f>_xlfn.IFNA(VLOOKUP(A1433,A1434:$H$3524,8,0),"")</f>
        <v/>
      </c>
      <c r="J1433" s="40" t="str">
        <f t="shared" si="119"/>
        <v/>
      </c>
      <c r="K1433" s="24" t="str">
        <f t="shared" si="120"/>
        <v/>
      </c>
      <c r="L1433" s="25" t="str">
        <f t="shared" si="116"/>
        <v/>
      </c>
      <c r="M1433" s="37"/>
      <c r="N1433" s="37"/>
      <c r="O1433" s="33" t="str">
        <f t="shared" si="117"/>
        <v/>
      </c>
      <c r="P1433" s="33" t="str">
        <f t="shared" si="118"/>
        <v/>
      </c>
      <c r="X1433" s="1"/>
    </row>
    <row r="1434" spans="7:24">
      <c r="G1434" s="21"/>
      <c r="H1434" s="23"/>
      <c r="I1434" s="23" t="str">
        <f>_xlfn.IFNA(VLOOKUP(A1434,A1435:$H$3524,8,0),"")</f>
        <v/>
      </c>
      <c r="J1434" s="40" t="str">
        <f t="shared" si="119"/>
        <v/>
      </c>
      <c r="K1434" s="24" t="str">
        <f t="shared" si="120"/>
        <v/>
      </c>
      <c r="L1434" s="25" t="str">
        <f t="shared" si="116"/>
        <v/>
      </c>
      <c r="M1434" s="37"/>
      <c r="N1434" s="37"/>
      <c r="O1434" s="33" t="str">
        <f t="shared" si="117"/>
        <v/>
      </c>
      <c r="P1434" s="33" t="str">
        <f t="shared" si="118"/>
        <v/>
      </c>
      <c r="X1434" s="1"/>
    </row>
    <row r="1435" spans="7:24">
      <c r="G1435" s="21"/>
      <c r="H1435" s="23"/>
      <c r="I1435" s="23" t="str">
        <f>_xlfn.IFNA(VLOOKUP(A1435,A1436:$H$3524,8,0),"")</f>
        <v/>
      </c>
      <c r="J1435" s="40" t="str">
        <f t="shared" si="119"/>
        <v/>
      </c>
      <c r="K1435" s="24" t="str">
        <f t="shared" si="120"/>
        <v/>
      </c>
      <c r="L1435" s="25" t="str">
        <f t="shared" si="116"/>
        <v/>
      </c>
      <c r="M1435" s="37"/>
      <c r="N1435" s="37"/>
      <c r="O1435" s="33" t="str">
        <f t="shared" si="117"/>
        <v/>
      </c>
      <c r="P1435" s="33" t="str">
        <f t="shared" si="118"/>
        <v/>
      </c>
      <c r="X1435" s="1"/>
    </row>
    <row r="1436" spans="7:24">
      <c r="G1436" s="21"/>
      <c r="H1436" s="23"/>
      <c r="I1436" s="23" t="str">
        <f>_xlfn.IFNA(VLOOKUP(A1436,A1437:$H$3524,8,0),"")</f>
        <v/>
      </c>
      <c r="J1436" s="40" t="str">
        <f t="shared" si="119"/>
        <v/>
      </c>
      <c r="K1436" s="24" t="str">
        <f t="shared" si="120"/>
        <v/>
      </c>
      <c r="L1436" s="25" t="str">
        <f t="shared" si="116"/>
        <v/>
      </c>
      <c r="M1436" s="37"/>
      <c r="N1436" s="37"/>
      <c r="O1436" s="33" t="str">
        <f t="shared" si="117"/>
        <v/>
      </c>
      <c r="P1436" s="33" t="str">
        <f t="shared" si="118"/>
        <v/>
      </c>
      <c r="X1436" s="1"/>
    </row>
    <row r="1437" spans="7:24">
      <c r="G1437" s="21"/>
      <c r="H1437" s="23"/>
      <c r="I1437" s="23" t="str">
        <f>_xlfn.IFNA(VLOOKUP(A1437,A1438:$H$3524,8,0),"")</f>
        <v/>
      </c>
      <c r="J1437" s="40" t="str">
        <f t="shared" si="119"/>
        <v/>
      </c>
      <c r="K1437" s="24" t="str">
        <f t="shared" si="120"/>
        <v/>
      </c>
      <c r="L1437" s="25" t="str">
        <f t="shared" si="116"/>
        <v/>
      </c>
      <c r="M1437" s="37"/>
      <c r="N1437" s="37"/>
      <c r="O1437" s="33" t="str">
        <f t="shared" si="117"/>
        <v/>
      </c>
      <c r="P1437" s="33" t="str">
        <f t="shared" si="118"/>
        <v/>
      </c>
      <c r="X1437" s="1"/>
    </row>
    <row r="1438" spans="7:24">
      <c r="G1438" s="21"/>
      <c r="H1438" s="23"/>
      <c r="I1438" s="23" t="str">
        <f>_xlfn.IFNA(VLOOKUP(A1438,A1439:$H$3524,8,0),"")</f>
        <v/>
      </c>
      <c r="J1438" s="40" t="str">
        <f t="shared" si="119"/>
        <v/>
      </c>
      <c r="K1438" s="24" t="str">
        <f t="shared" si="120"/>
        <v/>
      </c>
      <c r="L1438" s="25" t="str">
        <f t="shared" si="116"/>
        <v/>
      </c>
      <c r="M1438" s="37"/>
      <c r="N1438" s="37"/>
      <c r="O1438" s="33" t="str">
        <f t="shared" si="117"/>
        <v/>
      </c>
      <c r="P1438" s="33" t="str">
        <f t="shared" si="118"/>
        <v/>
      </c>
      <c r="X1438" s="1"/>
    </row>
    <row r="1439" spans="7:24">
      <c r="G1439" s="21"/>
      <c r="H1439" s="23"/>
      <c r="I1439" s="23" t="str">
        <f>_xlfn.IFNA(VLOOKUP(A1439,A1440:$H$3524,8,0),"")</f>
        <v/>
      </c>
      <c r="J1439" s="40" t="str">
        <f t="shared" si="119"/>
        <v/>
      </c>
      <c r="K1439" s="24" t="str">
        <f t="shared" si="120"/>
        <v/>
      </c>
      <c r="L1439" s="25" t="str">
        <f t="shared" si="116"/>
        <v/>
      </c>
      <c r="M1439" s="37"/>
      <c r="N1439" s="37"/>
      <c r="O1439" s="33" t="str">
        <f t="shared" si="117"/>
        <v/>
      </c>
      <c r="P1439" s="33" t="str">
        <f t="shared" si="118"/>
        <v/>
      </c>
      <c r="X1439" s="1"/>
    </row>
    <row r="1440" spans="7:24">
      <c r="G1440" s="21"/>
      <c r="H1440" s="23"/>
      <c r="I1440" s="23" t="str">
        <f>_xlfn.IFNA(VLOOKUP(A1440,A1441:$H$3524,8,0),"")</f>
        <v/>
      </c>
      <c r="J1440" s="40" t="str">
        <f t="shared" si="119"/>
        <v/>
      </c>
      <c r="K1440" s="24" t="str">
        <f t="shared" si="120"/>
        <v/>
      </c>
      <c r="L1440" s="25" t="str">
        <f t="shared" si="116"/>
        <v/>
      </c>
      <c r="M1440" s="37"/>
      <c r="N1440" s="37"/>
      <c r="O1440" s="33" t="str">
        <f t="shared" si="117"/>
        <v/>
      </c>
      <c r="P1440" s="33" t="str">
        <f t="shared" si="118"/>
        <v/>
      </c>
      <c r="X1440" s="1"/>
    </row>
    <row r="1441" spans="7:24">
      <c r="G1441" s="21"/>
      <c r="H1441" s="23"/>
      <c r="I1441" s="23" t="str">
        <f>_xlfn.IFNA(VLOOKUP(A1441,A1442:$H$3524,8,0),"")</f>
        <v/>
      </c>
      <c r="J1441" s="40" t="str">
        <f t="shared" si="119"/>
        <v/>
      </c>
      <c r="K1441" s="24" t="str">
        <f t="shared" si="120"/>
        <v/>
      </c>
      <c r="L1441" s="25" t="str">
        <f t="shared" si="116"/>
        <v/>
      </c>
      <c r="M1441" s="37"/>
      <c r="N1441" s="37"/>
      <c r="O1441" s="33" t="str">
        <f t="shared" si="117"/>
        <v/>
      </c>
      <c r="P1441" s="33" t="str">
        <f t="shared" si="118"/>
        <v/>
      </c>
      <c r="X1441" s="1"/>
    </row>
    <row r="1442" spans="7:24">
      <c r="G1442" s="21"/>
      <c r="H1442" s="23"/>
      <c r="I1442" s="23" t="str">
        <f>_xlfn.IFNA(VLOOKUP(A1442,A1443:$H$3524,8,0),"")</f>
        <v/>
      </c>
      <c r="J1442" s="40" t="str">
        <f t="shared" si="119"/>
        <v/>
      </c>
      <c r="K1442" s="24" t="str">
        <f t="shared" si="120"/>
        <v/>
      </c>
      <c r="L1442" s="25" t="str">
        <f t="shared" si="116"/>
        <v/>
      </c>
      <c r="M1442" s="37"/>
      <c r="N1442" s="37"/>
      <c r="O1442" s="33" t="str">
        <f t="shared" si="117"/>
        <v/>
      </c>
      <c r="P1442" s="33" t="str">
        <f t="shared" si="118"/>
        <v/>
      </c>
      <c r="X1442" s="1"/>
    </row>
    <row r="1443" spans="7:24">
      <c r="G1443" s="21"/>
      <c r="H1443" s="23"/>
      <c r="I1443" s="23" t="str">
        <f>_xlfn.IFNA(VLOOKUP(A1443,A1444:$H$3524,8,0),"")</f>
        <v/>
      </c>
      <c r="J1443" s="40" t="str">
        <f t="shared" si="119"/>
        <v/>
      </c>
      <c r="K1443" s="24" t="str">
        <f t="shared" si="120"/>
        <v/>
      </c>
      <c r="L1443" s="25" t="str">
        <f t="shared" si="116"/>
        <v/>
      </c>
      <c r="M1443" s="37"/>
      <c r="N1443" s="37"/>
      <c r="O1443" s="33" t="str">
        <f t="shared" si="117"/>
        <v/>
      </c>
      <c r="P1443" s="33" t="str">
        <f t="shared" si="118"/>
        <v/>
      </c>
      <c r="X1443" s="1"/>
    </row>
    <row r="1444" spans="7:24">
      <c r="G1444" s="21"/>
      <c r="H1444" s="23"/>
      <c r="I1444" s="23" t="str">
        <f>_xlfn.IFNA(VLOOKUP(A1444,A1445:$H$3524,8,0),"")</f>
        <v/>
      </c>
      <c r="J1444" s="40" t="str">
        <f t="shared" si="119"/>
        <v/>
      </c>
      <c r="K1444" s="24" t="str">
        <f t="shared" si="120"/>
        <v/>
      </c>
      <c r="L1444" s="25" t="str">
        <f t="shared" si="116"/>
        <v/>
      </c>
      <c r="M1444" s="37"/>
      <c r="N1444" s="37"/>
      <c r="O1444" s="33" t="str">
        <f t="shared" si="117"/>
        <v/>
      </c>
      <c r="P1444" s="33" t="str">
        <f t="shared" si="118"/>
        <v/>
      </c>
      <c r="X1444" s="1"/>
    </row>
    <row r="1445" spans="7:24">
      <c r="G1445" s="21"/>
      <c r="H1445" s="23"/>
      <c r="I1445" s="23" t="str">
        <f>_xlfn.IFNA(VLOOKUP(A1445,A1446:$H$3524,8,0),"")</f>
        <v/>
      </c>
      <c r="J1445" s="40" t="str">
        <f t="shared" si="119"/>
        <v/>
      </c>
      <c r="K1445" s="24" t="str">
        <f t="shared" si="120"/>
        <v/>
      </c>
      <c r="L1445" s="25" t="str">
        <f t="shared" si="116"/>
        <v/>
      </c>
      <c r="M1445" s="37"/>
      <c r="N1445" s="37"/>
      <c r="O1445" s="33" t="str">
        <f t="shared" si="117"/>
        <v/>
      </c>
      <c r="P1445" s="33" t="str">
        <f t="shared" si="118"/>
        <v/>
      </c>
      <c r="X1445" s="1"/>
    </row>
    <row r="1446" spans="7:24">
      <c r="G1446" s="21"/>
      <c r="H1446" s="23"/>
      <c r="I1446" s="23" t="str">
        <f>_xlfn.IFNA(VLOOKUP(A1446,A1447:$H$3524,8,0),"")</f>
        <v/>
      </c>
      <c r="J1446" s="40" t="str">
        <f t="shared" si="119"/>
        <v/>
      </c>
      <c r="K1446" s="24" t="str">
        <f t="shared" si="120"/>
        <v/>
      </c>
      <c r="L1446" s="25" t="str">
        <f t="shared" si="116"/>
        <v/>
      </c>
      <c r="M1446" s="37"/>
      <c r="N1446" s="37"/>
      <c r="O1446" s="33" t="str">
        <f t="shared" si="117"/>
        <v/>
      </c>
      <c r="P1446" s="33" t="str">
        <f t="shared" si="118"/>
        <v/>
      </c>
      <c r="X1446" s="1"/>
    </row>
    <row r="1447" spans="7:24">
      <c r="G1447" s="21"/>
      <c r="H1447" s="23"/>
      <c r="I1447" s="23" t="str">
        <f>_xlfn.IFNA(VLOOKUP(A1447,A1448:$H$3524,8,0),"")</f>
        <v/>
      </c>
      <c r="J1447" s="40" t="str">
        <f t="shared" si="119"/>
        <v/>
      </c>
      <c r="K1447" s="24" t="str">
        <f t="shared" si="120"/>
        <v/>
      </c>
      <c r="L1447" s="25" t="str">
        <f t="shared" si="116"/>
        <v/>
      </c>
      <c r="M1447" s="37"/>
      <c r="N1447" s="37"/>
      <c r="O1447" s="33" t="str">
        <f t="shared" si="117"/>
        <v/>
      </c>
      <c r="P1447" s="33" t="str">
        <f t="shared" si="118"/>
        <v/>
      </c>
      <c r="X1447" s="1"/>
    </row>
    <row r="1448" spans="7:24">
      <c r="G1448" s="21"/>
      <c r="H1448" s="23"/>
      <c r="I1448" s="23" t="str">
        <f>_xlfn.IFNA(VLOOKUP(A1448,A1449:$H$3524,8,0),"")</f>
        <v/>
      </c>
      <c r="J1448" s="40" t="str">
        <f t="shared" si="119"/>
        <v/>
      </c>
      <c r="K1448" s="24" t="str">
        <f t="shared" si="120"/>
        <v/>
      </c>
      <c r="L1448" s="25" t="str">
        <f t="shared" si="116"/>
        <v/>
      </c>
      <c r="M1448" s="37"/>
      <c r="N1448" s="37"/>
      <c r="O1448" s="33" t="str">
        <f t="shared" si="117"/>
        <v/>
      </c>
      <c r="P1448" s="33" t="str">
        <f t="shared" si="118"/>
        <v/>
      </c>
      <c r="X1448" s="1"/>
    </row>
    <row r="1449" spans="7:24">
      <c r="G1449" s="21"/>
      <c r="H1449" s="23"/>
      <c r="I1449" s="23" t="str">
        <f>_xlfn.IFNA(VLOOKUP(A1449,A1450:$H$3524,8,0),"")</f>
        <v/>
      </c>
      <c r="J1449" s="40" t="str">
        <f t="shared" si="119"/>
        <v/>
      </c>
      <c r="K1449" s="24" t="str">
        <f t="shared" si="120"/>
        <v/>
      </c>
      <c r="L1449" s="25" t="str">
        <f t="shared" si="116"/>
        <v/>
      </c>
      <c r="M1449" s="37"/>
      <c r="N1449" s="37"/>
      <c r="O1449" s="33" t="str">
        <f t="shared" si="117"/>
        <v/>
      </c>
      <c r="P1449" s="33" t="str">
        <f t="shared" si="118"/>
        <v/>
      </c>
      <c r="X1449" s="1"/>
    </row>
    <row r="1450" spans="7:24">
      <c r="G1450" s="21"/>
      <c r="H1450" s="23"/>
      <c r="I1450" s="23" t="str">
        <f>_xlfn.IFNA(VLOOKUP(A1450,A1451:$H$3524,8,0),"")</f>
        <v/>
      </c>
      <c r="J1450" s="40" t="str">
        <f t="shared" si="119"/>
        <v/>
      </c>
      <c r="K1450" s="24" t="str">
        <f t="shared" si="120"/>
        <v/>
      </c>
      <c r="L1450" s="25" t="str">
        <f t="shared" si="116"/>
        <v/>
      </c>
      <c r="M1450" s="37"/>
      <c r="N1450" s="37"/>
      <c r="O1450" s="33" t="str">
        <f t="shared" si="117"/>
        <v/>
      </c>
      <c r="P1450" s="33" t="str">
        <f t="shared" si="118"/>
        <v/>
      </c>
      <c r="X1450" s="1"/>
    </row>
    <row r="1451" spans="7:24">
      <c r="G1451" s="21"/>
      <c r="H1451" s="23"/>
      <c r="I1451" s="23" t="str">
        <f>_xlfn.IFNA(VLOOKUP(A1451,A1452:$H$3524,8,0),"")</f>
        <v/>
      </c>
      <c r="J1451" s="40" t="str">
        <f t="shared" si="119"/>
        <v/>
      </c>
      <c r="K1451" s="24" t="str">
        <f t="shared" si="120"/>
        <v/>
      </c>
      <c r="L1451" s="25" t="str">
        <f t="shared" si="116"/>
        <v/>
      </c>
      <c r="M1451" s="37"/>
      <c r="N1451" s="37"/>
      <c r="O1451" s="33" t="str">
        <f t="shared" si="117"/>
        <v/>
      </c>
      <c r="P1451" s="33" t="str">
        <f t="shared" si="118"/>
        <v/>
      </c>
      <c r="X1451" s="1"/>
    </row>
    <row r="1452" spans="7:24">
      <c r="G1452" s="21"/>
      <c r="H1452" s="23"/>
      <c r="I1452" s="23" t="str">
        <f>_xlfn.IFNA(VLOOKUP(A1452,A1453:$H$3524,8,0),"")</f>
        <v/>
      </c>
      <c r="J1452" s="40" t="str">
        <f t="shared" si="119"/>
        <v/>
      </c>
      <c r="K1452" s="24" t="str">
        <f t="shared" si="120"/>
        <v/>
      </c>
      <c r="L1452" s="25" t="str">
        <f t="shared" si="116"/>
        <v/>
      </c>
      <c r="M1452" s="37"/>
      <c r="N1452" s="37"/>
      <c r="O1452" s="33" t="str">
        <f t="shared" si="117"/>
        <v/>
      </c>
      <c r="P1452" s="33" t="str">
        <f t="shared" si="118"/>
        <v/>
      </c>
      <c r="X1452" s="1"/>
    </row>
    <row r="1453" spans="7:24">
      <c r="G1453" s="21"/>
      <c r="H1453" s="23"/>
      <c r="I1453" s="23" t="str">
        <f>_xlfn.IFNA(VLOOKUP(A1453,A1454:$H$3524,8,0),"")</f>
        <v/>
      </c>
      <c r="J1453" s="40" t="str">
        <f t="shared" si="119"/>
        <v/>
      </c>
      <c r="K1453" s="24" t="str">
        <f t="shared" si="120"/>
        <v/>
      </c>
      <c r="L1453" s="25" t="str">
        <f t="shared" si="116"/>
        <v/>
      </c>
      <c r="M1453" s="37"/>
      <c r="N1453" s="37"/>
      <c r="O1453" s="33" t="str">
        <f t="shared" si="117"/>
        <v/>
      </c>
      <c r="P1453" s="33" t="str">
        <f t="shared" si="118"/>
        <v/>
      </c>
      <c r="X1453" s="1"/>
    </row>
    <row r="1454" spans="7:24">
      <c r="G1454" s="21"/>
      <c r="H1454" s="23"/>
      <c r="I1454" s="23" t="str">
        <f>_xlfn.IFNA(VLOOKUP(A1454,A1455:$H$3524,8,0),"")</f>
        <v/>
      </c>
      <c r="J1454" s="40" t="str">
        <f t="shared" si="119"/>
        <v/>
      </c>
      <c r="K1454" s="24" t="str">
        <f t="shared" si="120"/>
        <v/>
      </c>
      <c r="L1454" s="25" t="str">
        <f t="shared" si="116"/>
        <v/>
      </c>
      <c r="M1454" s="37"/>
      <c r="N1454" s="37"/>
      <c r="O1454" s="33" t="str">
        <f t="shared" si="117"/>
        <v/>
      </c>
      <c r="P1454" s="33" t="str">
        <f t="shared" si="118"/>
        <v/>
      </c>
      <c r="X1454" s="1"/>
    </row>
    <row r="1455" spans="7:24">
      <c r="G1455" s="21"/>
      <c r="H1455" s="23"/>
      <c r="I1455" s="23" t="str">
        <f>_xlfn.IFNA(VLOOKUP(A1455,A1456:$H$3524,8,0),"")</f>
        <v/>
      </c>
      <c r="J1455" s="40" t="str">
        <f t="shared" si="119"/>
        <v/>
      </c>
      <c r="K1455" s="24" t="str">
        <f t="shared" si="120"/>
        <v/>
      </c>
      <c r="L1455" s="25" t="str">
        <f t="shared" si="116"/>
        <v/>
      </c>
      <c r="M1455" s="37"/>
      <c r="N1455" s="37"/>
      <c r="O1455" s="33" t="str">
        <f t="shared" si="117"/>
        <v/>
      </c>
      <c r="P1455" s="33" t="str">
        <f t="shared" si="118"/>
        <v/>
      </c>
      <c r="X1455" s="1"/>
    </row>
    <row r="1456" spans="7:24">
      <c r="G1456" s="21"/>
      <c r="H1456" s="23"/>
      <c r="I1456" s="23" t="str">
        <f>_xlfn.IFNA(VLOOKUP(A1456,A1457:$H$3524,8,0),"")</f>
        <v/>
      </c>
      <c r="J1456" s="40" t="str">
        <f t="shared" si="119"/>
        <v/>
      </c>
      <c r="K1456" s="24" t="str">
        <f t="shared" si="120"/>
        <v/>
      </c>
      <c r="L1456" s="25" t="str">
        <f t="shared" si="116"/>
        <v/>
      </c>
      <c r="M1456" s="37"/>
      <c r="N1456" s="37"/>
      <c r="O1456" s="33" t="str">
        <f t="shared" si="117"/>
        <v/>
      </c>
      <c r="P1456" s="33" t="str">
        <f t="shared" si="118"/>
        <v/>
      </c>
      <c r="X1456" s="1"/>
    </row>
    <row r="1457" spans="7:24">
      <c r="G1457" s="21"/>
      <c r="H1457" s="23"/>
      <c r="I1457" s="23" t="str">
        <f>_xlfn.IFNA(VLOOKUP(A1457,A1458:$H$3524,8,0),"")</f>
        <v/>
      </c>
      <c r="J1457" s="40" t="str">
        <f t="shared" si="119"/>
        <v/>
      </c>
      <c r="K1457" s="24" t="str">
        <f t="shared" si="120"/>
        <v/>
      </c>
      <c r="L1457" s="25" t="str">
        <f t="shared" si="116"/>
        <v/>
      </c>
      <c r="M1457" s="37"/>
      <c r="N1457" s="37"/>
      <c r="O1457" s="33" t="str">
        <f t="shared" si="117"/>
        <v/>
      </c>
      <c r="P1457" s="33" t="str">
        <f t="shared" si="118"/>
        <v/>
      </c>
      <c r="X1457" s="1"/>
    </row>
    <row r="1458" spans="7:24">
      <c r="G1458" s="21"/>
      <c r="H1458" s="23"/>
      <c r="I1458" s="23" t="str">
        <f>_xlfn.IFNA(VLOOKUP(A1458,A1459:$H$3524,8,0),"")</f>
        <v/>
      </c>
      <c r="J1458" s="40" t="str">
        <f t="shared" si="119"/>
        <v/>
      </c>
      <c r="K1458" s="24" t="str">
        <f t="shared" si="120"/>
        <v/>
      </c>
      <c r="L1458" s="25" t="str">
        <f t="shared" si="116"/>
        <v/>
      </c>
      <c r="M1458" s="37"/>
      <c r="N1458" s="37"/>
      <c r="O1458" s="33" t="str">
        <f t="shared" si="117"/>
        <v/>
      </c>
      <c r="P1458" s="33" t="str">
        <f t="shared" si="118"/>
        <v/>
      </c>
      <c r="X1458" s="1"/>
    </row>
    <row r="1459" spans="7:24">
      <c r="G1459" s="21"/>
      <c r="H1459" s="23"/>
      <c r="I1459" s="23" t="str">
        <f>_xlfn.IFNA(VLOOKUP(A1459,A1460:$H$3524,8,0),"")</f>
        <v/>
      </c>
      <c r="J1459" s="40" t="str">
        <f t="shared" si="119"/>
        <v/>
      </c>
      <c r="K1459" s="24" t="str">
        <f t="shared" si="120"/>
        <v/>
      </c>
      <c r="L1459" s="25" t="str">
        <f t="shared" si="116"/>
        <v/>
      </c>
      <c r="M1459" s="37"/>
      <c r="N1459" s="37"/>
      <c r="O1459" s="33" t="str">
        <f t="shared" si="117"/>
        <v/>
      </c>
      <c r="P1459" s="33" t="str">
        <f t="shared" si="118"/>
        <v/>
      </c>
      <c r="X1459" s="1"/>
    </row>
    <row r="1460" spans="7:24">
      <c r="G1460" s="21"/>
      <c r="H1460" s="23"/>
      <c r="I1460" s="23" t="str">
        <f>_xlfn.IFNA(VLOOKUP(A1460,A1461:$H$3524,8,0),"")</f>
        <v/>
      </c>
      <c r="J1460" s="40" t="str">
        <f t="shared" si="119"/>
        <v/>
      </c>
      <c r="K1460" s="24" t="str">
        <f t="shared" si="120"/>
        <v/>
      </c>
      <c r="L1460" s="25" t="str">
        <f t="shared" si="116"/>
        <v/>
      </c>
      <c r="M1460" s="37"/>
      <c r="N1460" s="37"/>
      <c r="O1460" s="33" t="str">
        <f t="shared" si="117"/>
        <v/>
      </c>
      <c r="P1460" s="33" t="str">
        <f t="shared" si="118"/>
        <v/>
      </c>
      <c r="X1460" s="1"/>
    </row>
    <row r="1461" spans="7:24">
      <c r="G1461" s="21"/>
      <c r="H1461" s="23"/>
      <c r="I1461" s="23" t="str">
        <f>_xlfn.IFNA(VLOOKUP(A1461,A1462:$H$3524,8,0),"")</f>
        <v/>
      </c>
      <c r="J1461" s="40" t="str">
        <f t="shared" si="119"/>
        <v/>
      </c>
      <c r="K1461" s="24" t="str">
        <f t="shared" si="120"/>
        <v/>
      </c>
      <c r="L1461" s="25" t="str">
        <f t="shared" si="116"/>
        <v/>
      </c>
      <c r="M1461" s="37"/>
      <c r="N1461" s="37"/>
      <c r="O1461" s="33" t="str">
        <f t="shared" si="117"/>
        <v/>
      </c>
      <c r="P1461" s="33" t="str">
        <f t="shared" si="118"/>
        <v/>
      </c>
      <c r="X1461" s="1"/>
    </row>
    <row r="1462" spans="7:24">
      <c r="G1462" s="21"/>
      <c r="H1462" s="23"/>
      <c r="I1462" s="23" t="str">
        <f>_xlfn.IFNA(VLOOKUP(A1462,A1463:$H$3524,8,0),"")</f>
        <v/>
      </c>
      <c r="J1462" s="40" t="str">
        <f t="shared" si="119"/>
        <v/>
      </c>
      <c r="K1462" s="24" t="str">
        <f t="shared" si="120"/>
        <v/>
      </c>
      <c r="L1462" s="25" t="str">
        <f t="shared" si="116"/>
        <v/>
      </c>
      <c r="M1462" s="37"/>
      <c r="N1462" s="37"/>
      <c r="O1462" s="33" t="str">
        <f t="shared" si="117"/>
        <v/>
      </c>
      <c r="P1462" s="33" t="str">
        <f t="shared" si="118"/>
        <v/>
      </c>
      <c r="X1462" s="1"/>
    </row>
    <row r="1463" spans="7:24">
      <c r="G1463" s="21"/>
      <c r="H1463" s="23"/>
      <c r="I1463" s="23" t="str">
        <f>_xlfn.IFNA(VLOOKUP(A1463,A1464:$H$3524,8,0),"")</f>
        <v/>
      </c>
      <c r="J1463" s="40" t="str">
        <f t="shared" si="119"/>
        <v/>
      </c>
      <c r="K1463" s="24" t="str">
        <f t="shared" si="120"/>
        <v/>
      </c>
      <c r="L1463" s="25" t="str">
        <f t="shared" ref="L1463:L1526" si="121">IF(K1463="","",IF(B1463="Break","Break",IF(K1463&lt;&gt;0,"Work Finished",IF(B1463="OFF","Work Finished",IF(I1463="","Working","Work Finished")))))</f>
        <v/>
      </c>
      <c r="M1463" s="37"/>
      <c r="N1463" s="37"/>
      <c r="O1463" s="33" t="str">
        <f t="shared" ref="O1463:O1526" si="122">IF(AND(J1463="",M1463="",N1463=""),"",J1463-M1463-N1463)</f>
        <v/>
      </c>
      <c r="P1463" s="33" t="str">
        <f t="shared" ref="P1463:P1526" si="123">IF(HOUR(H1463)=0,"",HOUR(H1463))</f>
        <v/>
      </c>
      <c r="X1463" s="1"/>
    </row>
    <row r="1464" spans="7:24">
      <c r="G1464" s="21"/>
      <c r="H1464" s="23"/>
      <c r="I1464" s="23" t="str">
        <f>_xlfn.IFNA(VLOOKUP(A1464,A1465:$H$3524,8,0),"")</f>
        <v/>
      </c>
      <c r="J1464" s="40" t="str">
        <f t="shared" si="119"/>
        <v/>
      </c>
      <c r="K1464" s="24" t="str">
        <f t="shared" si="120"/>
        <v/>
      </c>
      <c r="L1464" s="25" t="str">
        <f t="shared" si="121"/>
        <v/>
      </c>
      <c r="M1464" s="37"/>
      <c r="N1464" s="37"/>
      <c r="O1464" s="33" t="str">
        <f t="shared" si="122"/>
        <v/>
      </c>
      <c r="P1464" s="33" t="str">
        <f t="shared" si="123"/>
        <v/>
      </c>
      <c r="X1464" s="1"/>
    </row>
    <row r="1465" spans="7:24">
      <c r="G1465" s="21"/>
      <c r="H1465" s="23"/>
      <c r="I1465" s="23" t="str">
        <f>_xlfn.IFNA(VLOOKUP(A1465,A1466:$H$3524,8,0),"")</f>
        <v/>
      </c>
      <c r="J1465" s="40" t="str">
        <f t="shared" si="119"/>
        <v/>
      </c>
      <c r="K1465" s="24" t="str">
        <f t="shared" si="120"/>
        <v/>
      </c>
      <c r="L1465" s="25" t="str">
        <f t="shared" si="121"/>
        <v/>
      </c>
      <c r="M1465" s="37"/>
      <c r="N1465" s="37"/>
      <c r="O1465" s="33" t="str">
        <f t="shared" si="122"/>
        <v/>
      </c>
      <c r="P1465" s="33" t="str">
        <f t="shared" si="123"/>
        <v/>
      </c>
      <c r="X1465" s="1"/>
    </row>
    <row r="1466" spans="7:24">
      <c r="G1466" s="21"/>
      <c r="H1466" s="23"/>
      <c r="I1466" s="23" t="str">
        <f>_xlfn.IFNA(VLOOKUP(A1466,A1467:$H$3524,8,0),"")</f>
        <v/>
      </c>
      <c r="J1466" s="40" t="str">
        <f t="shared" si="119"/>
        <v/>
      </c>
      <c r="K1466" s="24" t="str">
        <f t="shared" si="120"/>
        <v/>
      </c>
      <c r="L1466" s="25" t="str">
        <f t="shared" si="121"/>
        <v/>
      </c>
      <c r="M1466" s="37"/>
      <c r="N1466" s="37"/>
      <c r="O1466" s="33" t="str">
        <f t="shared" si="122"/>
        <v/>
      </c>
      <c r="P1466" s="33" t="str">
        <f t="shared" si="123"/>
        <v/>
      </c>
      <c r="X1466" s="1"/>
    </row>
    <row r="1467" spans="7:24">
      <c r="G1467" s="21"/>
      <c r="H1467" s="23"/>
      <c r="I1467" s="23" t="str">
        <f>_xlfn.IFNA(VLOOKUP(A1467,A1468:$H$3524,8,0),"")</f>
        <v/>
      </c>
      <c r="J1467" s="40" t="str">
        <f t="shared" si="119"/>
        <v/>
      </c>
      <c r="K1467" s="24" t="str">
        <f t="shared" si="120"/>
        <v/>
      </c>
      <c r="L1467" s="25" t="str">
        <f t="shared" si="121"/>
        <v/>
      </c>
      <c r="M1467" s="37"/>
      <c r="N1467" s="37"/>
      <c r="O1467" s="33" t="str">
        <f t="shared" si="122"/>
        <v/>
      </c>
      <c r="P1467" s="33" t="str">
        <f t="shared" si="123"/>
        <v/>
      </c>
      <c r="X1467" s="1"/>
    </row>
    <row r="1468" spans="7:24">
      <c r="G1468" s="21"/>
      <c r="H1468" s="23"/>
      <c r="I1468" s="23" t="str">
        <f>_xlfn.IFNA(VLOOKUP(A1468,A1469:$H$3524,8,0),"")</f>
        <v/>
      </c>
      <c r="J1468" s="40" t="str">
        <f t="shared" si="119"/>
        <v/>
      </c>
      <c r="K1468" s="24" t="str">
        <f t="shared" si="120"/>
        <v/>
      </c>
      <c r="L1468" s="25" t="str">
        <f t="shared" si="121"/>
        <v/>
      </c>
      <c r="M1468" s="37"/>
      <c r="N1468" s="37"/>
      <c r="O1468" s="33" t="str">
        <f t="shared" si="122"/>
        <v/>
      </c>
      <c r="P1468" s="33" t="str">
        <f t="shared" si="123"/>
        <v/>
      </c>
      <c r="X1468" s="1"/>
    </row>
    <row r="1469" spans="7:24">
      <c r="G1469" s="21"/>
      <c r="H1469" s="23"/>
      <c r="I1469" s="23" t="str">
        <f>_xlfn.IFNA(VLOOKUP(A1469,A1470:$H$3524,8,0),"")</f>
        <v/>
      </c>
      <c r="J1469" s="40" t="str">
        <f t="shared" si="119"/>
        <v/>
      </c>
      <c r="K1469" s="24" t="str">
        <f t="shared" si="120"/>
        <v/>
      </c>
      <c r="L1469" s="25" t="str">
        <f t="shared" si="121"/>
        <v/>
      </c>
      <c r="M1469" s="37"/>
      <c r="N1469" s="37"/>
      <c r="O1469" s="33" t="str">
        <f t="shared" si="122"/>
        <v/>
      </c>
      <c r="P1469" s="33" t="str">
        <f t="shared" si="123"/>
        <v/>
      </c>
      <c r="X1469" s="1"/>
    </row>
    <row r="1470" spans="7:24">
      <c r="G1470" s="21"/>
      <c r="H1470" s="23"/>
      <c r="I1470" s="23" t="str">
        <f>_xlfn.IFNA(VLOOKUP(A1470,A1471:$H$3524,8,0),"")</f>
        <v/>
      </c>
      <c r="J1470" s="40" t="str">
        <f t="shared" si="119"/>
        <v/>
      </c>
      <c r="K1470" s="24" t="str">
        <f t="shared" si="120"/>
        <v/>
      </c>
      <c r="L1470" s="25" t="str">
        <f t="shared" si="121"/>
        <v/>
      </c>
      <c r="M1470" s="37"/>
      <c r="N1470" s="37"/>
      <c r="O1470" s="33" t="str">
        <f t="shared" si="122"/>
        <v/>
      </c>
      <c r="P1470" s="33" t="str">
        <f t="shared" si="123"/>
        <v/>
      </c>
      <c r="X1470" s="1"/>
    </row>
    <row r="1471" spans="7:24">
      <c r="G1471" s="21"/>
      <c r="H1471" s="23"/>
      <c r="I1471" s="23" t="str">
        <f>_xlfn.IFNA(VLOOKUP(A1471,A1472:$H$3524,8,0),"")</f>
        <v/>
      </c>
      <c r="J1471" s="40" t="str">
        <f t="shared" si="119"/>
        <v/>
      </c>
      <c r="K1471" s="24" t="str">
        <f t="shared" si="120"/>
        <v/>
      </c>
      <c r="L1471" s="25" t="str">
        <f t="shared" si="121"/>
        <v/>
      </c>
      <c r="M1471" s="37"/>
      <c r="N1471" s="37"/>
      <c r="O1471" s="33" t="str">
        <f t="shared" si="122"/>
        <v/>
      </c>
      <c r="P1471" s="33" t="str">
        <f t="shared" si="123"/>
        <v/>
      </c>
      <c r="X1471" s="1"/>
    </row>
    <row r="1472" spans="7:24">
      <c r="G1472" s="21"/>
      <c r="H1472" s="23"/>
      <c r="I1472" s="23" t="str">
        <f>_xlfn.IFNA(VLOOKUP(A1472,A1473:$H$3524,8,0),"")</f>
        <v/>
      </c>
      <c r="J1472" s="40" t="str">
        <f t="shared" si="119"/>
        <v/>
      </c>
      <c r="K1472" s="24" t="str">
        <f t="shared" si="120"/>
        <v/>
      </c>
      <c r="L1472" s="25" t="str">
        <f t="shared" si="121"/>
        <v/>
      </c>
      <c r="M1472" s="37"/>
      <c r="N1472" s="37"/>
      <c r="O1472" s="33" t="str">
        <f t="shared" si="122"/>
        <v/>
      </c>
      <c r="P1472" s="33" t="str">
        <f t="shared" si="123"/>
        <v/>
      </c>
      <c r="X1472" s="1"/>
    </row>
    <row r="1473" spans="7:24">
      <c r="G1473" s="21"/>
      <c r="H1473" s="23"/>
      <c r="I1473" s="23" t="str">
        <f>_xlfn.IFNA(VLOOKUP(A1473,A1474:$H$3524,8,0),"")</f>
        <v/>
      </c>
      <c r="J1473" s="40" t="str">
        <f t="shared" si="119"/>
        <v/>
      </c>
      <c r="K1473" s="24" t="str">
        <f t="shared" si="120"/>
        <v/>
      </c>
      <c r="L1473" s="25" t="str">
        <f t="shared" si="121"/>
        <v/>
      </c>
      <c r="M1473" s="37"/>
      <c r="N1473" s="37"/>
      <c r="O1473" s="33" t="str">
        <f t="shared" si="122"/>
        <v/>
      </c>
      <c r="P1473" s="33" t="str">
        <f t="shared" si="123"/>
        <v/>
      </c>
      <c r="X1473" s="1"/>
    </row>
    <row r="1474" spans="7:24">
      <c r="G1474" s="21"/>
      <c r="H1474" s="23"/>
      <c r="I1474" s="23" t="str">
        <f>_xlfn.IFNA(VLOOKUP(A1474,A1475:$H$3524,8,0),"")</f>
        <v/>
      </c>
      <c r="J1474" s="40" t="str">
        <f t="shared" si="119"/>
        <v/>
      </c>
      <c r="K1474" s="24" t="str">
        <f t="shared" si="120"/>
        <v/>
      </c>
      <c r="L1474" s="25" t="str">
        <f t="shared" si="121"/>
        <v/>
      </c>
      <c r="M1474" s="37"/>
      <c r="N1474" s="37"/>
      <c r="O1474" s="33" t="str">
        <f t="shared" si="122"/>
        <v/>
      </c>
      <c r="P1474" s="33" t="str">
        <f t="shared" si="123"/>
        <v/>
      </c>
      <c r="X1474" s="1"/>
    </row>
    <row r="1475" spans="7:24">
      <c r="G1475" s="21"/>
      <c r="H1475" s="23"/>
      <c r="I1475" s="23" t="str">
        <f>_xlfn.IFNA(VLOOKUP(A1475,A1476:$H$3524,8,0),"")</f>
        <v/>
      </c>
      <c r="J1475" s="40" t="str">
        <f t="shared" si="119"/>
        <v/>
      </c>
      <c r="K1475" s="24" t="str">
        <f t="shared" si="120"/>
        <v/>
      </c>
      <c r="L1475" s="25" t="str">
        <f t="shared" si="121"/>
        <v/>
      </c>
      <c r="M1475" s="37"/>
      <c r="N1475" s="37"/>
      <c r="O1475" s="33" t="str">
        <f t="shared" si="122"/>
        <v/>
      </c>
      <c r="P1475" s="33" t="str">
        <f t="shared" si="123"/>
        <v/>
      </c>
      <c r="X1475" s="1"/>
    </row>
    <row r="1476" spans="7:24">
      <c r="G1476" s="21"/>
      <c r="H1476" s="23"/>
      <c r="I1476" s="23" t="str">
        <f>_xlfn.IFNA(VLOOKUP(A1476,A1477:$H$3524,8,0),"")</f>
        <v/>
      </c>
      <c r="J1476" s="40" t="str">
        <f t="shared" si="119"/>
        <v/>
      </c>
      <c r="K1476" s="24" t="str">
        <f t="shared" si="120"/>
        <v/>
      </c>
      <c r="L1476" s="25" t="str">
        <f t="shared" si="121"/>
        <v/>
      </c>
      <c r="M1476" s="37"/>
      <c r="N1476" s="37"/>
      <c r="O1476" s="33" t="str">
        <f t="shared" si="122"/>
        <v/>
      </c>
      <c r="P1476" s="33" t="str">
        <f t="shared" si="123"/>
        <v/>
      </c>
      <c r="X1476" s="1"/>
    </row>
    <row r="1477" spans="7:24">
      <c r="G1477" s="21"/>
      <c r="H1477" s="23"/>
      <c r="I1477" s="23" t="str">
        <f>_xlfn.IFNA(VLOOKUP(A1477,A1478:$H$3524,8,0),"")</f>
        <v/>
      </c>
      <c r="J1477" s="40" t="str">
        <f t="shared" si="119"/>
        <v/>
      </c>
      <c r="K1477" s="24" t="str">
        <f t="shared" si="120"/>
        <v/>
      </c>
      <c r="L1477" s="25" t="str">
        <f t="shared" si="121"/>
        <v/>
      </c>
      <c r="M1477" s="37"/>
      <c r="N1477" s="37"/>
      <c r="O1477" s="33" t="str">
        <f t="shared" si="122"/>
        <v/>
      </c>
      <c r="P1477" s="33" t="str">
        <f t="shared" si="123"/>
        <v/>
      </c>
      <c r="X1477" s="1"/>
    </row>
    <row r="1478" spans="7:24">
      <c r="G1478" s="21"/>
      <c r="H1478" s="23"/>
      <c r="I1478" s="23" t="str">
        <f>_xlfn.IFNA(VLOOKUP(A1478,A1479:$H$3524,8,0),"")</f>
        <v/>
      </c>
      <c r="J1478" s="40" t="str">
        <f t="shared" ref="J1478:J1541" si="124">IF(B1478="OFF",0,IF(AND(D1478&lt;&gt;"",E1478&lt;&gt;""),E1478-D1478+1,""))</f>
        <v/>
      </c>
      <c r="K1478" s="24" t="str">
        <f t="shared" si="120"/>
        <v/>
      </c>
      <c r="L1478" s="25" t="str">
        <f t="shared" si="121"/>
        <v/>
      </c>
      <c r="M1478" s="37"/>
      <c r="N1478" s="37"/>
      <c r="O1478" s="33" t="str">
        <f t="shared" si="122"/>
        <v/>
      </c>
      <c r="P1478" s="33" t="str">
        <f t="shared" si="123"/>
        <v/>
      </c>
      <c r="X1478" s="1"/>
    </row>
    <row r="1479" spans="7:24">
      <c r="G1479" s="21"/>
      <c r="H1479" s="23"/>
      <c r="I1479" s="23" t="str">
        <f>_xlfn.IFNA(VLOOKUP(A1479,A1480:$H$3524,8,0),"")</f>
        <v/>
      </c>
      <c r="J1479" s="40" t="str">
        <f t="shared" si="124"/>
        <v/>
      </c>
      <c r="K1479" s="24" t="str">
        <f t="shared" si="120"/>
        <v/>
      </c>
      <c r="L1479" s="25" t="str">
        <f t="shared" si="121"/>
        <v/>
      </c>
      <c r="M1479" s="37"/>
      <c r="N1479" s="37"/>
      <c r="O1479" s="33" t="str">
        <f t="shared" si="122"/>
        <v/>
      </c>
      <c r="P1479" s="33" t="str">
        <f t="shared" si="123"/>
        <v/>
      </c>
      <c r="X1479" s="1"/>
    </row>
    <row r="1480" spans="7:24">
      <c r="G1480" s="21"/>
      <c r="H1480" s="23"/>
      <c r="I1480" s="23" t="str">
        <f>_xlfn.IFNA(VLOOKUP(A1480,A1481:$H$3524,8,0),"")</f>
        <v/>
      </c>
      <c r="J1480" s="40" t="str">
        <f t="shared" si="124"/>
        <v/>
      </c>
      <c r="K1480" s="24" t="str">
        <f t="shared" si="120"/>
        <v/>
      </c>
      <c r="L1480" s="25" t="str">
        <f t="shared" si="121"/>
        <v/>
      </c>
      <c r="M1480" s="37"/>
      <c r="N1480" s="37"/>
      <c r="O1480" s="33" t="str">
        <f t="shared" si="122"/>
        <v/>
      </c>
      <c r="P1480" s="33" t="str">
        <f t="shared" si="123"/>
        <v/>
      </c>
      <c r="X1480" s="1"/>
    </row>
    <row r="1481" spans="7:24">
      <c r="G1481" s="21"/>
      <c r="H1481" s="23"/>
      <c r="I1481" s="23" t="str">
        <f>_xlfn.IFNA(VLOOKUP(A1481,A1482:$H$3524,8,0),"")</f>
        <v/>
      </c>
      <c r="J1481" s="40" t="str">
        <f t="shared" si="124"/>
        <v/>
      </c>
      <c r="K1481" s="24" t="str">
        <f t="shared" si="120"/>
        <v/>
      </c>
      <c r="L1481" s="25" t="str">
        <f t="shared" si="121"/>
        <v/>
      </c>
      <c r="M1481" s="37"/>
      <c r="N1481" s="37"/>
      <c r="O1481" s="33" t="str">
        <f t="shared" si="122"/>
        <v/>
      </c>
      <c r="P1481" s="33" t="str">
        <f t="shared" si="123"/>
        <v/>
      </c>
      <c r="X1481" s="1"/>
    </row>
    <row r="1482" spans="7:24">
      <c r="G1482" s="21"/>
      <c r="H1482" s="23"/>
      <c r="I1482" s="23" t="str">
        <f>_xlfn.IFNA(VLOOKUP(A1482,A1483:$H$3524,8,0),"")</f>
        <v/>
      </c>
      <c r="J1482" s="40" t="str">
        <f t="shared" si="124"/>
        <v/>
      </c>
      <c r="K1482" s="24" t="str">
        <f t="shared" si="120"/>
        <v/>
      </c>
      <c r="L1482" s="25" t="str">
        <f t="shared" si="121"/>
        <v/>
      </c>
      <c r="M1482" s="37"/>
      <c r="N1482" s="37"/>
      <c r="O1482" s="33" t="str">
        <f t="shared" si="122"/>
        <v/>
      </c>
      <c r="P1482" s="33" t="str">
        <f t="shared" si="123"/>
        <v/>
      </c>
      <c r="X1482" s="1"/>
    </row>
    <row r="1483" spans="7:24">
      <c r="G1483" s="21"/>
      <c r="H1483" s="23"/>
      <c r="I1483" s="23" t="str">
        <f>_xlfn.IFNA(VLOOKUP(A1483,A1484:$H$3524,8,0),"")</f>
        <v/>
      </c>
      <c r="J1483" s="40" t="str">
        <f t="shared" si="124"/>
        <v/>
      </c>
      <c r="K1483" s="24" t="str">
        <f t="shared" si="120"/>
        <v/>
      </c>
      <c r="L1483" s="25" t="str">
        <f t="shared" si="121"/>
        <v/>
      </c>
      <c r="M1483" s="37"/>
      <c r="N1483" s="37"/>
      <c r="O1483" s="33" t="str">
        <f t="shared" si="122"/>
        <v/>
      </c>
      <c r="P1483" s="33" t="str">
        <f t="shared" si="123"/>
        <v/>
      </c>
      <c r="X1483" s="1"/>
    </row>
    <row r="1484" spans="7:24">
      <c r="G1484" s="21"/>
      <c r="H1484" s="23"/>
      <c r="I1484" s="23" t="str">
        <f>_xlfn.IFNA(VLOOKUP(A1484,A1485:$H$3524,8,0),"")</f>
        <v/>
      </c>
      <c r="J1484" s="40" t="str">
        <f t="shared" si="124"/>
        <v/>
      </c>
      <c r="K1484" s="24" t="str">
        <f t="shared" si="120"/>
        <v/>
      </c>
      <c r="L1484" s="25" t="str">
        <f t="shared" si="121"/>
        <v/>
      </c>
      <c r="M1484" s="37"/>
      <c r="N1484" s="37"/>
      <c r="O1484" s="33" t="str">
        <f t="shared" si="122"/>
        <v/>
      </c>
      <c r="P1484" s="33" t="str">
        <f t="shared" si="123"/>
        <v/>
      </c>
      <c r="X1484" s="1"/>
    </row>
    <row r="1485" spans="7:24">
      <c r="G1485" s="21"/>
      <c r="H1485" s="23"/>
      <c r="I1485" s="23" t="str">
        <f>_xlfn.IFNA(VLOOKUP(A1485,A1486:$H$3524,8,0),"")</f>
        <v/>
      </c>
      <c r="J1485" s="40" t="str">
        <f t="shared" si="124"/>
        <v/>
      </c>
      <c r="K1485" s="24" t="str">
        <f t="shared" si="120"/>
        <v/>
      </c>
      <c r="L1485" s="25" t="str">
        <f t="shared" si="121"/>
        <v/>
      </c>
      <c r="M1485" s="37"/>
      <c r="N1485" s="37"/>
      <c r="O1485" s="33" t="str">
        <f t="shared" si="122"/>
        <v/>
      </c>
      <c r="P1485" s="33" t="str">
        <f t="shared" si="123"/>
        <v/>
      </c>
      <c r="X1485" s="1"/>
    </row>
    <row r="1486" spans="7:24">
      <c r="G1486" s="21"/>
      <c r="H1486" s="23"/>
      <c r="I1486" s="23" t="str">
        <f>_xlfn.IFNA(VLOOKUP(A1486,A1487:$H$3524,8,0),"")</f>
        <v/>
      </c>
      <c r="J1486" s="40" t="str">
        <f t="shared" si="124"/>
        <v/>
      </c>
      <c r="K1486" s="24" t="str">
        <f t="shared" si="120"/>
        <v/>
      </c>
      <c r="L1486" s="25" t="str">
        <f t="shared" si="121"/>
        <v/>
      </c>
      <c r="M1486" s="37"/>
      <c r="N1486" s="37"/>
      <c r="O1486" s="33" t="str">
        <f t="shared" si="122"/>
        <v/>
      </c>
      <c r="P1486" s="33" t="str">
        <f t="shared" si="123"/>
        <v/>
      </c>
      <c r="X1486" s="1"/>
    </row>
    <row r="1487" spans="7:24">
      <c r="G1487" s="21"/>
      <c r="H1487" s="23"/>
      <c r="I1487" s="23" t="str">
        <f>_xlfn.IFNA(VLOOKUP(A1487,A1488:$H$3524,8,0),"")</f>
        <v/>
      </c>
      <c r="J1487" s="40" t="str">
        <f t="shared" si="124"/>
        <v/>
      </c>
      <c r="K1487" s="24" t="str">
        <f t="shared" si="120"/>
        <v/>
      </c>
      <c r="L1487" s="25" t="str">
        <f t="shared" si="121"/>
        <v/>
      </c>
      <c r="M1487" s="37"/>
      <c r="N1487" s="37"/>
      <c r="O1487" s="33" t="str">
        <f t="shared" si="122"/>
        <v/>
      </c>
      <c r="P1487" s="33" t="str">
        <f t="shared" si="123"/>
        <v/>
      </c>
      <c r="X1487" s="1"/>
    </row>
    <row r="1488" spans="7:24">
      <c r="G1488" s="21"/>
      <c r="H1488" s="23"/>
      <c r="I1488" s="23" t="str">
        <f>_xlfn.IFNA(VLOOKUP(A1488,A1489:$H$3524,8,0),"")</f>
        <v/>
      </c>
      <c r="J1488" s="40" t="str">
        <f t="shared" si="124"/>
        <v/>
      </c>
      <c r="K1488" s="24" t="str">
        <f t="shared" si="120"/>
        <v/>
      </c>
      <c r="L1488" s="25" t="str">
        <f t="shared" si="121"/>
        <v/>
      </c>
      <c r="M1488" s="37"/>
      <c r="N1488" s="37"/>
      <c r="O1488" s="33" t="str">
        <f t="shared" si="122"/>
        <v/>
      </c>
      <c r="P1488" s="33" t="str">
        <f t="shared" si="123"/>
        <v/>
      </c>
      <c r="X1488" s="1"/>
    </row>
    <row r="1489" spans="7:24">
      <c r="G1489" s="21"/>
      <c r="H1489" s="23"/>
      <c r="I1489" s="23" t="str">
        <f>_xlfn.IFNA(VLOOKUP(A1489,A1490:$H$3524,8,0),"")</f>
        <v/>
      </c>
      <c r="J1489" s="40" t="str">
        <f t="shared" si="124"/>
        <v/>
      </c>
      <c r="K1489" s="24" t="str">
        <f t="shared" si="120"/>
        <v/>
      </c>
      <c r="L1489" s="25" t="str">
        <f t="shared" si="121"/>
        <v/>
      </c>
      <c r="M1489" s="37"/>
      <c r="N1489" s="37"/>
      <c r="O1489" s="33" t="str">
        <f t="shared" si="122"/>
        <v/>
      </c>
      <c r="P1489" s="33" t="str">
        <f t="shared" si="123"/>
        <v/>
      </c>
      <c r="X1489" s="1"/>
    </row>
    <row r="1490" spans="7:24">
      <c r="G1490" s="21"/>
      <c r="H1490" s="23"/>
      <c r="I1490" s="23" t="str">
        <f>_xlfn.IFNA(VLOOKUP(A1490,A1491:$H$3524,8,0),"")</f>
        <v/>
      </c>
      <c r="J1490" s="40" t="str">
        <f t="shared" si="124"/>
        <v/>
      </c>
      <c r="K1490" s="24" t="str">
        <f t="shared" si="120"/>
        <v/>
      </c>
      <c r="L1490" s="25" t="str">
        <f t="shared" si="121"/>
        <v/>
      </c>
      <c r="M1490" s="37"/>
      <c r="N1490" s="37"/>
      <c r="O1490" s="33" t="str">
        <f t="shared" si="122"/>
        <v/>
      </c>
      <c r="P1490" s="33" t="str">
        <f t="shared" si="123"/>
        <v/>
      </c>
      <c r="X1490" s="1"/>
    </row>
    <row r="1491" spans="7:24">
      <c r="G1491" s="21"/>
      <c r="H1491" s="23"/>
      <c r="I1491" s="23" t="str">
        <f>_xlfn.IFNA(VLOOKUP(A1491,A1492:$H$3524,8,0),"")</f>
        <v/>
      </c>
      <c r="J1491" s="40" t="str">
        <f t="shared" si="124"/>
        <v/>
      </c>
      <c r="K1491" s="24" t="str">
        <f t="shared" si="120"/>
        <v/>
      </c>
      <c r="L1491" s="25" t="str">
        <f t="shared" si="121"/>
        <v/>
      </c>
      <c r="M1491" s="37"/>
      <c r="N1491" s="37"/>
      <c r="O1491" s="33" t="str">
        <f t="shared" si="122"/>
        <v/>
      </c>
      <c r="P1491" s="33" t="str">
        <f t="shared" si="123"/>
        <v/>
      </c>
      <c r="X1491" s="1"/>
    </row>
    <row r="1492" spans="7:24">
      <c r="G1492" s="21"/>
      <c r="H1492" s="23"/>
      <c r="I1492" s="23" t="str">
        <f>_xlfn.IFNA(VLOOKUP(A1492,A1493:$H$3524,8,0),"")</f>
        <v/>
      </c>
      <c r="J1492" s="40" t="str">
        <f t="shared" si="124"/>
        <v/>
      </c>
      <c r="K1492" s="24" t="str">
        <f t="shared" si="120"/>
        <v/>
      </c>
      <c r="L1492" s="25" t="str">
        <f t="shared" si="121"/>
        <v/>
      </c>
      <c r="M1492" s="37"/>
      <c r="N1492" s="37"/>
      <c r="O1492" s="33" t="str">
        <f t="shared" si="122"/>
        <v/>
      </c>
      <c r="P1492" s="33" t="str">
        <f t="shared" si="123"/>
        <v/>
      </c>
      <c r="X1492" s="1"/>
    </row>
    <row r="1493" spans="7:24">
      <c r="G1493" s="21"/>
      <c r="H1493" s="23"/>
      <c r="I1493" s="23" t="str">
        <f>_xlfn.IFNA(VLOOKUP(A1493,A1494:$H$3524,8,0),"")</f>
        <v/>
      </c>
      <c r="J1493" s="40" t="str">
        <f t="shared" si="124"/>
        <v/>
      </c>
      <c r="K1493" s="24" t="str">
        <f t="shared" si="120"/>
        <v/>
      </c>
      <c r="L1493" s="25" t="str">
        <f t="shared" si="121"/>
        <v/>
      </c>
      <c r="M1493" s="37"/>
      <c r="N1493" s="37"/>
      <c r="O1493" s="33" t="str">
        <f t="shared" si="122"/>
        <v/>
      </c>
      <c r="P1493" s="33" t="str">
        <f t="shared" si="123"/>
        <v/>
      </c>
      <c r="X1493" s="1"/>
    </row>
    <row r="1494" spans="7:24">
      <c r="G1494" s="21"/>
      <c r="H1494" s="23"/>
      <c r="I1494" s="23" t="str">
        <f>_xlfn.IFNA(VLOOKUP(A1494,A1495:$H$3524,8,0),"")</f>
        <v/>
      </c>
      <c r="J1494" s="40" t="str">
        <f t="shared" si="124"/>
        <v/>
      </c>
      <c r="K1494" s="24" t="str">
        <f t="shared" ref="K1494:K1557" si="125">IF(H1494="","",IFERROR((I1494-H1494)*24,0))</f>
        <v/>
      </c>
      <c r="L1494" s="25" t="str">
        <f t="shared" si="121"/>
        <v/>
      </c>
      <c r="M1494" s="37"/>
      <c r="N1494" s="37"/>
      <c r="O1494" s="33" t="str">
        <f t="shared" si="122"/>
        <v/>
      </c>
      <c r="P1494" s="33" t="str">
        <f t="shared" si="123"/>
        <v/>
      </c>
      <c r="X1494" s="1"/>
    </row>
    <row r="1495" spans="7:24">
      <c r="G1495" s="21"/>
      <c r="H1495" s="23"/>
      <c r="I1495" s="23" t="str">
        <f>_xlfn.IFNA(VLOOKUP(A1495,A1496:$H$3524,8,0),"")</f>
        <v/>
      </c>
      <c r="J1495" s="40" t="str">
        <f t="shared" si="124"/>
        <v/>
      </c>
      <c r="K1495" s="24" t="str">
        <f t="shared" si="125"/>
        <v/>
      </c>
      <c r="L1495" s="25" t="str">
        <f t="shared" si="121"/>
        <v/>
      </c>
      <c r="M1495" s="37"/>
      <c r="N1495" s="37"/>
      <c r="O1495" s="33" t="str">
        <f t="shared" si="122"/>
        <v/>
      </c>
      <c r="P1495" s="33" t="str">
        <f t="shared" si="123"/>
        <v/>
      </c>
      <c r="X1495" s="1"/>
    </row>
    <row r="1496" spans="7:24">
      <c r="G1496" s="21"/>
      <c r="H1496" s="23"/>
      <c r="I1496" s="23" t="str">
        <f>_xlfn.IFNA(VLOOKUP(A1496,A1497:$H$3524,8,0),"")</f>
        <v/>
      </c>
      <c r="J1496" s="40" t="str">
        <f t="shared" si="124"/>
        <v/>
      </c>
      <c r="K1496" s="24" t="str">
        <f t="shared" si="125"/>
        <v/>
      </c>
      <c r="L1496" s="25" t="str">
        <f t="shared" si="121"/>
        <v/>
      </c>
      <c r="M1496" s="37"/>
      <c r="N1496" s="37"/>
      <c r="O1496" s="33" t="str">
        <f t="shared" si="122"/>
        <v/>
      </c>
      <c r="P1496" s="33" t="str">
        <f t="shared" si="123"/>
        <v/>
      </c>
      <c r="X1496" s="1"/>
    </row>
    <row r="1497" spans="7:24">
      <c r="G1497" s="21"/>
      <c r="H1497" s="23"/>
      <c r="I1497" s="23" t="str">
        <f>_xlfn.IFNA(VLOOKUP(A1497,A1498:$H$3524,8,0),"")</f>
        <v/>
      </c>
      <c r="J1497" s="40" t="str">
        <f t="shared" si="124"/>
        <v/>
      </c>
      <c r="K1497" s="24" t="str">
        <f t="shared" si="125"/>
        <v/>
      </c>
      <c r="L1497" s="25" t="str">
        <f t="shared" si="121"/>
        <v/>
      </c>
      <c r="M1497" s="37"/>
      <c r="N1497" s="37"/>
      <c r="O1497" s="33" t="str">
        <f t="shared" si="122"/>
        <v/>
      </c>
      <c r="P1497" s="33" t="str">
        <f t="shared" si="123"/>
        <v/>
      </c>
      <c r="X1497" s="1"/>
    </row>
    <row r="1498" spans="7:24">
      <c r="G1498" s="21"/>
      <c r="H1498" s="23"/>
      <c r="I1498" s="23" t="str">
        <f>_xlfn.IFNA(VLOOKUP(A1498,A1499:$H$3524,8,0),"")</f>
        <v/>
      </c>
      <c r="J1498" s="40" t="str">
        <f t="shared" si="124"/>
        <v/>
      </c>
      <c r="K1498" s="24" t="str">
        <f t="shared" si="125"/>
        <v/>
      </c>
      <c r="L1498" s="25" t="str">
        <f t="shared" si="121"/>
        <v/>
      </c>
      <c r="M1498" s="37"/>
      <c r="N1498" s="37"/>
      <c r="O1498" s="33" t="str">
        <f t="shared" si="122"/>
        <v/>
      </c>
      <c r="P1498" s="33" t="str">
        <f t="shared" si="123"/>
        <v/>
      </c>
      <c r="X1498" s="1"/>
    </row>
    <row r="1499" spans="7:24">
      <c r="G1499" s="21"/>
      <c r="H1499" s="23"/>
      <c r="I1499" s="23" t="str">
        <f>_xlfn.IFNA(VLOOKUP(A1499,A1500:$H$3524,8,0),"")</f>
        <v/>
      </c>
      <c r="J1499" s="40" t="str">
        <f t="shared" si="124"/>
        <v/>
      </c>
      <c r="K1499" s="24" t="str">
        <f t="shared" si="125"/>
        <v/>
      </c>
      <c r="L1499" s="25" t="str">
        <f t="shared" si="121"/>
        <v/>
      </c>
      <c r="M1499" s="37"/>
      <c r="N1499" s="37"/>
      <c r="O1499" s="33" t="str">
        <f t="shared" si="122"/>
        <v/>
      </c>
      <c r="P1499" s="33" t="str">
        <f t="shared" si="123"/>
        <v/>
      </c>
      <c r="X1499" s="1"/>
    </row>
    <row r="1500" spans="7:24">
      <c r="G1500" s="21"/>
      <c r="H1500" s="23"/>
      <c r="I1500" s="23" t="str">
        <f>_xlfn.IFNA(VLOOKUP(A1500,A1501:$H$3524,8,0),"")</f>
        <v/>
      </c>
      <c r="J1500" s="40" t="str">
        <f t="shared" si="124"/>
        <v/>
      </c>
      <c r="K1500" s="24" t="str">
        <f t="shared" si="125"/>
        <v/>
      </c>
      <c r="L1500" s="25" t="str">
        <f t="shared" si="121"/>
        <v/>
      </c>
      <c r="M1500" s="37"/>
      <c r="N1500" s="37"/>
      <c r="O1500" s="33" t="str">
        <f t="shared" si="122"/>
        <v/>
      </c>
      <c r="P1500" s="33" t="str">
        <f t="shared" si="123"/>
        <v/>
      </c>
      <c r="X1500" s="1"/>
    </row>
    <row r="1501" spans="7:24">
      <c r="G1501" s="21"/>
      <c r="H1501" s="23"/>
      <c r="I1501" s="23" t="str">
        <f>_xlfn.IFNA(VLOOKUP(A1501,A1502:$H$3524,8,0),"")</f>
        <v/>
      </c>
      <c r="J1501" s="40" t="str">
        <f t="shared" si="124"/>
        <v/>
      </c>
      <c r="K1501" s="24" t="str">
        <f t="shared" si="125"/>
        <v/>
      </c>
      <c r="L1501" s="25" t="str">
        <f t="shared" si="121"/>
        <v/>
      </c>
      <c r="M1501" s="37"/>
      <c r="N1501" s="37"/>
      <c r="O1501" s="33" t="str">
        <f t="shared" si="122"/>
        <v/>
      </c>
      <c r="P1501" s="33" t="str">
        <f t="shared" si="123"/>
        <v/>
      </c>
      <c r="X1501" s="1"/>
    </row>
    <row r="1502" spans="7:24">
      <c r="G1502" s="21"/>
      <c r="H1502" s="23"/>
      <c r="I1502" s="23" t="str">
        <f>_xlfn.IFNA(VLOOKUP(A1502,A1503:$H$3524,8,0),"")</f>
        <v/>
      </c>
      <c r="J1502" s="40" t="str">
        <f t="shared" si="124"/>
        <v/>
      </c>
      <c r="K1502" s="24" t="str">
        <f t="shared" si="125"/>
        <v/>
      </c>
      <c r="L1502" s="25" t="str">
        <f t="shared" si="121"/>
        <v/>
      </c>
      <c r="M1502" s="37"/>
      <c r="N1502" s="37"/>
      <c r="O1502" s="33" t="str">
        <f t="shared" si="122"/>
        <v/>
      </c>
      <c r="P1502" s="33" t="str">
        <f t="shared" si="123"/>
        <v/>
      </c>
      <c r="X1502" s="1"/>
    </row>
    <row r="1503" spans="7:24">
      <c r="G1503" s="21"/>
      <c r="H1503" s="23"/>
      <c r="I1503" s="23" t="str">
        <f>_xlfn.IFNA(VLOOKUP(A1503,A1504:$H$3524,8,0),"")</f>
        <v/>
      </c>
      <c r="J1503" s="40" t="str">
        <f t="shared" si="124"/>
        <v/>
      </c>
      <c r="K1503" s="24" t="str">
        <f t="shared" si="125"/>
        <v/>
      </c>
      <c r="L1503" s="25" t="str">
        <f t="shared" si="121"/>
        <v/>
      </c>
      <c r="M1503" s="37"/>
      <c r="N1503" s="37"/>
      <c r="O1503" s="33" t="str">
        <f t="shared" si="122"/>
        <v/>
      </c>
      <c r="P1503" s="33" t="str">
        <f t="shared" si="123"/>
        <v/>
      </c>
      <c r="X1503" s="1"/>
    </row>
    <row r="1504" spans="7:24">
      <c r="G1504" s="21"/>
      <c r="H1504" s="23"/>
      <c r="I1504" s="23" t="str">
        <f>_xlfn.IFNA(VLOOKUP(A1504,A1505:$H$3524,8,0),"")</f>
        <v/>
      </c>
      <c r="J1504" s="40" t="str">
        <f t="shared" si="124"/>
        <v/>
      </c>
      <c r="K1504" s="24" t="str">
        <f t="shared" si="125"/>
        <v/>
      </c>
      <c r="L1504" s="25" t="str">
        <f t="shared" si="121"/>
        <v/>
      </c>
      <c r="M1504" s="37"/>
      <c r="N1504" s="37"/>
      <c r="O1504" s="33" t="str">
        <f t="shared" si="122"/>
        <v/>
      </c>
      <c r="P1504" s="33" t="str">
        <f t="shared" si="123"/>
        <v/>
      </c>
      <c r="X1504" s="1"/>
    </row>
    <row r="1505" spans="7:24">
      <c r="G1505" s="21"/>
      <c r="H1505" s="23"/>
      <c r="I1505" s="23" t="str">
        <f>_xlfn.IFNA(VLOOKUP(A1505,A1506:$H$3524,8,0),"")</f>
        <v/>
      </c>
      <c r="J1505" s="40" t="str">
        <f t="shared" si="124"/>
        <v/>
      </c>
      <c r="K1505" s="24" t="str">
        <f t="shared" si="125"/>
        <v/>
      </c>
      <c r="L1505" s="25" t="str">
        <f t="shared" si="121"/>
        <v/>
      </c>
      <c r="M1505" s="37"/>
      <c r="N1505" s="37"/>
      <c r="O1505" s="33" t="str">
        <f t="shared" si="122"/>
        <v/>
      </c>
      <c r="P1505" s="33" t="str">
        <f t="shared" si="123"/>
        <v/>
      </c>
      <c r="X1505" s="1"/>
    </row>
    <row r="1506" spans="7:24">
      <c r="G1506" s="21"/>
      <c r="H1506" s="23"/>
      <c r="I1506" s="23" t="str">
        <f>_xlfn.IFNA(VLOOKUP(A1506,A1507:$H$3524,8,0),"")</f>
        <v/>
      </c>
      <c r="J1506" s="40" t="str">
        <f t="shared" si="124"/>
        <v/>
      </c>
      <c r="K1506" s="24" t="str">
        <f t="shared" si="125"/>
        <v/>
      </c>
      <c r="L1506" s="25" t="str">
        <f t="shared" si="121"/>
        <v/>
      </c>
      <c r="M1506" s="37"/>
      <c r="N1506" s="37"/>
      <c r="O1506" s="33" t="str">
        <f t="shared" si="122"/>
        <v/>
      </c>
      <c r="P1506" s="33" t="str">
        <f t="shared" si="123"/>
        <v/>
      </c>
      <c r="X1506" s="1"/>
    </row>
    <row r="1507" spans="7:24">
      <c r="G1507" s="21"/>
      <c r="H1507" s="23"/>
      <c r="I1507" s="23" t="str">
        <f>_xlfn.IFNA(VLOOKUP(A1507,A1508:$H$3524,8,0),"")</f>
        <v/>
      </c>
      <c r="J1507" s="40" t="str">
        <f t="shared" si="124"/>
        <v/>
      </c>
      <c r="K1507" s="24" t="str">
        <f t="shared" si="125"/>
        <v/>
      </c>
      <c r="L1507" s="25" t="str">
        <f t="shared" si="121"/>
        <v/>
      </c>
      <c r="M1507" s="37"/>
      <c r="N1507" s="37"/>
      <c r="O1507" s="33" t="str">
        <f t="shared" si="122"/>
        <v/>
      </c>
      <c r="P1507" s="33" t="str">
        <f t="shared" si="123"/>
        <v/>
      </c>
      <c r="X1507" s="1"/>
    </row>
    <row r="1508" spans="7:24">
      <c r="G1508" s="21"/>
      <c r="H1508" s="23"/>
      <c r="I1508" s="23" t="str">
        <f>_xlfn.IFNA(VLOOKUP(A1508,A1509:$H$3524,8,0),"")</f>
        <v/>
      </c>
      <c r="J1508" s="40" t="str">
        <f t="shared" si="124"/>
        <v/>
      </c>
      <c r="K1508" s="24" t="str">
        <f t="shared" si="125"/>
        <v/>
      </c>
      <c r="L1508" s="25" t="str">
        <f t="shared" si="121"/>
        <v/>
      </c>
      <c r="M1508" s="37"/>
      <c r="N1508" s="37"/>
      <c r="O1508" s="33" t="str">
        <f t="shared" si="122"/>
        <v/>
      </c>
      <c r="P1508" s="33" t="str">
        <f t="shared" si="123"/>
        <v/>
      </c>
      <c r="X1508" s="1"/>
    </row>
    <row r="1509" spans="7:24">
      <c r="G1509" s="21"/>
      <c r="H1509" s="23"/>
      <c r="I1509" s="23" t="str">
        <f>_xlfn.IFNA(VLOOKUP(A1509,A1510:$H$3524,8,0),"")</f>
        <v/>
      </c>
      <c r="J1509" s="40" t="str">
        <f t="shared" si="124"/>
        <v/>
      </c>
      <c r="K1509" s="24" t="str">
        <f t="shared" si="125"/>
        <v/>
      </c>
      <c r="L1509" s="25" t="str">
        <f t="shared" si="121"/>
        <v/>
      </c>
      <c r="M1509" s="37"/>
      <c r="N1509" s="37"/>
      <c r="O1509" s="33" t="str">
        <f t="shared" si="122"/>
        <v/>
      </c>
      <c r="P1509" s="33" t="str">
        <f t="shared" si="123"/>
        <v/>
      </c>
      <c r="X1509" s="1"/>
    </row>
    <row r="1510" spans="7:24">
      <c r="G1510" s="21"/>
      <c r="H1510" s="23"/>
      <c r="I1510" s="23" t="str">
        <f>_xlfn.IFNA(VLOOKUP(A1510,A1511:$H$3524,8,0),"")</f>
        <v/>
      </c>
      <c r="J1510" s="40" t="str">
        <f t="shared" si="124"/>
        <v/>
      </c>
      <c r="K1510" s="24" t="str">
        <f t="shared" si="125"/>
        <v/>
      </c>
      <c r="L1510" s="25" t="str">
        <f t="shared" si="121"/>
        <v/>
      </c>
      <c r="M1510" s="37"/>
      <c r="N1510" s="37"/>
      <c r="O1510" s="33" t="str">
        <f t="shared" si="122"/>
        <v/>
      </c>
      <c r="P1510" s="33" t="str">
        <f t="shared" si="123"/>
        <v/>
      </c>
      <c r="X1510" s="1"/>
    </row>
    <row r="1511" spans="7:24">
      <c r="G1511" s="21"/>
      <c r="H1511" s="23"/>
      <c r="I1511" s="23" t="str">
        <f>_xlfn.IFNA(VLOOKUP(A1511,A1512:$H$3524,8,0),"")</f>
        <v/>
      </c>
      <c r="J1511" s="40" t="str">
        <f t="shared" si="124"/>
        <v/>
      </c>
      <c r="K1511" s="24" t="str">
        <f t="shared" si="125"/>
        <v/>
      </c>
      <c r="L1511" s="25" t="str">
        <f t="shared" si="121"/>
        <v/>
      </c>
      <c r="M1511" s="37"/>
      <c r="N1511" s="37"/>
      <c r="O1511" s="33" t="str">
        <f t="shared" si="122"/>
        <v/>
      </c>
      <c r="P1511" s="33" t="str">
        <f t="shared" si="123"/>
        <v/>
      </c>
      <c r="X1511" s="1"/>
    </row>
    <row r="1512" spans="7:24">
      <c r="G1512" s="21"/>
      <c r="H1512" s="23"/>
      <c r="I1512" s="23" t="str">
        <f>_xlfn.IFNA(VLOOKUP(A1512,A1513:$H$3524,8,0),"")</f>
        <v/>
      </c>
      <c r="J1512" s="40" t="str">
        <f t="shared" si="124"/>
        <v/>
      </c>
      <c r="K1512" s="24" t="str">
        <f t="shared" si="125"/>
        <v/>
      </c>
      <c r="L1512" s="25" t="str">
        <f t="shared" si="121"/>
        <v/>
      </c>
      <c r="M1512" s="37"/>
      <c r="N1512" s="37"/>
      <c r="O1512" s="33" t="str">
        <f t="shared" si="122"/>
        <v/>
      </c>
      <c r="P1512" s="33" t="str">
        <f t="shared" si="123"/>
        <v/>
      </c>
      <c r="X1512" s="1"/>
    </row>
    <row r="1513" spans="7:24">
      <c r="G1513" s="21"/>
      <c r="H1513" s="23"/>
      <c r="I1513" s="23" t="str">
        <f>_xlfn.IFNA(VLOOKUP(A1513,A1514:$H$3524,8,0),"")</f>
        <v/>
      </c>
      <c r="J1513" s="40" t="str">
        <f t="shared" si="124"/>
        <v/>
      </c>
      <c r="K1513" s="24" t="str">
        <f t="shared" si="125"/>
        <v/>
      </c>
      <c r="L1513" s="25" t="str">
        <f t="shared" si="121"/>
        <v/>
      </c>
      <c r="M1513" s="37"/>
      <c r="N1513" s="37"/>
      <c r="O1513" s="33" t="str">
        <f t="shared" si="122"/>
        <v/>
      </c>
      <c r="P1513" s="33" t="str">
        <f t="shared" si="123"/>
        <v/>
      </c>
      <c r="X1513" s="1"/>
    </row>
    <row r="1514" spans="7:24">
      <c r="G1514" s="21"/>
      <c r="H1514" s="23"/>
      <c r="I1514" s="23" t="str">
        <f>_xlfn.IFNA(VLOOKUP(A1514,A1515:$H$3524,8,0),"")</f>
        <v/>
      </c>
      <c r="J1514" s="40" t="str">
        <f t="shared" si="124"/>
        <v/>
      </c>
      <c r="K1514" s="24" t="str">
        <f t="shared" si="125"/>
        <v/>
      </c>
      <c r="L1514" s="25" t="str">
        <f t="shared" si="121"/>
        <v/>
      </c>
      <c r="M1514" s="37"/>
      <c r="N1514" s="37"/>
      <c r="O1514" s="33" t="str">
        <f t="shared" si="122"/>
        <v/>
      </c>
      <c r="P1514" s="33" t="str">
        <f t="shared" si="123"/>
        <v/>
      </c>
      <c r="X1514" s="1"/>
    </row>
    <row r="1515" spans="7:24">
      <c r="G1515" s="21"/>
      <c r="H1515" s="23"/>
      <c r="I1515" s="23" t="str">
        <f>_xlfn.IFNA(VLOOKUP(A1515,A1516:$H$3524,8,0),"")</f>
        <v/>
      </c>
      <c r="J1515" s="40" t="str">
        <f t="shared" si="124"/>
        <v/>
      </c>
      <c r="K1515" s="24" t="str">
        <f t="shared" si="125"/>
        <v/>
      </c>
      <c r="L1515" s="25" t="str">
        <f t="shared" si="121"/>
        <v/>
      </c>
      <c r="M1515" s="37"/>
      <c r="N1515" s="37"/>
      <c r="O1515" s="33" t="str">
        <f t="shared" si="122"/>
        <v/>
      </c>
      <c r="P1515" s="33" t="str">
        <f t="shared" si="123"/>
        <v/>
      </c>
      <c r="X1515" s="1"/>
    </row>
    <row r="1516" spans="7:24">
      <c r="G1516" s="21"/>
      <c r="H1516" s="23"/>
      <c r="I1516" s="23" t="str">
        <f>_xlfn.IFNA(VLOOKUP(A1516,A1517:$H$3524,8,0),"")</f>
        <v/>
      </c>
      <c r="J1516" s="40" t="str">
        <f t="shared" si="124"/>
        <v/>
      </c>
      <c r="K1516" s="24" t="str">
        <f t="shared" si="125"/>
        <v/>
      </c>
      <c r="L1516" s="25" t="str">
        <f t="shared" si="121"/>
        <v/>
      </c>
      <c r="M1516" s="37"/>
      <c r="N1516" s="37"/>
      <c r="O1516" s="33" t="str">
        <f t="shared" si="122"/>
        <v/>
      </c>
      <c r="P1516" s="33" t="str">
        <f t="shared" si="123"/>
        <v/>
      </c>
      <c r="X1516" s="1"/>
    </row>
    <row r="1517" spans="7:24">
      <c r="G1517" s="21"/>
      <c r="H1517" s="23"/>
      <c r="I1517" s="23" t="str">
        <f>_xlfn.IFNA(VLOOKUP(A1517,A1518:$H$3524,8,0),"")</f>
        <v/>
      </c>
      <c r="J1517" s="40" t="str">
        <f t="shared" si="124"/>
        <v/>
      </c>
      <c r="K1517" s="24" t="str">
        <f t="shared" si="125"/>
        <v/>
      </c>
      <c r="L1517" s="25" t="str">
        <f t="shared" si="121"/>
        <v/>
      </c>
      <c r="M1517" s="37"/>
      <c r="N1517" s="37"/>
      <c r="O1517" s="33" t="str">
        <f t="shared" si="122"/>
        <v/>
      </c>
      <c r="P1517" s="33" t="str">
        <f t="shared" si="123"/>
        <v/>
      </c>
      <c r="X1517" s="1"/>
    </row>
    <row r="1518" spans="7:24">
      <c r="G1518" s="21"/>
      <c r="H1518" s="23"/>
      <c r="I1518" s="23" t="str">
        <f>_xlfn.IFNA(VLOOKUP(A1518,A1519:$H$3524,8,0),"")</f>
        <v/>
      </c>
      <c r="J1518" s="40" t="str">
        <f t="shared" si="124"/>
        <v/>
      </c>
      <c r="K1518" s="24" t="str">
        <f t="shared" si="125"/>
        <v/>
      </c>
      <c r="L1518" s="25" t="str">
        <f t="shared" si="121"/>
        <v/>
      </c>
      <c r="M1518" s="37"/>
      <c r="N1518" s="37"/>
      <c r="O1518" s="33" t="str">
        <f t="shared" si="122"/>
        <v/>
      </c>
      <c r="P1518" s="33" t="str">
        <f t="shared" si="123"/>
        <v/>
      </c>
      <c r="X1518" s="1"/>
    </row>
    <row r="1519" spans="7:24">
      <c r="G1519" s="21"/>
      <c r="H1519" s="23"/>
      <c r="I1519" s="23" t="str">
        <f>_xlfn.IFNA(VLOOKUP(A1519,A1520:$H$3524,8,0),"")</f>
        <v/>
      </c>
      <c r="J1519" s="40" t="str">
        <f t="shared" si="124"/>
        <v/>
      </c>
      <c r="K1519" s="24" t="str">
        <f t="shared" si="125"/>
        <v/>
      </c>
      <c r="L1519" s="25" t="str">
        <f t="shared" si="121"/>
        <v/>
      </c>
      <c r="M1519" s="37"/>
      <c r="N1519" s="37"/>
      <c r="O1519" s="33" t="str">
        <f t="shared" si="122"/>
        <v/>
      </c>
      <c r="P1519" s="33" t="str">
        <f t="shared" si="123"/>
        <v/>
      </c>
      <c r="X1519" s="1"/>
    </row>
    <row r="1520" spans="7:24">
      <c r="G1520" s="21"/>
      <c r="H1520" s="23"/>
      <c r="I1520" s="23" t="str">
        <f>_xlfn.IFNA(VLOOKUP(A1520,A1521:$H$3524,8,0),"")</f>
        <v/>
      </c>
      <c r="J1520" s="40" t="str">
        <f t="shared" si="124"/>
        <v/>
      </c>
      <c r="K1520" s="24" t="str">
        <f t="shared" si="125"/>
        <v/>
      </c>
      <c r="L1520" s="25" t="str">
        <f t="shared" si="121"/>
        <v/>
      </c>
      <c r="M1520" s="37"/>
      <c r="N1520" s="37"/>
      <c r="O1520" s="33" t="str">
        <f t="shared" si="122"/>
        <v/>
      </c>
      <c r="P1520" s="33" t="str">
        <f t="shared" si="123"/>
        <v/>
      </c>
      <c r="X1520" s="1"/>
    </row>
    <row r="1521" spans="7:24">
      <c r="G1521" s="21"/>
      <c r="H1521" s="23"/>
      <c r="I1521" s="23" t="str">
        <f>_xlfn.IFNA(VLOOKUP(A1521,A1522:$H$3524,8,0),"")</f>
        <v/>
      </c>
      <c r="J1521" s="40" t="str">
        <f t="shared" si="124"/>
        <v/>
      </c>
      <c r="K1521" s="24" t="str">
        <f t="shared" si="125"/>
        <v/>
      </c>
      <c r="L1521" s="25" t="str">
        <f t="shared" si="121"/>
        <v/>
      </c>
      <c r="M1521" s="37"/>
      <c r="N1521" s="37"/>
      <c r="O1521" s="33" t="str">
        <f t="shared" si="122"/>
        <v/>
      </c>
      <c r="P1521" s="33" t="str">
        <f t="shared" si="123"/>
        <v/>
      </c>
      <c r="X1521" s="1"/>
    </row>
    <row r="1522" spans="7:24">
      <c r="G1522" s="21"/>
      <c r="H1522" s="23"/>
      <c r="I1522" s="23" t="str">
        <f>_xlfn.IFNA(VLOOKUP(A1522,A1523:$H$3524,8,0),"")</f>
        <v/>
      </c>
      <c r="J1522" s="40" t="str">
        <f t="shared" si="124"/>
        <v/>
      </c>
      <c r="K1522" s="24" t="str">
        <f t="shared" si="125"/>
        <v/>
      </c>
      <c r="L1522" s="25" t="str">
        <f t="shared" si="121"/>
        <v/>
      </c>
      <c r="M1522" s="37"/>
      <c r="N1522" s="37"/>
      <c r="O1522" s="33" t="str">
        <f t="shared" si="122"/>
        <v/>
      </c>
      <c r="P1522" s="33" t="str">
        <f t="shared" si="123"/>
        <v/>
      </c>
      <c r="X1522" s="1"/>
    </row>
    <row r="1523" spans="7:24">
      <c r="G1523" s="21"/>
      <c r="H1523" s="23"/>
      <c r="I1523" s="23" t="str">
        <f>_xlfn.IFNA(VLOOKUP(A1523,A1524:$H$3524,8,0),"")</f>
        <v/>
      </c>
      <c r="J1523" s="40" t="str">
        <f t="shared" si="124"/>
        <v/>
      </c>
      <c r="K1523" s="24" t="str">
        <f t="shared" si="125"/>
        <v/>
      </c>
      <c r="L1523" s="25" t="str">
        <f t="shared" si="121"/>
        <v/>
      </c>
      <c r="M1523" s="37"/>
      <c r="N1523" s="37"/>
      <c r="O1523" s="33" t="str">
        <f t="shared" si="122"/>
        <v/>
      </c>
      <c r="P1523" s="33" t="str">
        <f t="shared" si="123"/>
        <v/>
      </c>
      <c r="X1523" s="1"/>
    </row>
    <row r="1524" spans="7:24">
      <c r="G1524" s="21"/>
      <c r="H1524" s="23"/>
      <c r="I1524" s="23" t="str">
        <f>_xlfn.IFNA(VLOOKUP(A1524,A1525:$H$3524,8,0),"")</f>
        <v/>
      </c>
      <c r="J1524" s="40" t="str">
        <f t="shared" si="124"/>
        <v/>
      </c>
      <c r="K1524" s="24" t="str">
        <f t="shared" si="125"/>
        <v/>
      </c>
      <c r="L1524" s="25" t="str">
        <f t="shared" si="121"/>
        <v/>
      </c>
      <c r="M1524" s="37"/>
      <c r="N1524" s="37"/>
      <c r="O1524" s="33" t="str">
        <f t="shared" si="122"/>
        <v/>
      </c>
      <c r="P1524" s="33" t="str">
        <f t="shared" si="123"/>
        <v/>
      </c>
      <c r="X1524" s="1"/>
    </row>
    <row r="1525" spans="7:24">
      <c r="G1525" s="21"/>
      <c r="H1525" s="23"/>
      <c r="I1525" s="23" t="str">
        <f>_xlfn.IFNA(VLOOKUP(A1525,A1526:$H$3524,8,0),"")</f>
        <v/>
      </c>
      <c r="J1525" s="40" t="str">
        <f t="shared" si="124"/>
        <v/>
      </c>
      <c r="K1525" s="24" t="str">
        <f t="shared" si="125"/>
        <v/>
      </c>
      <c r="L1525" s="25" t="str">
        <f t="shared" si="121"/>
        <v/>
      </c>
      <c r="M1525" s="37"/>
      <c r="N1525" s="37"/>
      <c r="O1525" s="33" t="str">
        <f t="shared" si="122"/>
        <v/>
      </c>
      <c r="P1525" s="33" t="str">
        <f t="shared" si="123"/>
        <v/>
      </c>
      <c r="X1525" s="1"/>
    </row>
    <row r="1526" spans="7:24">
      <c r="G1526" s="21"/>
      <c r="H1526" s="23"/>
      <c r="I1526" s="23" t="str">
        <f>_xlfn.IFNA(VLOOKUP(A1526,A1527:$H$3524,8,0),"")</f>
        <v/>
      </c>
      <c r="J1526" s="40" t="str">
        <f t="shared" si="124"/>
        <v/>
      </c>
      <c r="K1526" s="24" t="str">
        <f t="shared" si="125"/>
        <v/>
      </c>
      <c r="L1526" s="25" t="str">
        <f t="shared" si="121"/>
        <v/>
      </c>
      <c r="M1526" s="37"/>
      <c r="N1526" s="37"/>
      <c r="O1526" s="33" t="str">
        <f t="shared" si="122"/>
        <v/>
      </c>
      <c r="P1526" s="33" t="str">
        <f t="shared" si="123"/>
        <v/>
      </c>
      <c r="X1526" s="1"/>
    </row>
    <row r="1527" spans="7:24">
      <c r="G1527" s="21"/>
      <c r="H1527" s="23"/>
      <c r="I1527" s="23" t="str">
        <f>_xlfn.IFNA(VLOOKUP(A1527,A1528:$H$3524,8,0),"")</f>
        <v/>
      </c>
      <c r="J1527" s="40" t="str">
        <f t="shared" si="124"/>
        <v/>
      </c>
      <c r="K1527" s="24" t="str">
        <f t="shared" si="125"/>
        <v/>
      </c>
      <c r="L1527" s="25" t="str">
        <f t="shared" ref="L1527:L1590" si="126">IF(K1527="","",IF(B1527="Break","Break",IF(K1527&lt;&gt;0,"Work Finished",IF(B1527="OFF","Work Finished",IF(I1527="","Working","Work Finished")))))</f>
        <v/>
      </c>
      <c r="M1527" s="37"/>
      <c r="N1527" s="37"/>
      <c r="O1527" s="33" t="str">
        <f t="shared" ref="O1527:O1590" si="127">IF(AND(J1527="",M1527="",N1527=""),"",J1527-M1527-N1527)</f>
        <v/>
      </c>
      <c r="P1527" s="33" t="str">
        <f t="shared" ref="P1527:P1590" si="128">IF(HOUR(H1527)=0,"",HOUR(H1527))</f>
        <v/>
      </c>
      <c r="X1527" s="1"/>
    </row>
    <row r="1528" spans="7:24">
      <c r="G1528" s="21"/>
      <c r="H1528" s="23"/>
      <c r="I1528" s="23" t="str">
        <f>_xlfn.IFNA(VLOOKUP(A1528,A1529:$H$3524,8,0),"")</f>
        <v/>
      </c>
      <c r="J1528" s="40" t="str">
        <f t="shared" si="124"/>
        <v/>
      </c>
      <c r="K1528" s="24" t="str">
        <f t="shared" si="125"/>
        <v/>
      </c>
      <c r="L1528" s="25" t="str">
        <f t="shared" si="126"/>
        <v/>
      </c>
      <c r="M1528" s="37"/>
      <c r="N1528" s="37"/>
      <c r="O1528" s="33" t="str">
        <f t="shared" si="127"/>
        <v/>
      </c>
      <c r="P1528" s="33" t="str">
        <f t="shared" si="128"/>
        <v/>
      </c>
      <c r="X1528" s="1"/>
    </row>
    <row r="1529" spans="7:24">
      <c r="G1529" s="21"/>
      <c r="H1529" s="23"/>
      <c r="I1529" s="23" t="str">
        <f>_xlfn.IFNA(VLOOKUP(A1529,A1530:$H$3524,8,0),"")</f>
        <v/>
      </c>
      <c r="J1529" s="40" t="str">
        <f t="shared" si="124"/>
        <v/>
      </c>
      <c r="K1529" s="24" t="str">
        <f t="shared" si="125"/>
        <v/>
      </c>
      <c r="L1529" s="25" t="str">
        <f t="shared" si="126"/>
        <v/>
      </c>
      <c r="M1529" s="37"/>
      <c r="N1529" s="37"/>
      <c r="O1529" s="33" t="str">
        <f t="shared" si="127"/>
        <v/>
      </c>
      <c r="P1529" s="33" t="str">
        <f t="shared" si="128"/>
        <v/>
      </c>
      <c r="X1529" s="1"/>
    </row>
    <row r="1530" spans="7:24">
      <c r="G1530" s="21"/>
      <c r="H1530" s="23"/>
      <c r="I1530" s="23" t="str">
        <f>_xlfn.IFNA(VLOOKUP(A1530,A1531:$H$3524,8,0),"")</f>
        <v/>
      </c>
      <c r="J1530" s="40" t="str">
        <f t="shared" si="124"/>
        <v/>
      </c>
      <c r="K1530" s="24" t="str">
        <f t="shared" si="125"/>
        <v/>
      </c>
      <c r="L1530" s="25" t="str">
        <f t="shared" si="126"/>
        <v/>
      </c>
      <c r="M1530" s="37"/>
      <c r="N1530" s="37"/>
      <c r="O1530" s="33" t="str">
        <f t="shared" si="127"/>
        <v/>
      </c>
      <c r="P1530" s="33" t="str">
        <f t="shared" si="128"/>
        <v/>
      </c>
      <c r="X1530" s="1"/>
    </row>
    <row r="1531" spans="7:24">
      <c r="G1531" s="21"/>
      <c r="H1531" s="23"/>
      <c r="I1531" s="23" t="str">
        <f>_xlfn.IFNA(VLOOKUP(A1531,A1532:$H$3524,8,0),"")</f>
        <v/>
      </c>
      <c r="J1531" s="40" t="str">
        <f t="shared" si="124"/>
        <v/>
      </c>
      <c r="K1531" s="24" t="str">
        <f t="shared" si="125"/>
        <v/>
      </c>
      <c r="L1531" s="25" t="str">
        <f t="shared" si="126"/>
        <v/>
      </c>
      <c r="M1531" s="37"/>
      <c r="N1531" s="37"/>
      <c r="O1531" s="33" t="str">
        <f t="shared" si="127"/>
        <v/>
      </c>
      <c r="P1531" s="33" t="str">
        <f t="shared" si="128"/>
        <v/>
      </c>
      <c r="X1531" s="1"/>
    </row>
    <row r="1532" spans="7:24">
      <c r="G1532" s="21"/>
      <c r="H1532" s="23"/>
      <c r="I1532" s="23" t="str">
        <f>_xlfn.IFNA(VLOOKUP(A1532,A1533:$H$3524,8,0),"")</f>
        <v/>
      </c>
      <c r="J1532" s="40" t="str">
        <f t="shared" si="124"/>
        <v/>
      </c>
      <c r="K1532" s="24" t="str">
        <f t="shared" si="125"/>
        <v/>
      </c>
      <c r="L1532" s="25" t="str">
        <f t="shared" si="126"/>
        <v/>
      </c>
      <c r="M1532" s="37"/>
      <c r="N1532" s="37"/>
      <c r="O1532" s="33" t="str">
        <f t="shared" si="127"/>
        <v/>
      </c>
      <c r="P1532" s="33" t="str">
        <f t="shared" si="128"/>
        <v/>
      </c>
      <c r="X1532" s="1"/>
    </row>
    <row r="1533" spans="7:24">
      <c r="G1533" s="21"/>
      <c r="H1533" s="23"/>
      <c r="I1533" s="23" t="str">
        <f>_xlfn.IFNA(VLOOKUP(A1533,A1534:$H$3524,8,0),"")</f>
        <v/>
      </c>
      <c r="J1533" s="40" t="str">
        <f t="shared" si="124"/>
        <v/>
      </c>
      <c r="K1533" s="24" t="str">
        <f t="shared" si="125"/>
        <v/>
      </c>
      <c r="L1533" s="25" t="str">
        <f t="shared" si="126"/>
        <v/>
      </c>
      <c r="M1533" s="37"/>
      <c r="N1533" s="37"/>
      <c r="O1533" s="33" t="str">
        <f t="shared" si="127"/>
        <v/>
      </c>
      <c r="P1533" s="33" t="str">
        <f t="shared" si="128"/>
        <v/>
      </c>
      <c r="X1533" s="1"/>
    </row>
    <row r="1534" spans="7:24">
      <c r="G1534" s="21"/>
      <c r="H1534" s="23"/>
      <c r="I1534" s="23" t="str">
        <f>_xlfn.IFNA(VLOOKUP(A1534,A1535:$H$3524,8,0),"")</f>
        <v/>
      </c>
      <c r="J1534" s="40" t="str">
        <f t="shared" si="124"/>
        <v/>
      </c>
      <c r="K1534" s="24" t="str">
        <f t="shared" si="125"/>
        <v/>
      </c>
      <c r="L1534" s="25" t="str">
        <f t="shared" si="126"/>
        <v/>
      </c>
      <c r="M1534" s="37"/>
      <c r="N1534" s="37"/>
      <c r="O1534" s="33" t="str">
        <f t="shared" si="127"/>
        <v/>
      </c>
      <c r="P1534" s="33" t="str">
        <f t="shared" si="128"/>
        <v/>
      </c>
      <c r="X1534" s="1"/>
    </row>
    <row r="1535" spans="7:24">
      <c r="G1535" s="21"/>
      <c r="H1535" s="23"/>
      <c r="I1535" s="23" t="str">
        <f>_xlfn.IFNA(VLOOKUP(A1535,A1536:$H$3524,8,0),"")</f>
        <v/>
      </c>
      <c r="J1535" s="40" t="str">
        <f t="shared" si="124"/>
        <v/>
      </c>
      <c r="K1535" s="24" t="str">
        <f t="shared" si="125"/>
        <v/>
      </c>
      <c r="L1535" s="25" t="str">
        <f t="shared" si="126"/>
        <v/>
      </c>
      <c r="M1535" s="37"/>
      <c r="N1535" s="37"/>
      <c r="O1535" s="33" t="str">
        <f t="shared" si="127"/>
        <v/>
      </c>
      <c r="P1535" s="33" t="str">
        <f t="shared" si="128"/>
        <v/>
      </c>
      <c r="X1535" s="1"/>
    </row>
    <row r="1536" spans="7:24">
      <c r="G1536" s="21"/>
      <c r="H1536" s="23"/>
      <c r="I1536" s="23" t="str">
        <f>_xlfn.IFNA(VLOOKUP(A1536,A1537:$H$3524,8,0),"")</f>
        <v/>
      </c>
      <c r="J1536" s="40" t="str">
        <f t="shared" si="124"/>
        <v/>
      </c>
      <c r="K1536" s="24" t="str">
        <f t="shared" si="125"/>
        <v/>
      </c>
      <c r="L1536" s="25" t="str">
        <f t="shared" si="126"/>
        <v/>
      </c>
      <c r="M1536" s="37"/>
      <c r="N1536" s="37"/>
      <c r="O1536" s="33" t="str">
        <f t="shared" si="127"/>
        <v/>
      </c>
      <c r="P1536" s="33" t="str">
        <f t="shared" si="128"/>
        <v/>
      </c>
      <c r="X1536" s="1"/>
    </row>
    <row r="1537" spans="7:24">
      <c r="G1537" s="21"/>
      <c r="H1537" s="23"/>
      <c r="I1537" s="23" t="str">
        <f>_xlfn.IFNA(VLOOKUP(A1537,A1538:$H$3524,8,0),"")</f>
        <v/>
      </c>
      <c r="J1537" s="40" t="str">
        <f t="shared" si="124"/>
        <v/>
      </c>
      <c r="K1537" s="24" t="str">
        <f t="shared" si="125"/>
        <v/>
      </c>
      <c r="L1537" s="25" t="str">
        <f t="shared" si="126"/>
        <v/>
      </c>
      <c r="M1537" s="37"/>
      <c r="N1537" s="37"/>
      <c r="O1537" s="33" t="str">
        <f t="shared" si="127"/>
        <v/>
      </c>
      <c r="P1537" s="33" t="str">
        <f t="shared" si="128"/>
        <v/>
      </c>
      <c r="X1537" s="1"/>
    </row>
    <row r="1538" spans="7:24">
      <c r="G1538" s="21"/>
      <c r="H1538" s="23"/>
      <c r="I1538" s="23" t="str">
        <f>_xlfn.IFNA(VLOOKUP(A1538,A1539:$H$3524,8,0),"")</f>
        <v/>
      </c>
      <c r="J1538" s="40" t="str">
        <f t="shared" si="124"/>
        <v/>
      </c>
      <c r="K1538" s="24" t="str">
        <f t="shared" si="125"/>
        <v/>
      </c>
      <c r="L1538" s="25" t="str">
        <f t="shared" si="126"/>
        <v/>
      </c>
      <c r="M1538" s="37"/>
      <c r="N1538" s="37"/>
      <c r="O1538" s="33" t="str">
        <f t="shared" si="127"/>
        <v/>
      </c>
      <c r="P1538" s="33" t="str">
        <f t="shared" si="128"/>
        <v/>
      </c>
      <c r="X1538" s="1"/>
    </row>
    <row r="1539" spans="7:24">
      <c r="G1539" s="21"/>
      <c r="H1539" s="23"/>
      <c r="I1539" s="23" t="str">
        <f>_xlfn.IFNA(VLOOKUP(A1539,A1540:$H$3524,8,0),"")</f>
        <v/>
      </c>
      <c r="J1539" s="40" t="str">
        <f t="shared" si="124"/>
        <v/>
      </c>
      <c r="K1539" s="24" t="str">
        <f t="shared" si="125"/>
        <v/>
      </c>
      <c r="L1539" s="25" t="str">
        <f t="shared" si="126"/>
        <v/>
      </c>
      <c r="M1539" s="37"/>
      <c r="N1539" s="37"/>
      <c r="O1539" s="33" t="str">
        <f t="shared" si="127"/>
        <v/>
      </c>
      <c r="P1539" s="33" t="str">
        <f t="shared" si="128"/>
        <v/>
      </c>
      <c r="X1539" s="1"/>
    </row>
    <row r="1540" spans="7:24">
      <c r="G1540" s="21"/>
      <c r="H1540" s="23"/>
      <c r="I1540" s="23" t="str">
        <f>_xlfn.IFNA(VLOOKUP(A1540,A1541:$H$3524,8,0),"")</f>
        <v/>
      </c>
      <c r="J1540" s="40" t="str">
        <f t="shared" si="124"/>
        <v/>
      </c>
      <c r="K1540" s="24" t="str">
        <f t="shared" si="125"/>
        <v/>
      </c>
      <c r="L1540" s="25" t="str">
        <f t="shared" si="126"/>
        <v/>
      </c>
      <c r="M1540" s="37"/>
      <c r="N1540" s="37"/>
      <c r="O1540" s="33" t="str">
        <f t="shared" si="127"/>
        <v/>
      </c>
      <c r="P1540" s="33" t="str">
        <f t="shared" si="128"/>
        <v/>
      </c>
      <c r="X1540" s="1"/>
    </row>
    <row r="1541" spans="7:24">
      <c r="G1541" s="21"/>
      <c r="H1541" s="23"/>
      <c r="I1541" s="23" t="str">
        <f>_xlfn.IFNA(VLOOKUP(A1541,A1542:$H$3524,8,0),"")</f>
        <v/>
      </c>
      <c r="J1541" s="40" t="str">
        <f t="shared" si="124"/>
        <v/>
      </c>
      <c r="K1541" s="24" t="str">
        <f t="shared" si="125"/>
        <v/>
      </c>
      <c r="L1541" s="25" t="str">
        <f t="shared" si="126"/>
        <v/>
      </c>
      <c r="M1541" s="37"/>
      <c r="N1541" s="37"/>
      <c r="O1541" s="33" t="str">
        <f t="shared" si="127"/>
        <v/>
      </c>
      <c r="P1541" s="33" t="str">
        <f t="shared" si="128"/>
        <v/>
      </c>
      <c r="X1541" s="1"/>
    </row>
    <row r="1542" spans="7:24">
      <c r="G1542" s="21"/>
      <c r="H1542" s="23"/>
      <c r="I1542" s="23" t="str">
        <f>_xlfn.IFNA(VLOOKUP(A1542,A1543:$H$3524,8,0),"")</f>
        <v/>
      </c>
      <c r="J1542" s="40" t="str">
        <f t="shared" ref="J1542:J1605" si="129">IF(B1542="OFF",0,IF(AND(D1542&lt;&gt;"",E1542&lt;&gt;""),E1542-D1542+1,""))</f>
        <v/>
      </c>
      <c r="K1542" s="24" t="str">
        <f t="shared" si="125"/>
        <v/>
      </c>
      <c r="L1542" s="25" t="str">
        <f t="shared" si="126"/>
        <v/>
      </c>
      <c r="M1542" s="37"/>
      <c r="N1542" s="37"/>
      <c r="O1542" s="33" t="str">
        <f t="shared" si="127"/>
        <v/>
      </c>
      <c r="P1542" s="33" t="str">
        <f t="shared" si="128"/>
        <v/>
      </c>
      <c r="X1542" s="1"/>
    </row>
    <row r="1543" spans="7:24">
      <c r="G1543" s="21"/>
      <c r="H1543" s="23"/>
      <c r="I1543" s="23" t="str">
        <f>_xlfn.IFNA(VLOOKUP(A1543,A1544:$H$3524,8,0),"")</f>
        <v/>
      </c>
      <c r="J1543" s="40" t="str">
        <f t="shared" si="129"/>
        <v/>
      </c>
      <c r="K1543" s="24" t="str">
        <f t="shared" si="125"/>
        <v/>
      </c>
      <c r="L1543" s="25" t="str">
        <f t="shared" si="126"/>
        <v/>
      </c>
      <c r="M1543" s="37"/>
      <c r="N1543" s="37"/>
      <c r="O1543" s="33" t="str">
        <f t="shared" si="127"/>
        <v/>
      </c>
      <c r="P1543" s="33" t="str">
        <f t="shared" si="128"/>
        <v/>
      </c>
      <c r="X1543" s="1"/>
    </row>
    <row r="1544" spans="7:24">
      <c r="G1544" s="21"/>
      <c r="H1544" s="23"/>
      <c r="I1544" s="23" t="str">
        <f>_xlfn.IFNA(VLOOKUP(A1544,A1545:$H$3524,8,0),"")</f>
        <v/>
      </c>
      <c r="J1544" s="40" t="str">
        <f t="shared" si="129"/>
        <v/>
      </c>
      <c r="K1544" s="24" t="str">
        <f t="shared" si="125"/>
        <v/>
      </c>
      <c r="L1544" s="25" t="str">
        <f t="shared" si="126"/>
        <v/>
      </c>
      <c r="M1544" s="37"/>
      <c r="N1544" s="37"/>
      <c r="O1544" s="33" t="str">
        <f t="shared" si="127"/>
        <v/>
      </c>
      <c r="P1544" s="33" t="str">
        <f t="shared" si="128"/>
        <v/>
      </c>
      <c r="X1544" s="1"/>
    </row>
    <row r="1545" spans="7:24">
      <c r="G1545" s="21"/>
      <c r="H1545" s="23"/>
      <c r="I1545" s="23" t="str">
        <f>_xlfn.IFNA(VLOOKUP(A1545,A1546:$H$3524,8,0),"")</f>
        <v/>
      </c>
      <c r="J1545" s="40" t="str">
        <f t="shared" si="129"/>
        <v/>
      </c>
      <c r="K1545" s="24" t="str">
        <f t="shared" si="125"/>
        <v/>
      </c>
      <c r="L1545" s="25" t="str">
        <f t="shared" si="126"/>
        <v/>
      </c>
      <c r="M1545" s="37"/>
      <c r="N1545" s="37"/>
      <c r="O1545" s="33" t="str">
        <f t="shared" si="127"/>
        <v/>
      </c>
      <c r="P1545" s="33" t="str">
        <f t="shared" si="128"/>
        <v/>
      </c>
      <c r="X1545" s="1"/>
    </row>
    <row r="1546" spans="7:24">
      <c r="G1546" s="21"/>
      <c r="H1546" s="23"/>
      <c r="I1546" s="23" t="str">
        <f>_xlfn.IFNA(VLOOKUP(A1546,A1547:$H$3524,8,0),"")</f>
        <v/>
      </c>
      <c r="J1546" s="40" t="str">
        <f t="shared" si="129"/>
        <v/>
      </c>
      <c r="K1546" s="24" t="str">
        <f t="shared" si="125"/>
        <v/>
      </c>
      <c r="L1546" s="25" t="str">
        <f t="shared" si="126"/>
        <v/>
      </c>
      <c r="M1546" s="37"/>
      <c r="N1546" s="37"/>
      <c r="O1546" s="33" t="str">
        <f t="shared" si="127"/>
        <v/>
      </c>
      <c r="P1546" s="33" t="str">
        <f t="shared" si="128"/>
        <v/>
      </c>
      <c r="X1546" s="1"/>
    </row>
    <row r="1547" spans="7:24">
      <c r="G1547" s="21"/>
      <c r="H1547" s="23"/>
      <c r="I1547" s="23" t="str">
        <f>_xlfn.IFNA(VLOOKUP(A1547,A1548:$H$3524,8,0),"")</f>
        <v/>
      </c>
      <c r="J1547" s="40" t="str">
        <f t="shared" si="129"/>
        <v/>
      </c>
      <c r="K1547" s="24" t="str">
        <f t="shared" si="125"/>
        <v/>
      </c>
      <c r="L1547" s="25" t="str">
        <f t="shared" si="126"/>
        <v/>
      </c>
      <c r="M1547" s="37"/>
      <c r="N1547" s="37"/>
      <c r="O1547" s="33" t="str">
        <f t="shared" si="127"/>
        <v/>
      </c>
      <c r="P1547" s="33" t="str">
        <f t="shared" si="128"/>
        <v/>
      </c>
      <c r="X1547" s="1"/>
    </row>
    <row r="1548" spans="7:24">
      <c r="G1548" s="21"/>
      <c r="H1548" s="23"/>
      <c r="I1548" s="23" t="str">
        <f>_xlfn.IFNA(VLOOKUP(A1548,A1549:$H$3524,8,0),"")</f>
        <v/>
      </c>
      <c r="J1548" s="40" t="str">
        <f t="shared" si="129"/>
        <v/>
      </c>
      <c r="K1548" s="24" t="str">
        <f t="shared" si="125"/>
        <v/>
      </c>
      <c r="L1548" s="25" t="str">
        <f t="shared" si="126"/>
        <v/>
      </c>
      <c r="M1548" s="37"/>
      <c r="N1548" s="37"/>
      <c r="O1548" s="33" t="str">
        <f t="shared" si="127"/>
        <v/>
      </c>
      <c r="P1548" s="33" t="str">
        <f t="shared" si="128"/>
        <v/>
      </c>
      <c r="X1548" s="1"/>
    </row>
    <row r="1549" spans="7:24">
      <c r="G1549" s="21"/>
      <c r="H1549" s="23"/>
      <c r="I1549" s="23" t="str">
        <f>_xlfn.IFNA(VLOOKUP(A1549,A1550:$H$3524,8,0),"")</f>
        <v/>
      </c>
      <c r="J1549" s="40" t="str">
        <f t="shared" si="129"/>
        <v/>
      </c>
      <c r="K1549" s="24" t="str">
        <f t="shared" si="125"/>
        <v/>
      </c>
      <c r="L1549" s="25" t="str">
        <f t="shared" si="126"/>
        <v/>
      </c>
      <c r="M1549" s="37"/>
      <c r="N1549" s="37"/>
      <c r="O1549" s="33" t="str">
        <f t="shared" si="127"/>
        <v/>
      </c>
      <c r="P1549" s="33" t="str">
        <f t="shared" si="128"/>
        <v/>
      </c>
      <c r="X1549" s="1"/>
    </row>
    <row r="1550" spans="7:24">
      <c r="G1550" s="21"/>
      <c r="H1550" s="23"/>
      <c r="I1550" s="23" t="str">
        <f>_xlfn.IFNA(VLOOKUP(A1550,A1551:$H$3524,8,0),"")</f>
        <v/>
      </c>
      <c r="J1550" s="40" t="str">
        <f t="shared" si="129"/>
        <v/>
      </c>
      <c r="K1550" s="24" t="str">
        <f t="shared" si="125"/>
        <v/>
      </c>
      <c r="L1550" s="25" t="str">
        <f t="shared" si="126"/>
        <v/>
      </c>
      <c r="M1550" s="37"/>
      <c r="N1550" s="37"/>
      <c r="O1550" s="33" t="str">
        <f t="shared" si="127"/>
        <v/>
      </c>
      <c r="P1550" s="33" t="str">
        <f t="shared" si="128"/>
        <v/>
      </c>
      <c r="X1550" s="1"/>
    </row>
    <row r="1551" spans="7:24">
      <c r="G1551" s="21"/>
      <c r="H1551" s="23"/>
      <c r="I1551" s="23" t="str">
        <f>_xlfn.IFNA(VLOOKUP(A1551,A1552:$H$3524,8,0),"")</f>
        <v/>
      </c>
      <c r="J1551" s="40" t="str">
        <f t="shared" si="129"/>
        <v/>
      </c>
      <c r="K1551" s="24" t="str">
        <f t="shared" si="125"/>
        <v/>
      </c>
      <c r="L1551" s="25" t="str">
        <f t="shared" si="126"/>
        <v/>
      </c>
      <c r="M1551" s="37"/>
      <c r="N1551" s="37"/>
      <c r="O1551" s="33" t="str">
        <f t="shared" si="127"/>
        <v/>
      </c>
      <c r="P1551" s="33" t="str">
        <f t="shared" si="128"/>
        <v/>
      </c>
      <c r="X1551" s="1"/>
    </row>
    <row r="1552" spans="7:24">
      <c r="G1552" s="21"/>
      <c r="H1552" s="23"/>
      <c r="I1552" s="23" t="str">
        <f>_xlfn.IFNA(VLOOKUP(A1552,A1553:$H$3524,8,0),"")</f>
        <v/>
      </c>
      <c r="J1552" s="40" t="str">
        <f t="shared" si="129"/>
        <v/>
      </c>
      <c r="K1552" s="24" t="str">
        <f t="shared" si="125"/>
        <v/>
      </c>
      <c r="L1552" s="25" t="str">
        <f t="shared" si="126"/>
        <v/>
      </c>
      <c r="M1552" s="37"/>
      <c r="N1552" s="37"/>
      <c r="O1552" s="33" t="str">
        <f t="shared" si="127"/>
        <v/>
      </c>
      <c r="P1552" s="33" t="str">
        <f t="shared" si="128"/>
        <v/>
      </c>
      <c r="X1552" s="1"/>
    </row>
    <row r="1553" spans="7:24">
      <c r="G1553" s="21"/>
      <c r="H1553" s="23"/>
      <c r="I1553" s="23" t="str">
        <f>_xlfn.IFNA(VLOOKUP(A1553,A1554:$H$3524,8,0),"")</f>
        <v/>
      </c>
      <c r="J1553" s="40" t="str">
        <f t="shared" si="129"/>
        <v/>
      </c>
      <c r="K1553" s="24" t="str">
        <f t="shared" si="125"/>
        <v/>
      </c>
      <c r="L1553" s="25" t="str">
        <f t="shared" si="126"/>
        <v/>
      </c>
      <c r="M1553" s="37"/>
      <c r="N1553" s="37"/>
      <c r="O1553" s="33" t="str">
        <f t="shared" si="127"/>
        <v/>
      </c>
      <c r="P1553" s="33" t="str">
        <f t="shared" si="128"/>
        <v/>
      </c>
      <c r="X1553" s="1"/>
    </row>
    <row r="1554" spans="7:24">
      <c r="G1554" s="21"/>
      <c r="H1554" s="23"/>
      <c r="I1554" s="23" t="str">
        <f>_xlfn.IFNA(VLOOKUP(A1554,A1555:$H$3524,8,0),"")</f>
        <v/>
      </c>
      <c r="J1554" s="40" t="str">
        <f t="shared" si="129"/>
        <v/>
      </c>
      <c r="K1554" s="24" t="str">
        <f t="shared" si="125"/>
        <v/>
      </c>
      <c r="L1554" s="25" t="str">
        <f t="shared" si="126"/>
        <v/>
      </c>
      <c r="M1554" s="37"/>
      <c r="N1554" s="37"/>
      <c r="O1554" s="33" t="str">
        <f t="shared" si="127"/>
        <v/>
      </c>
      <c r="P1554" s="33" t="str">
        <f t="shared" si="128"/>
        <v/>
      </c>
      <c r="X1554" s="1"/>
    </row>
    <row r="1555" spans="7:24">
      <c r="G1555" s="21"/>
      <c r="H1555" s="23"/>
      <c r="I1555" s="23" t="str">
        <f>_xlfn.IFNA(VLOOKUP(A1555,A1556:$H$3524,8,0),"")</f>
        <v/>
      </c>
      <c r="J1555" s="40" t="str">
        <f t="shared" si="129"/>
        <v/>
      </c>
      <c r="K1555" s="24" t="str">
        <f t="shared" si="125"/>
        <v/>
      </c>
      <c r="L1555" s="25" t="str">
        <f t="shared" si="126"/>
        <v/>
      </c>
      <c r="M1555" s="37"/>
      <c r="N1555" s="37"/>
      <c r="O1555" s="33" t="str">
        <f t="shared" si="127"/>
        <v/>
      </c>
      <c r="P1555" s="33" t="str">
        <f t="shared" si="128"/>
        <v/>
      </c>
      <c r="X1555" s="1"/>
    </row>
    <row r="1556" spans="7:24">
      <c r="G1556" s="21"/>
      <c r="H1556" s="23"/>
      <c r="I1556" s="23" t="str">
        <f>_xlfn.IFNA(VLOOKUP(A1556,A1557:$H$3524,8,0),"")</f>
        <v/>
      </c>
      <c r="J1556" s="40" t="str">
        <f t="shared" si="129"/>
        <v/>
      </c>
      <c r="K1556" s="24" t="str">
        <f t="shared" si="125"/>
        <v/>
      </c>
      <c r="L1556" s="25" t="str">
        <f t="shared" si="126"/>
        <v/>
      </c>
      <c r="M1556" s="37"/>
      <c r="N1556" s="37"/>
      <c r="O1556" s="33" t="str">
        <f t="shared" si="127"/>
        <v/>
      </c>
      <c r="P1556" s="33" t="str">
        <f t="shared" si="128"/>
        <v/>
      </c>
      <c r="X1556" s="1"/>
    </row>
    <row r="1557" spans="7:24">
      <c r="G1557" s="21"/>
      <c r="H1557" s="23"/>
      <c r="I1557" s="23" t="str">
        <f>_xlfn.IFNA(VLOOKUP(A1557,A1558:$H$3524,8,0),"")</f>
        <v/>
      </c>
      <c r="J1557" s="40" t="str">
        <f t="shared" si="129"/>
        <v/>
      </c>
      <c r="K1557" s="24" t="str">
        <f t="shared" si="125"/>
        <v/>
      </c>
      <c r="L1557" s="25" t="str">
        <f t="shared" si="126"/>
        <v/>
      </c>
      <c r="M1557" s="37"/>
      <c r="N1557" s="37"/>
      <c r="O1557" s="33" t="str">
        <f t="shared" si="127"/>
        <v/>
      </c>
      <c r="P1557" s="33" t="str">
        <f t="shared" si="128"/>
        <v/>
      </c>
      <c r="X1557" s="1"/>
    </row>
    <row r="1558" spans="7:24">
      <c r="G1558" s="21"/>
      <c r="H1558" s="23"/>
      <c r="I1558" s="23" t="str">
        <f>_xlfn.IFNA(VLOOKUP(A1558,A1559:$H$3524,8,0),"")</f>
        <v/>
      </c>
      <c r="J1558" s="40" t="str">
        <f t="shared" si="129"/>
        <v/>
      </c>
      <c r="K1558" s="24" t="str">
        <f t="shared" ref="K1558:K1621" si="130">IF(H1558="","",IFERROR((I1558-H1558)*24,0))</f>
        <v/>
      </c>
      <c r="L1558" s="25" t="str">
        <f t="shared" si="126"/>
        <v/>
      </c>
      <c r="M1558" s="37"/>
      <c r="N1558" s="37"/>
      <c r="O1558" s="33" t="str">
        <f t="shared" si="127"/>
        <v/>
      </c>
      <c r="P1558" s="33" t="str">
        <f t="shared" si="128"/>
        <v/>
      </c>
      <c r="X1558" s="1"/>
    </row>
    <row r="1559" spans="7:24">
      <c r="G1559" s="21"/>
      <c r="H1559" s="23"/>
      <c r="I1559" s="23" t="str">
        <f>_xlfn.IFNA(VLOOKUP(A1559,A1560:$H$3524,8,0),"")</f>
        <v/>
      </c>
      <c r="J1559" s="40" t="str">
        <f t="shared" si="129"/>
        <v/>
      </c>
      <c r="K1559" s="24" t="str">
        <f t="shared" si="130"/>
        <v/>
      </c>
      <c r="L1559" s="25" t="str">
        <f t="shared" si="126"/>
        <v/>
      </c>
      <c r="M1559" s="37"/>
      <c r="N1559" s="37"/>
      <c r="O1559" s="33" t="str">
        <f t="shared" si="127"/>
        <v/>
      </c>
      <c r="P1559" s="33" t="str">
        <f t="shared" si="128"/>
        <v/>
      </c>
      <c r="X1559" s="1"/>
    </row>
    <row r="1560" spans="7:24">
      <c r="G1560" s="21"/>
      <c r="H1560" s="23"/>
      <c r="I1560" s="23" t="str">
        <f>_xlfn.IFNA(VLOOKUP(A1560,A1561:$H$3524,8,0),"")</f>
        <v/>
      </c>
      <c r="J1560" s="40" t="str">
        <f t="shared" si="129"/>
        <v/>
      </c>
      <c r="K1560" s="24" t="str">
        <f t="shared" si="130"/>
        <v/>
      </c>
      <c r="L1560" s="25" t="str">
        <f t="shared" si="126"/>
        <v/>
      </c>
      <c r="M1560" s="37"/>
      <c r="N1560" s="37"/>
      <c r="O1560" s="33" t="str">
        <f t="shared" si="127"/>
        <v/>
      </c>
      <c r="P1560" s="33" t="str">
        <f t="shared" si="128"/>
        <v/>
      </c>
      <c r="X1560" s="1"/>
    </row>
    <row r="1561" spans="7:24">
      <c r="G1561" s="21"/>
      <c r="H1561" s="23"/>
      <c r="I1561" s="23" t="str">
        <f>_xlfn.IFNA(VLOOKUP(A1561,A1562:$H$3524,8,0),"")</f>
        <v/>
      </c>
      <c r="J1561" s="40" t="str">
        <f t="shared" si="129"/>
        <v/>
      </c>
      <c r="K1561" s="24" t="str">
        <f t="shared" si="130"/>
        <v/>
      </c>
      <c r="L1561" s="25" t="str">
        <f t="shared" si="126"/>
        <v/>
      </c>
      <c r="M1561" s="37"/>
      <c r="N1561" s="37"/>
      <c r="O1561" s="33" t="str">
        <f t="shared" si="127"/>
        <v/>
      </c>
      <c r="P1561" s="33" t="str">
        <f t="shared" si="128"/>
        <v/>
      </c>
      <c r="X1561" s="1"/>
    </row>
    <row r="1562" spans="7:24">
      <c r="G1562" s="21"/>
      <c r="H1562" s="23"/>
      <c r="I1562" s="23" t="str">
        <f>_xlfn.IFNA(VLOOKUP(A1562,A1563:$H$3524,8,0),"")</f>
        <v/>
      </c>
      <c r="J1562" s="40" t="str">
        <f t="shared" si="129"/>
        <v/>
      </c>
      <c r="K1562" s="24" t="str">
        <f t="shared" si="130"/>
        <v/>
      </c>
      <c r="L1562" s="25" t="str">
        <f t="shared" si="126"/>
        <v/>
      </c>
      <c r="M1562" s="37"/>
      <c r="N1562" s="37"/>
      <c r="O1562" s="33" t="str">
        <f t="shared" si="127"/>
        <v/>
      </c>
      <c r="P1562" s="33" t="str">
        <f t="shared" si="128"/>
        <v/>
      </c>
      <c r="X1562" s="1"/>
    </row>
    <row r="1563" spans="7:24">
      <c r="G1563" s="21"/>
      <c r="H1563" s="23"/>
      <c r="I1563" s="23" t="str">
        <f>_xlfn.IFNA(VLOOKUP(A1563,A1564:$H$3524,8,0),"")</f>
        <v/>
      </c>
      <c r="J1563" s="40" t="str">
        <f t="shared" si="129"/>
        <v/>
      </c>
      <c r="K1563" s="24" t="str">
        <f t="shared" si="130"/>
        <v/>
      </c>
      <c r="L1563" s="25" t="str">
        <f t="shared" si="126"/>
        <v/>
      </c>
      <c r="M1563" s="37"/>
      <c r="N1563" s="37"/>
      <c r="O1563" s="33" t="str">
        <f t="shared" si="127"/>
        <v/>
      </c>
      <c r="P1563" s="33" t="str">
        <f t="shared" si="128"/>
        <v/>
      </c>
      <c r="X1563" s="1"/>
    </row>
    <row r="1564" spans="7:24">
      <c r="G1564" s="21"/>
      <c r="H1564" s="23"/>
      <c r="I1564" s="23" t="str">
        <f>_xlfn.IFNA(VLOOKUP(A1564,A1565:$H$3524,8,0),"")</f>
        <v/>
      </c>
      <c r="J1564" s="40" t="str">
        <f t="shared" si="129"/>
        <v/>
      </c>
      <c r="K1564" s="24" t="str">
        <f t="shared" si="130"/>
        <v/>
      </c>
      <c r="L1564" s="25" t="str">
        <f t="shared" si="126"/>
        <v/>
      </c>
      <c r="M1564" s="37"/>
      <c r="N1564" s="37"/>
      <c r="O1564" s="33" t="str">
        <f t="shared" si="127"/>
        <v/>
      </c>
      <c r="P1564" s="33" t="str">
        <f t="shared" si="128"/>
        <v/>
      </c>
      <c r="X1564" s="1"/>
    </row>
    <row r="1565" spans="7:24">
      <c r="G1565" s="21"/>
      <c r="H1565" s="23"/>
      <c r="I1565" s="23" t="str">
        <f>_xlfn.IFNA(VLOOKUP(A1565,A1566:$H$3524,8,0),"")</f>
        <v/>
      </c>
      <c r="J1565" s="40" t="str">
        <f t="shared" si="129"/>
        <v/>
      </c>
      <c r="K1565" s="24" t="str">
        <f t="shared" si="130"/>
        <v/>
      </c>
      <c r="L1565" s="25" t="str">
        <f t="shared" si="126"/>
        <v/>
      </c>
      <c r="M1565" s="37"/>
      <c r="N1565" s="37"/>
      <c r="O1565" s="33" t="str">
        <f t="shared" si="127"/>
        <v/>
      </c>
      <c r="P1565" s="33" t="str">
        <f t="shared" si="128"/>
        <v/>
      </c>
      <c r="X1565" s="1"/>
    </row>
    <row r="1566" spans="7:24">
      <c r="G1566" s="21"/>
      <c r="H1566" s="23"/>
      <c r="I1566" s="23" t="str">
        <f>_xlfn.IFNA(VLOOKUP(A1566,A1567:$H$3524,8,0),"")</f>
        <v/>
      </c>
      <c r="J1566" s="40" t="str">
        <f t="shared" si="129"/>
        <v/>
      </c>
      <c r="K1566" s="24" t="str">
        <f t="shared" si="130"/>
        <v/>
      </c>
      <c r="L1566" s="25" t="str">
        <f t="shared" si="126"/>
        <v/>
      </c>
      <c r="M1566" s="37"/>
      <c r="N1566" s="37"/>
      <c r="O1566" s="33" t="str">
        <f t="shared" si="127"/>
        <v/>
      </c>
      <c r="P1566" s="33" t="str">
        <f t="shared" si="128"/>
        <v/>
      </c>
      <c r="X1566" s="1"/>
    </row>
    <row r="1567" spans="7:24">
      <c r="G1567" s="21"/>
      <c r="H1567" s="23"/>
      <c r="I1567" s="23" t="str">
        <f>_xlfn.IFNA(VLOOKUP(A1567,A1568:$H$3524,8,0),"")</f>
        <v/>
      </c>
      <c r="J1567" s="40" t="str">
        <f t="shared" si="129"/>
        <v/>
      </c>
      <c r="K1567" s="24" t="str">
        <f t="shared" si="130"/>
        <v/>
      </c>
      <c r="L1567" s="25" t="str">
        <f t="shared" si="126"/>
        <v/>
      </c>
      <c r="M1567" s="37"/>
      <c r="N1567" s="37"/>
      <c r="O1567" s="33" t="str">
        <f t="shared" si="127"/>
        <v/>
      </c>
      <c r="P1567" s="33" t="str">
        <f t="shared" si="128"/>
        <v/>
      </c>
      <c r="X1567" s="1"/>
    </row>
    <row r="1568" spans="7:24">
      <c r="G1568" s="21"/>
      <c r="H1568" s="23"/>
      <c r="I1568" s="23" t="str">
        <f>_xlfn.IFNA(VLOOKUP(A1568,A1569:$H$3524,8,0),"")</f>
        <v/>
      </c>
      <c r="J1568" s="40" t="str">
        <f t="shared" si="129"/>
        <v/>
      </c>
      <c r="K1568" s="24" t="str">
        <f t="shared" si="130"/>
        <v/>
      </c>
      <c r="L1568" s="25" t="str">
        <f t="shared" si="126"/>
        <v/>
      </c>
      <c r="M1568" s="37"/>
      <c r="N1568" s="37"/>
      <c r="O1568" s="33" t="str">
        <f t="shared" si="127"/>
        <v/>
      </c>
      <c r="P1568" s="33" t="str">
        <f t="shared" si="128"/>
        <v/>
      </c>
      <c r="X1568" s="1"/>
    </row>
    <row r="1569" spans="7:24">
      <c r="G1569" s="21"/>
      <c r="H1569" s="23"/>
      <c r="I1569" s="23" t="str">
        <f>_xlfn.IFNA(VLOOKUP(A1569,A1570:$H$3524,8,0),"")</f>
        <v/>
      </c>
      <c r="J1569" s="40" t="str">
        <f t="shared" si="129"/>
        <v/>
      </c>
      <c r="K1569" s="24" t="str">
        <f t="shared" si="130"/>
        <v/>
      </c>
      <c r="L1569" s="25" t="str">
        <f t="shared" si="126"/>
        <v/>
      </c>
      <c r="M1569" s="37"/>
      <c r="N1569" s="37"/>
      <c r="O1569" s="33" t="str">
        <f t="shared" si="127"/>
        <v/>
      </c>
      <c r="P1569" s="33" t="str">
        <f t="shared" si="128"/>
        <v/>
      </c>
      <c r="X1569" s="1"/>
    </row>
    <row r="1570" spans="7:24">
      <c r="G1570" s="21"/>
      <c r="H1570" s="23"/>
      <c r="I1570" s="23" t="str">
        <f>_xlfn.IFNA(VLOOKUP(A1570,A1571:$H$3524,8,0),"")</f>
        <v/>
      </c>
      <c r="J1570" s="40" t="str">
        <f t="shared" si="129"/>
        <v/>
      </c>
      <c r="K1570" s="24" t="str">
        <f t="shared" si="130"/>
        <v/>
      </c>
      <c r="L1570" s="25" t="str">
        <f t="shared" si="126"/>
        <v/>
      </c>
      <c r="M1570" s="37"/>
      <c r="N1570" s="37"/>
      <c r="O1570" s="33" t="str">
        <f t="shared" si="127"/>
        <v/>
      </c>
      <c r="P1570" s="33" t="str">
        <f t="shared" si="128"/>
        <v/>
      </c>
      <c r="X1570" s="1"/>
    </row>
    <row r="1571" spans="7:24">
      <c r="G1571" s="21"/>
      <c r="H1571" s="23"/>
      <c r="I1571" s="23" t="str">
        <f>_xlfn.IFNA(VLOOKUP(A1571,A1572:$H$3524,8,0),"")</f>
        <v/>
      </c>
      <c r="J1571" s="40" t="str">
        <f t="shared" si="129"/>
        <v/>
      </c>
      <c r="K1571" s="24" t="str">
        <f t="shared" si="130"/>
        <v/>
      </c>
      <c r="L1571" s="25" t="str">
        <f t="shared" si="126"/>
        <v/>
      </c>
      <c r="M1571" s="37"/>
      <c r="N1571" s="37"/>
      <c r="O1571" s="33" t="str">
        <f t="shared" si="127"/>
        <v/>
      </c>
      <c r="P1571" s="33" t="str">
        <f t="shared" si="128"/>
        <v/>
      </c>
      <c r="X1571" s="1"/>
    </row>
    <row r="1572" spans="7:24">
      <c r="G1572" s="21"/>
      <c r="H1572" s="23"/>
      <c r="I1572" s="23" t="str">
        <f>_xlfn.IFNA(VLOOKUP(A1572,A1573:$H$3524,8,0),"")</f>
        <v/>
      </c>
      <c r="J1572" s="40" t="str">
        <f t="shared" si="129"/>
        <v/>
      </c>
      <c r="K1572" s="24" t="str">
        <f t="shared" si="130"/>
        <v/>
      </c>
      <c r="L1572" s="25" t="str">
        <f t="shared" si="126"/>
        <v/>
      </c>
      <c r="M1572" s="37"/>
      <c r="N1572" s="37"/>
      <c r="O1572" s="33" t="str">
        <f t="shared" si="127"/>
        <v/>
      </c>
      <c r="P1572" s="33" t="str">
        <f t="shared" si="128"/>
        <v/>
      </c>
      <c r="X1572" s="1"/>
    </row>
    <row r="1573" spans="7:24">
      <c r="G1573" s="21"/>
      <c r="H1573" s="23"/>
      <c r="I1573" s="23" t="str">
        <f>_xlfn.IFNA(VLOOKUP(A1573,A1574:$H$3524,8,0),"")</f>
        <v/>
      </c>
      <c r="J1573" s="40" t="str">
        <f t="shared" si="129"/>
        <v/>
      </c>
      <c r="K1573" s="24" t="str">
        <f t="shared" si="130"/>
        <v/>
      </c>
      <c r="L1573" s="25" t="str">
        <f t="shared" si="126"/>
        <v/>
      </c>
      <c r="M1573" s="37"/>
      <c r="N1573" s="37"/>
      <c r="O1573" s="33" t="str">
        <f t="shared" si="127"/>
        <v/>
      </c>
      <c r="P1573" s="33" t="str">
        <f t="shared" si="128"/>
        <v/>
      </c>
      <c r="X1573" s="1"/>
    </row>
    <row r="1574" spans="7:24">
      <c r="G1574" s="21"/>
      <c r="H1574" s="23"/>
      <c r="I1574" s="23" t="str">
        <f>_xlfn.IFNA(VLOOKUP(A1574,A1575:$H$3524,8,0),"")</f>
        <v/>
      </c>
      <c r="J1574" s="40" t="str">
        <f t="shared" si="129"/>
        <v/>
      </c>
      <c r="K1574" s="24" t="str">
        <f t="shared" si="130"/>
        <v/>
      </c>
      <c r="L1574" s="25" t="str">
        <f t="shared" si="126"/>
        <v/>
      </c>
      <c r="M1574" s="37"/>
      <c r="N1574" s="37"/>
      <c r="O1574" s="33" t="str">
        <f t="shared" si="127"/>
        <v/>
      </c>
      <c r="P1574" s="33" t="str">
        <f t="shared" si="128"/>
        <v/>
      </c>
      <c r="X1574" s="1"/>
    </row>
    <row r="1575" spans="7:24">
      <c r="G1575" s="21"/>
      <c r="H1575" s="23"/>
      <c r="I1575" s="23" t="str">
        <f>_xlfn.IFNA(VLOOKUP(A1575,A1576:$H$3524,8,0),"")</f>
        <v/>
      </c>
      <c r="J1575" s="40" t="str">
        <f t="shared" si="129"/>
        <v/>
      </c>
      <c r="K1575" s="24" t="str">
        <f t="shared" si="130"/>
        <v/>
      </c>
      <c r="L1575" s="25" t="str">
        <f t="shared" si="126"/>
        <v/>
      </c>
      <c r="M1575" s="37"/>
      <c r="N1575" s="37"/>
      <c r="O1575" s="33" t="str">
        <f t="shared" si="127"/>
        <v/>
      </c>
      <c r="P1575" s="33" t="str">
        <f t="shared" si="128"/>
        <v/>
      </c>
      <c r="X1575" s="1"/>
    </row>
    <row r="1576" spans="7:24">
      <c r="G1576" s="21"/>
      <c r="H1576" s="23"/>
      <c r="I1576" s="23" t="str">
        <f>_xlfn.IFNA(VLOOKUP(A1576,A1577:$H$3524,8,0),"")</f>
        <v/>
      </c>
      <c r="J1576" s="40" t="str">
        <f t="shared" si="129"/>
        <v/>
      </c>
      <c r="K1576" s="24" t="str">
        <f t="shared" si="130"/>
        <v/>
      </c>
      <c r="L1576" s="25" t="str">
        <f t="shared" si="126"/>
        <v/>
      </c>
      <c r="M1576" s="37"/>
      <c r="N1576" s="37"/>
      <c r="O1576" s="33" t="str">
        <f t="shared" si="127"/>
        <v/>
      </c>
      <c r="P1576" s="33" t="str">
        <f t="shared" si="128"/>
        <v/>
      </c>
      <c r="X1576" s="1"/>
    </row>
    <row r="1577" spans="7:24">
      <c r="G1577" s="21"/>
      <c r="H1577" s="23"/>
      <c r="I1577" s="23" t="str">
        <f>_xlfn.IFNA(VLOOKUP(A1577,A1578:$H$3524,8,0),"")</f>
        <v/>
      </c>
      <c r="J1577" s="40" t="str">
        <f t="shared" si="129"/>
        <v/>
      </c>
      <c r="K1577" s="24" t="str">
        <f t="shared" si="130"/>
        <v/>
      </c>
      <c r="L1577" s="25" t="str">
        <f t="shared" si="126"/>
        <v/>
      </c>
      <c r="M1577" s="37"/>
      <c r="N1577" s="37"/>
      <c r="O1577" s="33" t="str">
        <f t="shared" si="127"/>
        <v/>
      </c>
      <c r="P1577" s="33" t="str">
        <f t="shared" si="128"/>
        <v/>
      </c>
      <c r="X1577" s="1"/>
    </row>
    <row r="1578" spans="7:24">
      <c r="G1578" s="21"/>
      <c r="H1578" s="23"/>
      <c r="I1578" s="23" t="str">
        <f>_xlfn.IFNA(VLOOKUP(A1578,A1579:$H$3524,8,0),"")</f>
        <v/>
      </c>
      <c r="J1578" s="40" t="str">
        <f t="shared" si="129"/>
        <v/>
      </c>
      <c r="K1578" s="24" t="str">
        <f t="shared" si="130"/>
        <v/>
      </c>
      <c r="L1578" s="25" t="str">
        <f t="shared" si="126"/>
        <v/>
      </c>
      <c r="M1578" s="37"/>
      <c r="N1578" s="37"/>
      <c r="O1578" s="33" t="str">
        <f t="shared" si="127"/>
        <v/>
      </c>
      <c r="P1578" s="33" t="str">
        <f t="shared" si="128"/>
        <v/>
      </c>
      <c r="X1578" s="1"/>
    </row>
    <row r="1579" spans="7:24">
      <c r="G1579" s="21"/>
      <c r="H1579" s="23"/>
      <c r="I1579" s="23" t="str">
        <f>_xlfn.IFNA(VLOOKUP(A1579,A1580:$H$3524,8,0),"")</f>
        <v/>
      </c>
      <c r="J1579" s="40" t="str">
        <f t="shared" si="129"/>
        <v/>
      </c>
      <c r="K1579" s="24" t="str">
        <f t="shared" si="130"/>
        <v/>
      </c>
      <c r="L1579" s="25" t="str">
        <f t="shared" si="126"/>
        <v/>
      </c>
      <c r="M1579" s="37"/>
      <c r="N1579" s="37"/>
      <c r="O1579" s="33" t="str">
        <f t="shared" si="127"/>
        <v/>
      </c>
      <c r="P1579" s="33" t="str">
        <f t="shared" si="128"/>
        <v/>
      </c>
      <c r="X1579" s="1"/>
    </row>
    <row r="1580" spans="7:24">
      <c r="G1580" s="21"/>
      <c r="H1580" s="23"/>
      <c r="I1580" s="23" t="str">
        <f>_xlfn.IFNA(VLOOKUP(A1580,A1581:$H$3524,8,0),"")</f>
        <v/>
      </c>
      <c r="J1580" s="40" t="str">
        <f t="shared" si="129"/>
        <v/>
      </c>
      <c r="K1580" s="24" t="str">
        <f t="shared" si="130"/>
        <v/>
      </c>
      <c r="L1580" s="25" t="str">
        <f t="shared" si="126"/>
        <v/>
      </c>
      <c r="M1580" s="37"/>
      <c r="N1580" s="37"/>
      <c r="O1580" s="33" t="str">
        <f t="shared" si="127"/>
        <v/>
      </c>
      <c r="P1580" s="33" t="str">
        <f t="shared" si="128"/>
        <v/>
      </c>
      <c r="X1580" s="1"/>
    </row>
    <row r="1581" spans="7:24">
      <c r="G1581" s="21"/>
      <c r="H1581" s="23"/>
      <c r="I1581" s="23" t="str">
        <f>_xlfn.IFNA(VLOOKUP(A1581,A1582:$H$3524,8,0),"")</f>
        <v/>
      </c>
      <c r="J1581" s="40" t="str">
        <f t="shared" si="129"/>
        <v/>
      </c>
      <c r="K1581" s="24" t="str">
        <f t="shared" si="130"/>
        <v/>
      </c>
      <c r="L1581" s="25" t="str">
        <f t="shared" si="126"/>
        <v/>
      </c>
      <c r="M1581" s="37"/>
      <c r="N1581" s="37"/>
      <c r="O1581" s="33" t="str">
        <f t="shared" si="127"/>
        <v/>
      </c>
      <c r="P1581" s="33" t="str">
        <f t="shared" si="128"/>
        <v/>
      </c>
      <c r="X1581" s="1"/>
    </row>
    <row r="1582" spans="7:24">
      <c r="G1582" s="21"/>
      <c r="H1582" s="23"/>
      <c r="I1582" s="23" t="str">
        <f>_xlfn.IFNA(VLOOKUP(A1582,A1583:$H$3524,8,0),"")</f>
        <v/>
      </c>
      <c r="J1582" s="40" t="str">
        <f t="shared" si="129"/>
        <v/>
      </c>
      <c r="K1582" s="24" t="str">
        <f t="shared" si="130"/>
        <v/>
      </c>
      <c r="L1582" s="25" t="str">
        <f t="shared" si="126"/>
        <v/>
      </c>
      <c r="M1582" s="37"/>
      <c r="N1582" s="37"/>
      <c r="O1582" s="33" t="str">
        <f t="shared" si="127"/>
        <v/>
      </c>
      <c r="P1582" s="33" t="str">
        <f t="shared" si="128"/>
        <v/>
      </c>
      <c r="X1582" s="1"/>
    </row>
    <row r="1583" spans="7:24">
      <c r="G1583" s="21"/>
      <c r="H1583" s="23"/>
      <c r="I1583" s="23" t="str">
        <f>_xlfn.IFNA(VLOOKUP(A1583,A1584:$H$3524,8,0),"")</f>
        <v/>
      </c>
      <c r="J1583" s="40" t="str">
        <f t="shared" si="129"/>
        <v/>
      </c>
      <c r="K1583" s="24" t="str">
        <f t="shared" si="130"/>
        <v/>
      </c>
      <c r="L1583" s="25" t="str">
        <f t="shared" si="126"/>
        <v/>
      </c>
      <c r="M1583" s="37"/>
      <c r="N1583" s="37"/>
      <c r="O1583" s="33" t="str">
        <f t="shared" si="127"/>
        <v/>
      </c>
      <c r="P1583" s="33" t="str">
        <f t="shared" si="128"/>
        <v/>
      </c>
      <c r="X1583" s="1"/>
    </row>
    <row r="1584" spans="7:24">
      <c r="G1584" s="21"/>
      <c r="H1584" s="23"/>
      <c r="I1584" s="23" t="str">
        <f>_xlfn.IFNA(VLOOKUP(A1584,A1585:$H$3524,8,0),"")</f>
        <v/>
      </c>
      <c r="J1584" s="40" t="str">
        <f t="shared" si="129"/>
        <v/>
      </c>
      <c r="K1584" s="24" t="str">
        <f t="shared" si="130"/>
        <v/>
      </c>
      <c r="L1584" s="25" t="str">
        <f t="shared" si="126"/>
        <v/>
      </c>
      <c r="M1584" s="37"/>
      <c r="N1584" s="37"/>
      <c r="O1584" s="33" t="str">
        <f t="shared" si="127"/>
        <v/>
      </c>
      <c r="P1584" s="33" t="str">
        <f t="shared" si="128"/>
        <v/>
      </c>
      <c r="X1584" s="1"/>
    </row>
    <row r="1585" spans="7:24">
      <c r="G1585" s="21"/>
      <c r="H1585" s="23"/>
      <c r="I1585" s="23" t="str">
        <f>_xlfn.IFNA(VLOOKUP(A1585,A1586:$H$3524,8,0),"")</f>
        <v/>
      </c>
      <c r="J1585" s="40" t="str">
        <f t="shared" si="129"/>
        <v/>
      </c>
      <c r="K1585" s="24" t="str">
        <f t="shared" si="130"/>
        <v/>
      </c>
      <c r="L1585" s="25" t="str">
        <f t="shared" si="126"/>
        <v/>
      </c>
      <c r="M1585" s="37"/>
      <c r="N1585" s="37"/>
      <c r="O1585" s="33" t="str">
        <f t="shared" si="127"/>
        <v/>
      </c>
      <c r="P1585" s="33" t="str">
        <f t="shared" si="128"/>
        <v/>
      </c>
      <c r="X1585" s="1"/>
    </row>
    <row r="1586" spans="7:24">
      <c r="G1586" s="21"/>
      <c r="H1586" s="23"/>
      <c r="I1586" s="23" t="str">
        <f>_xlfn.IFNA(VLOOKUP(A1586,A1587:$H$3524,8,0),"")</f>
        <v/>
      </c>
      <c r="J1586" s="40" t="str">
        <f t="shared" si="129"/>
        <v/>
      </c>
      <c r="K1586" s="24" t="str">
        <f t="shared" si="130"/>
        <v/>
      </c>
      <c r="L1586" s="25" t="str">
        <f t="shared" si="126"/>
        <v/>
      </c>
      <c r="M1586" s="37"/>
      <c r="N1586" s="37"/>
      <c r="O1586" s="33" t="str">
        <f t="shared" si="127"/>
        <v/>
      </c>
      <c r="P1586" s="33" t="str">
        <f t="shared" si="128"/>
        <v/>
      </c>
      <c r="X1586" s="1"/>
    </row>
    <row r="1587" spans="7:24">
      <c r="G1587" s="21"/>
      <c r="H1587" s="23"/>
      <c r="I1587" s="23" t="str">
        <f>_xlfn.IFNA(VLOOKUP(A1587,A1588:$H$3524,8,0),"")</f>
        <v/>
      </c>
      <c r="J1587" s="40" t="str">
        <f t="shared" si="129"/>
        <v/>
      </c>
      <c r="K1587" s="24" t="str">
        <f t="shared" si="130"/>
        <v/>
      </c>
      <c r="L1587" s="25" t="str">
        <f t="shared" si="126"/>
        <v/>
      </c>
      <c r="M1587" s="37"/>
      <c r="N1587" s="37"/>
      <c r="O1587" s="33" t="str">
        <f t="shared" si="127"/>
        <v/>
      </c>
      <c r="P1587" s="33" t="str">
        <f t="shared" si="128"/>
        <v/>
      </c>
      <c r="X1587" s="1"/>
    </row>
    <row r="1588" spans="7:24">
      <c r="G1588" s="21"/>
      <c r="H1588" s="23"/>
      <c r="I1588" s="23" t="str">
        <f>_xlfn.IFNA(VLOOKUP(A1588,A1589:$H$3524,8,0),"")</f>
        <v/>
      </c>
      <c r="J1588" s="40" t="str">
        <f t="shared" si="129"/>
        <v/>
      </c>
      <c r="K1588" s="24" t="str">
        <f t="shared" si="130"/>
        <v/>
      </c>
      <c r="L1588" s="25" t="str">
        <f t="shared" si="126"/>
        <v/>
      </c>
      <c r="M1588" s="37"/>
      <c r="N1588" s="37"/>
      <c r="O1588" s="33" t="str">
        <f t="shared" si="127"/>
        <v/>
      </c>
      <c r="P1588" s="33" t="str">
        <f t="shared" si="128"/>
        <v/>
      </c>
      <c r="X1588" s="1"/>
    </row>
    <row r="1589" spans="7:24">
      <c r="G1589" s="21"/>
      <c r="H1589" s="23"/>
      <c r="I1589" s="23" t="str">
        <f>_xlfn.IFNA(VLOOKUP(A1589,A1590:$H$3524,8,0),"")</f>
        <v/>
      </c>
      <c r="J1589" s="40" t="str">
        <f t="shared" si="129"/>
        <v/>
      </c>
      <c r="K1589" s="24" t="str">
        <f t="shared" si="130"/>
        <v/>
      </c>
      <c r="L1589" s="25" t="str">
        <f t="shared" si="126"/>
        <v/>
      </c>
      <c r="M1589" s="37"/>
      <c r="N1589" s="37"/>
      <c r="O1589" s="33" t="str">
        <f t="shared" si="127"/>
        <v/>
      </c>
      <c r="P1589" s="33" t="str">
        <f t="shared" si="128"/>
        <v/>
      </c>
      <c r="X1589" s="1"/>
    </row>
    <row r="1590" spans="7:24">
      <c r="G1590" s="21"/>
      <c r="H1590" s="23"/>
      <c r="I1590" s="23" t="str">
        <f>_xlfn.IFNA(VLOOKUP(A1590,A1591:$H$3524,8,0),"")</f>
        <v/>
      </c>
      <c r="J1590" s="40" t="str">
        <f t="shared" si="129"/>
        <v/>
      </c>
      <c r="K1590" s="24" t="str">
        <f t="shared" si="130"/>
        <v/>
      </c>
      <c r="L1590" s="25" t="str">
        <f t="shared" si="126"/>
        <v/>
      </c>
      <c r="M1590" s="37"/>
      <c r="N1590" s="37"/>
      <c r="O1590" s="33" t="str">
        <f t="shared" si="127"/>
        <v/>
      </c>
      <c r="P1590" s="33" t="str">
        <f t="shared" si="128"/>
        <v/>
      </c>
      <c r="X1590" s="1"/>
    </row>
    <row r="1591" spans="7:24">
      <c r="G1591" s="21"/>
      <c r="H1591" s="23"/>
      <c r="I1591" s="23" t="str">
        <f>_xlfn.IFNA(VLOOKUP(A1591,A1592:$H$3524,8,0),"")</f>
        <v/>
      </c>
      <c r="J1591" s="40" t="str">
        <f t="shared" si="129"/>
        <v/>
      </c>
      <c r="K1591" s="24" t="str">
        <f t="shared" si="130"/>
        <v/>
      </c>
      <c r="L1591" s="25" t="str">
        <f t="shared" ref="L1591:L1654" si="131">IF(K1591="","",IF(B1591="Break","Break",IF(K1591&lt;&gt;0,"Work Finished",IF(B1591="OFF","Work Finished",IF(I1591="","Working","Work Finished")))))</f>
        <v/>
      </c>
      <c r="M1591" s="37"/>
      <c r="N1591" s="37"/>
      <c r="O1591" s="33" t="str">
        <f t="shared" ref="O1591:O1654" si="132">IF(AND(J1591="",M1591="",N1591=""),"",J1591-M1591-N1591)</f>
        <v/>
      </c>
      <c r="P1591" s="33" t="str">
        <f t="shared" ref="P1591:P1654" si="133">IF(HOUR(H1591)=0,"",HOUR(H1591))</f>
        <v/>
      </c>
      <c r="X1591" s="1"/>
    </row>
    <row r="1592" spans="7:24">
      <c r="G1592" s="21"/>
      <c r="H1592" s="23"/>
      <c r="I1592" s="23" t="str">
        <f>_xlfn.IFNA(VLOOKUP(A1592,A1593:$H$3524,8,0),"")</f>
        <v/>
      </c>
      <c r="J1592" s="40" t="str">
        <f t="shared" si="129"/>
        <v/>
      </c>
      <c r="K1592" s="24" t="str">
        <f t="shared" si="130"/>
        <v/>
      </c>
      <c r="L1592" s="25" t="str">
        <f t="shared" si="131"/>
        <v/>
      </c>
      <c r="M1592" s="37"/>
      <c r="N1592" s="37"/>
      <c r="O1592" s="33" t="str">
        <f t="shared" si="132"/>
        <v/>
      </c>
      <c r="P1592" s="33" t="str">
        <f t="shared" si="133"/>
        <v/>
      </c>
      <c r="X1592" s="1"/>
    </row>
    <row r="1593" spans="7:24">
      <c r="G1593" s="21"/>
      <c r="H1593" s="23"/>
      <c r="I1593" s="23" t="str">
        <f>_xlfn.IFNA(VLOOKUP(A1593,A1594:$H$3524,8,0),"")</f>
        <v/>
      </c>
      <c r="J1593" s="40" t="str">
        <f t="shared" si="129"/>
        <v/>
      </c>
      <c r="K1593" s="24" t="str">
        <f t="shared" si="130"/>
        <v/>
      </c>
      <c r="L1593" s="25" t="str">
        <f t="shared" si="131"/>
        <v/>
      </c>
      <c r="M1593" s="37"/>
      <c r="N1593" s="37"/>
      <c r="O1593" s="33" t="str">
        <f t="shared" si="132"/>
        <v/>
      </c>
      <c r="P1593" s="33" t="str">
        <f t="shared" si="133"/>
        <v/>
      </c>
      <c r="X1593" s="1"/>
    </row>
    <row r="1594" spans="7:24">
      <c r="G1594" s="21"/>
      <c r="H1594" s="23"/>
      <c r="I1594" s="23" t="str">
        <f>_xlfn.IFNA(VLOOKUP(A1594,A1595:$H$3524,8,0),"")</f>
        <v/>
      </c>
      <c r="J1594" s="40" t="str">
        <f t="shared" si="129"/>
        <v/>
      </c>
      <c r="K1594" s="24" t="str">
        <f t="shared" si="130"/>
        <v/>
      </c>
      <c r="L1594" s="25" t="str">
        <f t="shared" si="131"/>
        <v/>
      </c>
      <c r="M1594" s="37"/>
      <c r="N1594" s="37"/>
      <c r="O1594" s="33" t="str">
        <f t="shared" si="132"/>
        <v/>
      </c>
      <c r="P1594" s="33" t="str">
        <f t="shared" si="133"/>
        <v/>
      </c>
      <c r="X1594" s="1"/>
    </row>
    <row r="1595" spans="7:24">
      <c r="G1595" s="21"/>
      <c r="H1595" s="23"/>
      <c r="I1595" s="23" t="str">
        <f>_xlfn.IFNA(VLOOKUP(A1595,A1596:$H$3524,8,0),"")</f>
        <v/>
      </c>
      <c r="J1595" s="40" t="str">
        <f t="shared" si="129"/>
        <v/>
      </c>
      <c r="K1595" s="24" t="str">
        <f t="shared" si="130"/>
        <v/>
      </c>
      <c r="L1595" s="25" t="str">
        <f t="shared" si="131"/>
        <v/>
      </c>
      <c r="M1595" s="37"/>
      <c r="N1595" s="37"/>
      <c r="O1595" s="33" t="str">
        <f t="shared" si="132"/>
        <v/>
      </c>
      <c r="P1595" s="33" t="str">
        <f t="shared" si="133"/>
        <v/>
      </c>
      <c r="X1595" s="1"/>
    </row>
    <row r="1596" spans="7:24">
      <c r="G1596" s="21"/>
      <c r="H1596" s="23"/>
      <c r="I1596" s="23" t="str">
        <f>_xlfn.IFNA(VLOOKUP(A1596,A1597:$H$3524,8,0),"")</f>
        <v/>
      </c>
      <c r="J1596" s="40" t="str">
        <f t="shared" si="129"/>
        <v/>
      </c>
      <c r="K1596" s="24" t="str">
        <f t="shared" si="130"/>
        <v/>
      </c>
      <c r="L1596" s="25" t="str">
        <f t="shared" si="131"/>
        <v/>
      </c>
      <c r="M1596" s="37"/>
      <c r="N1596" s="37"/>
      <c r="O1596" s="33" t="str">
        <f t="shared" si="132"/>
        <v/>
      </c>
      <c r="P1596" s="33" t="str">
        <f t="shared" si="133"/>
        <v/>
      </c>
      <c r="X1596" s="1"/>
    </row>
    <row r="1597" spans="7:24">
      <c r="G1597" s="21"/>
      <c r="H1597" s="23"/>
      <c r="I1597" s="23" t="str">
        <f>_xlfn.IFNA(VLOOKUP(A1597,A1598:$H$3524,8,0),"")</f>
        <v/>
      </c>
      <c r="J1597" s="40" t="str">
        <f t="shared" si="129"/>
        <v/>
      </c>
      <c r="K1597" s="24" t="str">
        <f t="shared" si="130"/>
        <v/>
      </c>
      <c r="L1597" s="25" t="str">
        <f t="shared" si="131"/>
        <v/>
      </c>
      <c r="M1597" s="37"/>
      <c r="N1597" s="37"/>
      <c r="O1597" s="33" t="str">
        <f t="shared" si="132"/>
        <v/>
      </c>
      <c r="P1597" s="33" t="str">
        <f t="shared" si="133"/>
        <v/>
      </c>
      <c r="X1597" s="1"/>
    </row>
    <row r="1598" spans="7:24">
      <c r="G1598" s="21"/>
      <c r="H1598" s="23"/>
      <c r="I1598" s="23" t="str">
        <f>_xlfn.IFNA(VLOOKUP(A1598,A1599:$H$3524,8,0),"")</f>
        <v/>
      </c>
      <c r="J1598" s="40" t="str">
        <f t="shared" si="129"/>
        <v/>
      </c>
      <c r="K1598" s="24" t="str">
        <f t="shared" si="130"/>
        <v/>
      </c>
      <c r="L1598" s="25" t="str">
        <f t="shared" si="131"/>
        <v/>
      </c>
      <c r="M1598" s="37"/>
      <c r="N1598" s="37"/>
      <c r="O1598" s="33" t="str">
        <f t="shared" si="132"/>
        <v/>
      </c>
      <c r="P1598" s="33" t="str">
        <f t="shared" si="133"/>
        <v/>
      </c>
      <c r="X1598" s="1"/>
    </row>
    <row r="1599" spans="7:24">
      <c r="G1599" s="21"/>
      <c r="H1599" s="23"/>
      <c r="I1599" s="23" t="str">
        <f>_xlfn.IFNA(VLOOKUP(A1599,A1600:$H$3524,8,0),"")</f>
        <v/>
      </c>
      <c r="J1599" s="40" t="str">
        <f t="shared" si="129"/>
        <v/>
      </c>
      <c r="K1599" s="24" t="str">
        <f t="shared" si="130"/>
        <v/>
      </c>
      <c r="L1599" s="25" t="str">
        <f t="shared" si="131"/>
        <v/>
      </c>
      <c r="M1599" s="37"/>
      <c r="N1599" s="37"/>
      <c r="O1599" s="33" t="str">
        <f t="shared" si="132"/>
        <v/>
      </c>
      <c r="P1599" s="33" t="str">
        <f t="shared" si="133"/>
        <v/>
      </c>
      <c r="X1599" s="1"/>
    </row>
    <row r="1600" spans="7:24">
      <c r="G1600" s="21"/>
      <c r="H1600" s="23"/>
      <c r="I1600" s="23" t="str">
        <f>_xlfn.IFNA(VLOOKUP(A1600,A1601:$H$3524,8,0),"")</f>
        <v/>
      </c>
      <c r="J1600" s="40" t="str">
        <f t="shared" si="129"/>
        <v/>
      </c>
      <c r="K1600" s="24" t="str">
        <f t="shared" si="130"/>
        <v/>
      </c>
      <c r="L1600" s="25" t="str">
        <f t="shared" si="131"/>
        <v/>
      </c>
      <c r="M1600" s="37"/>
      <c r="N1600" s="37"/>
      <c r="O1600" s="33" t="str">
        <f t="shared" si="132"/>
        <v/>
      </c>
      <c r="P1600" s="33" t="str">
        <f t="shared" si="133"/>
        <v/>
      </c>
      <c r="X1600" s="1"/>
    </row>
    <row r="1601" spans="7:24">
      <c r="G1601" s="21"/>
      <c r="H1601" s="23"/>
      <c r="I1601" s="23" t="str">
        <f>_xlfn.IFNA(VLOOKUP(A1601,A1602:$H$3524,8,0),"")</f>
        <v/>
      </c>
      <c r="J1601" s="40" t="str">
        <f t="shared" si="129"/>
        <v/>
      </c>
      <c r="K1601" s="24" t="str">
        <f t="shared" si="130"/>
        <v/>
      </c>
      <c r="L1601" s="25" t="str">
        <f t="shared" si="131"/>
        <v/>
      </c>
      <c r="M1601" s="37"/>
      <c r="N1601" s="37"/>
      <c r="O1601" s="33" t="str">
        <f t="shared" si="132"/>
        <v/>
      </c>
      <c r="P1601" s="33" t="str">
        <f t="shared" si="133"/>
        <v/>
      </c>
      <c r="X1601" s="1"/>
    </row>
    <row r="1602" spans="7:24">
      <c r="G1602" s="21"/>
      <c r="H1602" s="23"/>
      <c r="I1602" s="23" t="str">
        <f>_xlfn.IFNA(VLOOKUP(A1602,A1603:$H$3524,8,0),"")</f>
        <v/>
      </c>
      <c r="J1602" s="40" t="str">
        <f t="shared" si="129"/>
        <v/>
      </c>
      <c r="K1602" s="24" t="str">
        <f t="shared" si="130"/>
        <v/>
      </c>
      <c r="L1602" s="25" t="str">
        <f t="shared" si="131"/>
        <v/>
      </c>
      <c r="M1602" s="37"/>
      <c r="N1602" s="37"/>
      <c r="O1602" s="33" t="str">
        <f t="shared" si="132"/>
        <v/>
      </c>
      <c r="P1602" s="33" t="str">
        <f t="shared" si="133"/>
        <v/>
      </c>
      <c r="X1602" s="1"/>
    </row>
    <row r="1603" spans="7:24">
      <c r="G1603" s="21"/>
      <c r="H1603" s="23"/>
      <c r="I1603" s="23" t="str">
        <f>_xlfn.IFNA(VLOOKUP(A1603,A1604:$H$3524,8,0),"")</f>
        <v/>
      </c>
      <c r="J1603" s="40" t="str">
        <f t="shared" si="129"/>
        <v/>
      </c>
      <c r="K1603" s="24" t="str">
        <f t="shared" si="130"/>
        <v/>
      </c>
      <c r="L1603" s="25" t="str">
        <f t="shared" si="131"/>
        <v/>
      </c>
      <c r="M1603" s="37"/>
      <c r="N1603" s="37"/>
      <c r="O1603" s="33" t="str">
        <f t="shared" si="132"/>
        <v/>
      </c>
      <c r="P1603" s="33" t="str">
        <f t="shared" si="133"/>
        <v/>
      </c>
      <c r="X1603" s="1"/>
    </row>
    <row r="1604" spans="7:24">
      <c r="G1604" s="21"/>
      <c r="H1604" s="23"/>
      <c r="I1604" s="23" t="str">
        <f>_xlfn.IFNA(VLOOKUP(A1604,A1605:$H$3524,8,0),"")</f>
        <v/>
      </c>
      <c r="J1604" s="40" t="str">
        <f t="shared" si="129"/>
        <v/>
      </c>
      <c r="K1604" s="24" t="str">
        <f t="shared" si="130"/>
        <v/>
      </c>
      <c r="L1604" s="25" t="str">
        <f t="shared" si="131"/>
        <v/>
      </c>
      <c r="M1604" s="37"/>
      <c r="N1604" s="37"/>
      <c r="O1604" s="33" t="str">
        <f t="shared" si="132"/>
        <v/>
      </c>
      <c r="P1604" s="33" t="str">
        <f t="shared" si="133"/>
        <v/>
      </c>
      <c r="X1604" s="1"/>
    </row>
    <row r="1605" spans="7:24">
      <c r="G1605" s="21"/>
      <c r="H1605" s="23"/>
      <c r="I1605" s="23" t="str">
        <f>_xlfn.IFNA(VLOOKUP(A1605,A1606:$H$3524,8,0),"")</f>
        <v/>
      </c>
      <c r="J1605" s="40" t="str">
        <f t="shared" si="129"/>
        <v/>
      </c>
      <c r="K1605" s="24" t="str">
        <f t="shared" si="130"/>
        <v/>
      </c>
      <c r="L1605" s="25" t="str">
        <f t="shared" si="131"/>
        <v/>
      </c>
      <c r="M1605" s="37"/>
      <c r="N1605" s="37"/>
      <c r="O1605" s="33" t="str">
        <f t="shared" si="132"/>
        <v/>
      </c>
      <c r="P1605" s="33" t="str">
        <f t="shared" si="133"/>
        <v/>
      </c>
      <c r="X1605" s="1"/>
    </row>
    <row r="1606" spans="7:24">
      <c r="G1606" s="21"/>
      <c r="H1606" s="23"/>
      <c r="I1606" s="23" t="str">
        <f>_xlfn.IFNA(VLOOKUP(A1606,A1607:$H$3524,8,0),"")</f>
        <v/>
      </c>
      <c r="J1606" s="40" t="str">
        <f t="shared" ref="J1606:J1669" si="134">IF(B1606="OFF",0,IF(AND(D1606&lt;&gt;"",E1606&lt;&gt;""),E1606-D1606+1,""))</f>
        <v/>
      </c>
      <c r="K1606" s="24" t="str">
        <f t="shared" si="130"/>
        <v/>
      </c>
      <c r="L1606" s="25" t="str">
        <f t="shared" si="131"/>
        <v/>
      </c>
      <c r="M1606" s="37"/>
      <c r="N1606" s="37"/>
      <c r="O1606" s="33" t="str">
        <f t="shared" si="132"/>
        <v/>
      </c>
      <c r="P1606" s="33" t="str">
        <f t="shared" si="133"/>
        <v/>
      </c>
      <c r="X1606" s="1"/>
    </row>
    <row r="1607" spans="7:24">
      <c r="G1607" s="21"/>
      <c r="H1607" s="23"/>
      <c r="I1607" s="23" t="str">
        <f>_xlfn.IFNA(VLOOKUP(A1607,A1608:$H$3524,8,0),"")</f>
        <v/>
      </c>
      <c r="J1607" s="40" t="str">
        <f t="shared" si="134"/>
        <v/>
      </c>
      <c r="K1607" s="24" t="str">
        <f t="shared" si="130"/>
        <v/>
      </c>
      <c r="L1607" s="25" t="str">
        <f t="shared" si="131"/>
        <v/>
      </c>
      <c r="M1607" s="37"/>
      <c r="N1607" s="37"/>
      <c r="O1607" s="33" t="str">
        <f t="shared" si="132"/>
        <v/>
      </c>
      <c r="P1607" s="33" t="str">
        <f t="shared" si="133"/>
        <v/>
      </c>
      <c r="X1607" s="1"/>
    </row>
    <row r="1608" spans="7:24">
      <c r="G1608" s="21"/>
      <c r="H1608" s="23"/>
      <c r="I1608" s="23" t="str">
        <f>_xlfn.IFNA(VLOOKUP(A1608,A1609:$H$3524,8,0),"")</f>
        <v/>
      </c>
      <c r="J1608" s="40" t="str">
        <f t="shared" si="134"/>
        <v/>
      </c>
      <c r="K1608" s="24" t="str">
        <f t="shared" si="130"/>
        <v/>
      </c>
      <c r="L1608" s="25" t="str">
        <f t="shared" si="131"/>
        <v/>
      </c>
      <c r="M1608" s="37"/>
      <c r="N1608" s="37"/>
      <c r="O1608" s="33" t="str">
        <f t="shared" si="132"/>
        <v/>
      </c>
      <c r="P1608" s="33" t="str">
        <f t="shared" si="133"/>
        <v/>
      </c>
      <c r="X1608" s="1"/>
    </row>
    <row r="1609" spans="7:24">
      <c r="G1609" s="21"/>
      <c r="H1609" s="23"/>
      <c r="I1609" s="23" t="str">
        <f>_xlfn.IFNA(VLOOKUP(A1609,A1610:$H$3524,8,0),"")</f>
        <v/>
      </c>
      <c r="J1609" s="40" t="str">
        <f t="shared" si="134"/>
        <v/>
      </c>
      <c r="K1609" s="24" t="str">
        <f t="shared" si="130"/>
        <v/>
      </c>
      <c r="L1609" s="25" t="str">
        <f t="shared" si="131"/>
        <v/>
      </c>
      <c r="M1609" s="37"/>
      <c r="N1609" s="37"/>
      <c r="O1609" s="33" t="str">
        <f t="shared" si="132"/>
        <v/>
      </c>
      <c r="P1609" s="33" t="str">
        <f t="shared" si="133"/>
        <v/>
      </c>
      <c r="X1609" s="1"/>
    </row>
    <row r="1610" spans="7:24">
      <c r="G1610" s="21"/>
      <c r="H1610" s="23"/>
      <c r="I1610" s="23" t="str">
        <f>_xlfn.IFNA(VLOOKUP(A1610,A1611:$H$3524,8,0),"")</f>
        <v/>
      </c>
      <c r="J1610" s="40" t="str">
        <f t="shared" si="134"/>
        <v/>
      </c>
      <c r="K1610" s="24" t="str">
        <f t="shared" si="130"/>
        <v/>
      </c>
      <c r="L1610" s="25" t="str">
        <f t="shared" si="131"/>
        <v/>
      </c>
      <c r="M1610" s="37"/>
      <c r="N1610" s="37"/>
      <c r="O1610" s="33" t="str">
        <f t="shared" si="132"/>
        <v/>
      </c>
      <c r="P1610" s="33" t="str">
        <f t="shared" si="133"/>
        <v/>
      </c>
      <c r="X1610" s="1"/>
    </row>
    <row r="1611" spans="7:24">
      <c r="G1611" s="21"/>
      <c r="H1611" s="23"/>
      <c r="I1611" s="23" t="str">
        <f>_xlfn.IFNA(VLOOKUP(A1611,A1612:$H$3524,8,0),"")</f>
        <v/>
      </c>
      <c r="J1611" s="40" t="str">
        <f t="shared" si="134"/>
        <v/>
      </c>
      <c r="K1611" s="24" t="str">
        <f t="shared" si="130"/>
        <v/>
      </c>
      <c r="L1611" s="25" t="str">
        <f t="shared" si="131"/>
        <v/>
      </c>
      <c r="M1611" s="37"/>
      <c r="N1611" s="37"/>
      <c r="O1611" s="33" t="str">
        <f t="shared" si="132"/>
        <v/>
      </c>
      <c r="P1611" s="33" t="str">
        <f t="shared" si="133"/>
        <v/>
      </c>
      <c r="X1611" s="1"/>
    </row>
    <row r="1612" spans="7:24">
      <c r="G1612" s="21"/>
      <c r="H1612" s="23"/>
      <c r="I1612" s="23" t="str">
        <f>_xlfn.IFNA(VLOOKUP(A1612,A1613:$H$3524,8,0),"")</f>
        <v/>
      </c>
      <c r="J1612" s="40" t="str">
        <f t="shared" si="134"/>
        <v/>
      </c>
      <c r="K1612" s="24" t="str">
        <f t="shared" si="130"/>
        <v/>
      </c>
      <c r="L1612" s="25" t="str">
        <f t="shared" si="131"/>
        <v/>
      </c>
      <c r="M1612" s="37"/>
      <c r="N1612" s="37"/>
      <c r="O1612" s="33" t="str">
        <f t="shared" si="132"/>
        <v/>
      </c>
      <c r="P1612" s="33" t="str">
        <f t="shared" si="133"/>
        <v/>
      </c>
      <c r="X1612" s="1"/>
    </row>
    <row r="1613" spans="7:24">
      <c r="G1613" s="21"/>
      <c r="H1613" s="23"/>
      <c r="I1613" s="23" t="str">
        <f>_xlfn.IFNA(VLOOKUP(A1613,A1614:$H$3524,8,0),"")</f>
        <v/>
      </c>
      <c r="J1613" s="40" t="str">
        <f t="shared" si="134"/>
        <v/>
      </c>
      <c r="K1613" s="24" t="str">
        <f t="shared" si="130"/>
        <v/>
      </c>
      <c r="L1613" s="25" t="str">
        <f t="shared" si="131"/>
        <v/>
      </c>
      <c r="M1613" s="37"/>
      <c r="N1613" s="37"/>
      <c r="O1613" s="33" t="str">
        <f t="shared" si="132"/>
        <v/>
      </c>
      <c r="P1613" s="33" t="str">
        <f t="shared" si="133"/>
        <v/>
      </c>
      <c r="X1613" s="1"/>
    </row>
    <row r="1614" spans="7:24">
      <c r="G1614" s="21"/>
      <c r="H1614" s="23"/>
      <c r="I1614" s="23" t="str">
        <f>_xlfn.IFNA(VLOOKUP(A1614,A1615:$H$3524,8,0),"")</f>
        <v/>
      </c>
      <c r="J1614" s="40" t="str">
        <f t="shared" si="134"/>
        <v/>
      </c>
      <c r="K1614" s="24" t="str">
        <f t="shared" si="130"/>
        <v/>
      </c>
      <c r="L1614" s="25" t="str">
        <f t="shared" si="131"/>
        <v/>
      </c>
      <c r="M1614" s="37"/>
      <c r="N1614" s="37"/>
      <c r="O1614" s="33" t="str">
        <f t="shared" si="132"/>
        <v/>
      </c>
      <c r="P1614" s="33" t="str">
        <f t="shared" si="133"/>
        <v/>
      </c>
      <c r="X1614" s="1"/>
    </row>
    <row r="1615" spans="7:24">
      <c r="G1615" s="21"/>
      <c r="H1615" s="23"/>
      <c r="I1615" s="23" t="str">
        <f>_xlfn.IFNA(VLOOKUP(A1615,A1616:$H$3524,8,0),"")</f>
        <v/>
      </c>
      <c r="J1615" s="40" t="str">
        <f t="shared" si="134"/>
        <v/>
      </c>
      <c r="K1615" s="24" t="str">
        <f t="shared" si="130"/>
        <v/>
      </c>
      <c r="L1615" s="25" t="str">
        <f t="shared" si="131"/>
        <v/>
      </c>
      <c r="M1615" s="37"/>
      <c r="N1615" s="37"/>
      <c r="O1615" s="33" t="str">
        <f t="shared" si="132"/>
        <v/>
      </c>
      <c r="P1615" s="33" t="str">
        <f t="shared" si="133"/>
        <v/>
      </c>
      <c r="X1615" s="1"/>
    </row>
    <row r="1616" spans="7:24">
      <c r="G1616" s="21"/>
      <c r="H1616" s="23"/>
      <c r="I1616" s="23" t="str">
        <f>_xlfn.IFNA(VLOOKUP(A1616,A1617:$H$3524,8,0),"")</f>
        <v/>
      </c>
      <c r="J1616" s="40" t="str">
        <f t="shared" si="134"/>
        <v/>
      </c>
      <c r="K1616" s="24" t="str">
        <f t="shared" si="130"/>
        <v/>
      </c>
      <c r="L1616" s="25" t="str">
        <f t="shared" si="131"/>
        <v/>
      </c>
      <c r="M1616" s="37"/>
      <c r="N1616" s="37"/>
      <c r="O1616" s="33" t="str">
        <f t="shared" si="132"/>
        <v/>
      </c>
      <c r="P1616" s="33" t="str">
        <f t="shared" si="133"/>
        <v/>
      </c>
      <c r="X1616" s="1"/>
    </row>
    <row r="1617" spans="7:24">
      <c r="G1617" s="21"/>
      <c r="H1617" s="23"/>
      <c r="I1617" s="23" t="str">
        <f>_xlfn.IFNA(VLOOKUP(A1617,A1618:$H$3524,8,0),"")</f>
        <v/>
      </c>
      <c r="J1617" s="40" t="str">
        <f t="shared" si="134"/>
        <v/>
      </c>
      <c r="K1617" s="24" t="str">
        <f t="shared" si="130"/>
        <v/>
      </c>
      <c r="L1617" s="25" t="str">
        <f t="shared" si="131"/>
        <v/>
      </c>
      <c r="M1617" s="37"/>
      <c r="N1617" s="37"/>
      <c r="O1617" s="33" t="str">
        <f t="shared" si="132"/>
        <v/>
      </c>
      <c r="P1617" s="33" t="str">
        <f t="shared" si="133"/>
        <v/>
      </c>
      <c r="X1617" s="1"/>
    </row>
    <row r="1618" spans="7:24">
      <c r="G1618" s="21"/>
      <c r="H1618" s="23"/>
      <c r="I1618" s="23" t="str">
        <f>_xlfn.IFNA(VLOOKUP(A1618,A1619:$H$3524,8,0),"")</f>
        <v/>
      </c>
      <c r="J1618" s="40" t="str">
        <f t="shared" si="134"/>
        <v/>
      </c>
      <c r="K1618" s="24" t="str">
        <f t="shared" si="130"/>
        <v/>
      </c>
      <c r="L1618" s="25" t="str">
        <f t="shared" si="131"/>
        <v/>
      </c>
      <c r="M1618" s="37"/>
      <c r="N1618" s="37"/>
      <c r="O1618" s="33" t="str">
        <f t="shared" si="132"/>
        <v/>
      </c>
      <c r="P1618" s="33" t="str">
        <f t="shared" si="133"/>
        <v/>
      </c>
      <c r="X1618" s="1"/>
    </row>
    <row r="1619" spans="7:24">
      <c r="G1619" s="21"/>
      <c r="H1619" s="23"/>
      <c r="I1619" s="23" t="str">
        <f>_xlfn.IFNA(VLOOKUP(A1619,A1620:$H$3524,8,0),"")</f>
        <v/>
      </c>
      <c r="J1619" s="40" t="str">
        <f t="shared" si="134"/>
        <v/>
      </c>
      <c r="K1619" s="24" t="str">
        <f t="shared" si="130"/>
        <v/>
      </c>
      <c r="L1619" s="25" t="str">
        <f t="shared" si="131"/>
        <v/>
      </c>
      <c r="M1619" s="37"/>
      <c r="N1619" s="37"/>
      <c r="O1619" s="33" t="str">
        <f t="shared" si="132"/>
        <v/>
      </c>
      <c r="P1619" s="33" t="str">
        <f t="shared" si="133"/>
        <v/>
      </c>
      <c r="X1619" s="1"/>
    </row>
    <row r="1620" spans="7:24">
      <c r="G1620" s="21"/>
      <c r="H1620" s="23"/>
      <c r="I1620" s="23" t="str">
        <f>_xlfn.IFNA(VLOOKUP(A1620,A1621:$H$3524,8,0),"")</f>
        <v/>
      </c>
      <c r="J1620" s="40" t="str">
        <f t="shared" si="134"/>
        <v/>
      </c>
      <c r="K1620" s="24" t="str">
        <f t="shared" si="130"/>
        <v/>
      </c>
      <c r="L1620" s="25" t="str">
        <f t="shared" si="131"/>
        <v/>
      </c>
      <c r="M1620" s="37"/>
      <c r="N1620" s="37"/>
      <c r="O1620" s="33" t="str">
        <f t="shared" si="132"/>
        <v/>
      </c>
      <c r="P1620" s="33" t="str">
        <f t="shared" si="133"/>
        <v/>
      </c>
      <c r="X1620" s="1"/>
    </row>
    <row r="1621" spans="7:24">
      <c r="G1621" s="21"/>
      <c r="H1621" s="23"/>
      <c r="I1621" s="23" t="str">
        <f>_xlfn.IFNA(VLOOKUP(A1621,A1622:$H$3524,8,0),"")</f>
        <v/>
      </c>
      <c r="J1621" s="40" t="str">
        <f t="shared" si="134"/>
        <v/>
      </c>
      <c r="K1621" s="24" t="str">
        <f t="shared" si="130"/>
        <v/>
      </c>
      <c r="L1621" s="25" t="str">
        <f t="shared" si="131"/>
        <v/>
      </c>
      <c r="M1621" s="37"/>
      <c r="N1621" s="37"/>
      <c r="O1621" s="33" t="str">
        <f t="shared" si="132"/>
        <v/>
      </c>
      <c r="P1621" s="33" t="str">
        <f t="shared" si="133"/>
        <v/>
      </c>
      <c r="X1621" s="1"/>
    </row>
    <row r="1622" spans="7:24">
      <c r="G1622" s="21"/>
      <c r="H1622" s="23"/>
      <c r="I1622" s="23" t="str">
        <f>_xlfn.IFNA(VLOOKUP(A1622,A1623:$H$3524,8,0),"")</f>
        <v/>
      </c>
      <c r="J1622" s="40" t="str">
        <f t="shared" si="134"/>
        <v/>
      </c>
      <c r="K1622" s="24" t="str">
        <f t="shared" ref="K1622:K1685" si="135">IF(H1622="","",IFERROR((I1622-H1622)*24,0))</f>
        <v/>
      </c>
      <c r="L1622" s="25" t="str">
        <f t="shared" si="131"/>
        <v/>
      </c>
      <c r="M1622" s="37"/>
      <c r="N1622" s="37"/>
      <c r="O1622" s="33" t="str">
        <f t="shared" si="132"/>
        <v/>
      </c>
      <c r="P1622" s="33" t="str">
        <f t="shared" si="133"/>
        <v/>
      </c>
      <c r="X1622" s="1"/>
    </row>
    <row r="1623" spans="7:24">
      <c r="G1623" s="21"/>
      <c r="H1623" s="23"/>
      <c r="I1623" s="23" t="str">
        <f>_xlfn.IFNA(VLOOKUP(A1623,A1624:$H$3524,8,0),"")</f>
        <v/>
      </c>
      <c r="J1623" s="40" t="str">
        <f t="shared" si="134"/>
        <v/>
      </c>
      <c r="K1623" s="24" t="str">
        <f t="shared" si="135"/>
        <v/>
      </c>
      <c r="L1623" s="25" t="str">
        <f t="shared" si="131"/>
        <v/>
      </c>
      <c r="M1623" s="37"/>
      <c r="N1623" s="37"/>
      <c r="O1623" s="33" t="str">
        <f t="shared" si="132"/>
        <v/>
      </c>
      <c r="P1623" s="33" t="str">
        <f t="shared" si="133"/>
        <v/>
      </c>
      <c r="X1623" s="1"/>
    </row>
    <row r="1624" spans="7:24">
      <c r="G1624" s="21"/>
      <c r="H1624" s="23"/>
      <c r="I1624" s="23" t="str">
        <f>_xlfn.IFNA(VLOOKUP(A1624,A1625:$H$3524,8,0),"")</f>
        <v/>
      </c>
      <c r="J1624" s="40" t="str">
        <f t="shared" si="134"/>
        <v/>
      </c>
      <c r="K1624" s="24" t="str">
        <f t="shared" si="135"/>
        <v/>
      </c>
      <c r="L1624" s="25" t="str">
        <f t="shared" si="131"/>
        <v/>
      </c>
      <c r="M1624" s="37"/>
      <c r="N1624" s="37"/>
      <c r="O1624" s="33" t="str">
        <f t="shared" si="132"/>
        <v/>
      </c>
      <c r="P1624" s="33" t="str">
        <f t="shared" si="133"/>
        <v/>
      </c>
      <c r="X1624" s="1"/>
    </row>
    <row r="1625" spans="7:24">
      <c r="G1625" s="21"/>
      <c r="H1625" s="23"/>
      <c r="I1625" s="23" t="str">
        <f>_xlfn.IFNA(VLOOKUP(A1625,A1626:$H$3524,8,0),"")</f>
        <v/>
      </c>
      <c r="J1625" s="40" t="str">
        <f t="shared" si="134"/>
        <v/>
      </c>
      <c r="K1625" s="24" t="str">
        <f t="shared" si="135"/>
        <v/>
      </c>
      <c r="L1625" s="25" t="str">
        <f t="shared" si="131"/>
        <v/>
      </c>
      <c r="M1625" s="37"/>
      <c r="N1625" s="37"/>
      <c r="O1625" s="33" t="str">
        <f t="shared" si="132"/>
        <v/>
      </c>
      <c r="P1625" s="33" t="str">
        <f t="shared" si="133"/>
        <v/>
      </c>
      <c r="X1625" s="1"/>
    </row>
    <row r="1626" spans="7:24">
      <c r="G1626" s="21"/>
      <c r="H1626" s="23"/>
      <c r="I1626" s="23" t="str">
        <f>_xlfn.IFNA(VLOOKUP(A1626,A1627:$H$3524,8,0),"")</f>
        <v/>
      </c>
      <c r="J1626" s="40" t="str">
        <f t="shared" si="134"/>
        <v/>
      </c>
      <c r="K1626" s="24" t="str">
        <f t="shared" si="135"/>
        <v/>
      </c>
      <c r="L1626" s="25" t="str">
        <f t="shared" si="131"/>
        <v/>
      </c>
      <c r="M1626" s="37"/>
      <c r="N1626" s="37"/>
      <c r="O1626" s="33" t="str">
        <f t="shared" si="132"/>
        <v/>
      </c>
      <c r="P1626" s="33" t="str">
        <f t="shared" si="133"/>
        <v/>
      </c>
      <c r="X1626" s="1"/>
    </row>
    <row r="1627" spans="7:24">
      <c r="G1627" s="21"/>
      <c r="H1627" s="23"/>
      <c r="I1627" s="23" t="str">
        <f>_xlfn.IFNA(VLOOKUP(A1627,A1628:$H$3524,8,0),"")</f>
        <v/>
      </c>
      <c r="J1627" s="40" t="str">
        <f t="shared" si="134"/>
        <v/>
      </c>
      <c r="K1627" s="24" t="str">
        <f t="shared" si="135"/>
        <v/>
      </c>
      <c r="L1627" s="25" t="str">
        <f t="shared" si="131"/>
        <v/>
      </c>
      <c r="M1627" s="37"/>
      <c r="N1627" s="37"/>
      <c r="O1627" s="33" t="str">
        <f t="shared" si="132"/>
        <v/>
      </c>
      <c r="P1627" s="33" t="str">
        <f t="shared" si="133"/>
        <v/>
      </c>
      <c r="X1627" s="1"/>
    </row>
    <row r="1628" spans="7:24">
      <c r="G1628" s="21"/>
      <c r="H1628" s="23"/>
      <c r="I1628" s="23" t="str">
        <f>_xlfn.IFNA(VLOOKUP(A1628,A1629:$H$3524,8,0),"")</f>
        <v/>
      </c>
      <c r="J1628" s="40" t="str">
        <f t="shared" si="134"/>
        <v/>
      </c>
      <c r="K1628" s="24" t="str">
        <f t="shared" si="135"/>
        <v/>
      </c>
      <c r="L1628" s="25" t="str">
        <f t="shared" si="131"/>
        <v/>
      </c>
      <c r="M1628" s="37"/>
      <c r="N1628" s="37"/>
      <c r="O1628" s="33" t="str">
        <f t="shared" si="132"/>
        <v/>
      </c>
      <c r="P1628" s="33" t="str">
        <f t="shared" si="133"/>
        <v/>
      </c>
      <c r="X1628" s="1"/>
    </row>
    <row r="1629" spans="7:24">
      <c r="G1629" s="21"/>
      <c r="H1629" s="23"/>
      <c r="I1629" s="23" t="str">
        <f>_xlfn.IFNA(VLOOKUP(A1629,A1630:$H$3524,8,0),"")</f>
        <v/>
      </c>
      <c r="J1629" s="40" t="str">
        <f t="shared" si="134"/>
        <v/>
      </c>
      <c r="K1629" s="24" t="str">
        <f t="shared" si="135"/>
        <v/>
      </c>
      <c r="L1629" s="25" t="str">
        <f t="shared" si="131"/>
        <v/>
      </c>
      <c r="M1629" s="37"/>
      <c r="N1629" s="37"/>
      <c r="O1629" s="33" t="str">
        <f t="shared" si="132"/>
        <v/>
      </c>
      <c r="P1629" s="33" t="str">
        <f t="shared" si="133"/>
        <v/>
      </c>
      <c r="X1629" s="1"/>
    </row>
    <row r="1630" spans="7:24">
      <c r="G1630" s="21"/>
      <c r="H1630" s="23"/>
      <c r="I1630" s="23" t="str">
        <f>_xlfn.IFNA(VLOOKUP(A1630,A1631:$H$3524,8,0),"")</f>
        <v/>
      </c>
      <c r="J1630" s="40" t="str">
        <f t="shared" si="134"/>
        <v/>
      </c>
      <c r="K1630" s="24" t="str">
        <f t="shared" si="135"/>
        <v/>
      </c>
      <c r="L1630" s="25" t="str">
        <f t="shared" si="131"/>
        <v/>
      </c>
      <c r="M1630" s="37"/>
      <c r="N1630" s="37"/>
      <c r="O1630" s="33" t="str">
        <f t="shared" si="132"/>
        <v/>
      </c>
      <c r="P1630" s="33" t="str">
        <f t="shared" si="133"/>
        <v/>
      </c>
      <c r="X1630" s="1"/>
    </row>
    <row r="1631" spans="7:24">
      <c r="G1631" s="21"/>
      <c r="H1631" s="23"/>
      <c r="I1631" s="23" t="str">
        <f>_xlfn.IFNA(VLOOKUP(A1631,A1632:$H$3524,8,0),"")</f>
        <v/>
      </c>
      <c r="J1631" s="40" t="str">
        <f t="shared" si="134"/>
        <v/>
      </c>
      <c r="K1631" s="24" t="str">
        <f t="shared" si="135"/>
        <v/>
      </c>
      <c r="L1631" s="25" t="str">
        <f t="shared" si="131"/>
        <v/>
      </c>
      <c r="M1631" s="37"/>
      <c r="N1631" s="37"/>
      <c r="O1631" s="33" t="str">
        <f t="shared" si="132"/>
        <v/>
      </c>
      <c r="P1631" s="33" t="str">
        <f t="shared" si="133"/>
        <v/>
      </c>
      <c r="X1631" s="1"/>
    </row>
    <row r="1632" spans="7:24">
      <c r="G1632" s="21"/>
      <c r="H1632" s="23"/>
      <c r="I1632" s="23" t="str">
        <f>_xlfn.IFNA(VLOOKUP(A1632,A1633:$H$3524,8,0),"")</f>
        <v/>
      </c>
      <c r="J1632" s="40" t="str">
        <f t="shared" si="134"/>
        <v/>
      </c>
      <c r="K1632" s="24" t="str">
        <f t="shared" si="135"/>
        <v/>
      </c>
      <c r="L1632" s="25" t="str">
        <f t="shared" si="131"/>
        <v/>
      </c>
      <c r="M1632" s="37"/>
      <c r="N1632" s="37"/>
      <c r="O1632" s="33" t="str">
        <f t="shared" si="132"/>
        <v/>
      </c>
      <c r="P1632" s="33" t="str">
        <f t="shared" si="133"/>
        <v/>
      </c>
      <c r="X1632" s="1"/>
    </row>
    <row r="1633" spans="7:24">
      <c r="G1633" s="21"/>
      <c r="H1633" s="23"/>
      <c r="I1633" s="23" t="str">
        <f>_xlfn.IFNA(VLOOKUP(A1633,A1634:$H$3524,8,0),"")</f>
        <v/>
      </c>
      <c r="J1633" s="40" t="str">
        <f t="shared" si="134"/>
        <v/>
      </c>
      <c r="K1633" s="24" t="str">
        <f t="shared" si="135"/>
        <v/>
      </c>
      <c r="L1633" s="25" t="str">
        <f t="shared" si="131"/>
        <v/>
      </c>
      <c r="M1633" s="37"/>
      <c r="N1633" s="37"/>
      <c r="O1633" s="33" t="str">
        <f t="shared" si="132"/>
        <v/>
      </c>
      <c r="P1633" s="33" t="str">
        <f t="shared" si="133"/>
        <v/>
      </c>
      <c r="X1633" s="1"/>
    </row>
    <row r="1634" spans="7:24">
      <c r="G1634" s="21"/>
      <c r="H1634" s="23"/>
      <c r="I1634" s="23" t="str">
        <f>_xlfn.IFNA(VLOOKUP(A1634,A1635:$H$3524,8,0),"")</f>
        <v/>
      </c>
      <c r="J1634" s="40" t="str">
        <f t="shared" si="134"/>
        <v/>
      </c>
      <c r="K1634" s="24" t="str">
        <f t="shared" si="135"/>
        <v/>
      </c>
      <c r="L1634" s="25" t="str">
        <f t="shared" si="131"/>
        <v/>
      </c>
      <c r="M1634" s="37"/>
      <c r="N1634" s="37"/>
      <c r="O1634" s="33" t="str">
        <f t="shared" si="132"/>
        <v/>
      </c>
      <c r="P1634" s="33" t="str">
        <f t="shared" si="133"/>
        <v/>
      </c>
      <c r="X1634" s="1"/>
    </row>
    <row r="1635" spans="7:24">
      <c r="G1635" s="21"/>
      <c r="H1635" s="23"/>
      <c r="I1635" s="23" t="str">
        <f>_xlfn.IFNA(VLOOKUP(A1635,A1636:$H$3524,8,0),"")</f>
        <v/>
      </c>
      <c r="J1635" s="40" t="str">
        <f t="shared" si="134"/>
        <v/>
      </c>
      <c r="K1635" s="24" t="str">
        <f t="shared" si="135"/>
        <v/>
      </c>
      <c r="L1635" s="25" t="str">
        <f t="shared" si="131"/>
        <v/>
      </c>
      <c r="M1635" s="37"/>
      <c r="N1635" s="37"/>
      <c r="O1635" s="33" t="str">
        <f t="shared" si="132"/>
        <v/>
      </c>
      <c r="P1635" s="33" t="str">
        <f t="shared" si="133"/>
        <v/>
      </c>
      <c r="X1635" s="1"/>
    </row>
    <row r="1636" spans="7:24">
      <c r="G1636" s="21"/>
      <c r="H1636" s="23"/>
      <c r="I1636" s="23" t="str">
        <f>_xlfn.IFNA(VLOOKUP(A1636,A1637:$H$3524,8,0),"")</f>
        <v/>
      </c>
      <c r="J1636" s="40" t="str">
        <f t="shared" si="134"/>
        <v/>
      </c>
      <c r="K1636" s="24" t="str">
        <f t="shared" si="135"/>
        <v/>
      </c>
      <c r="L1636" s="25" t="str">
        <f t="shared" si="131"/>
        <v/>
      </c>
      <c r="M1636" s="37"/>
      <c r="N1636" s="37"/>
      <c r="O1636" s="33" t="str">
        <f t="shared" si="132"/>
        <v/>
      </c>
      <c r="P1636" s="33" t="str">
        <f t="shared" si="133"/>
        <v/>
      </c>
      <c r="X1636" s="1"/>
    </row>
    <row r="1637" spans="7:24">
      <c r="G1637" s="21"/>
      <c r="H1637" s="23"/>
      <c r="I1637" s="23" t="str">
        <f>_xlfn.IFNA(VLOOKUP(A1637,A1638:$H$3524,8,0),"")</f>
        <v/>
      </c>
      <c r="J1637" s="40" t="str">
        <f t="shared" si="134"/>
        <v/>
      </c>
      <c r="K1637" s="24" t="str">
        <f t="shared" si="135"/>
        <v/>
      </c>
      <c r="L1637" s="25" t="str">
        <f t="shared" si="131"/>
        <v/>
      </c>
      <c r="M1637" s="37"/>
      <c r="N1637" s="37"/>
      <c r="O1637" s="33" t="str">
        <f t="shared" si="132"/>
        <v/>
      </c>
      <c r="P1637" s="33" t="str">
        <f t="shared" si="133"/>
        <v/>
      </c>
      <c r="X1637" s="1"/>
    </row>
    <row r="1638" spans="7:24">
      <c r="G1638" s="21"/>
      <c r="H1638" s="23"/>
      <c r="I1638" s="23" t="str">
        <f>_xlfn.IFNA(VLOOKUP(A1638,A1639:$H$3524,8,0),"")</f>
        <v/>
      </c>
      <c r="J1638" s="40" t="str">
        <f t="shared" si="134"/>
        <v/>
      </c>
      <c r="K1638" s="24" t="str">
        <f t="shared" si="135"/>
        <v/>
      </c>
      <c r="L1638" s="25" t="str">
        <f t="shared" si="131"/>
        <v/>
      </c>
      <c r="M1638" s="37"/>
      <c r="N1638" s="37"/>
      <c r="O1638" s="33" t="str">
        <f t="shared" si="132"/>
        <v/>
      </c>
      <c r="P1638" s="33" t="str">
        <f t="shared" si="133"/>
        <v/>
      </c>
      <c r="X1638" s="1"/>
    </row>
    <row r="1639" spans="7:24">
      <c r="G1639" s="21"/>
      <c r="H1639" s="23"/>
      <c r="I1639" s="23" t="str">
        <f>_xlfn.IFNA(VLOOKUP(A1639,A1640:$H$3524,8,0),"")</f>
        <v/>
      </c>
      <c r="J1639" s="40" t="str">
        <f t="shared" si="134"/>
        <v/>
      </c>
      <c r="K1639" s="24" t="str">
        <f t="shared" si="135"/>
        <v/>
      </c>
      <c r="L1639" s="25" t="str">
        <f t="shared" si="131"/>
        <v/>
      </c>
      <c r="M1639" s="37"/>
      <c r="N1639" s="37"/>
      <c r="O1639" s="33" t="str">
        <f t="shared" si="132"/>
        <v/>
      </c>
      <c r="P1639" s="33" t="str">
        <f t="shared" si="133"/>
        <v/>
      </c>
      <c r="X1639" s="1"/>
    </row>
    <row r="1640" spans="7:24">
      <c r="G1640" s="21"/>
      <c r="H1640" s="23"/>
      <c r="I1640" s="23" t="str">
        <f>_xlfn.IFNA(VLOOKUP(A1640,A1641:$H$3524,8,0),"")</f>
        <v/>
      </c>
      <c r="J1640" s="40" t="str">
        <f t="shared" si="134"/>
        <v/>
      </c>
      <c r="K1640" s="24" t="str">
        <f t="shared" si="135"/>
        <v/>
      </c>
      <c r="L1640" s="25" t="str">
        <f t="shared" si="131"/>
        <v/>
      </c>
      <c r="M1640" s="37"/>
      <c r="N1640" s="37"/>
      <c r="O1640" s="33" t="str">
        <f t="shared" si="132"/>
        <v/>
      </c>
      <c r="P1640" s="33" t="str">
        <f t="shared" si="133"/>
        <v/>
      </c>
      <c r="X1640" s="1"/>
    </row>
    <row r="1641" spans="7:24">
      <c r="G1641" s="21"/>
      <c r="H1641" s="23"/>
      <c r="I1641" s="23" t="str">
        <f>_xlfn.IFNA(VLOOKUP(A1641,A1642:$H$3524,8,0),"")</f>
        <v/>
      </c>
      <c r="J1641" s="40" t="str">
        <f t="shared" si="134"/>
        <v/>
      </c>
      <c r="K1641" s="24" t="str">
        <f t="shared" si="135"/>
        <v/>
      </c>
      <c r="L1641" s="25" t="str">
        <f t="shared" si="131"/>
        <v/>
      </c>
      <c r="M1641" s="37"/>
      <c r="N1641" s="37"/>
      <c r="O1641" s="33" t="str">
        <f t="shared" si="132"/>
        <v/>
      </c>
      <c r="P1641" s="33" t="str">
        <f t="shared" si="133"/>
        <v/>
      </c>
      <c r="X1641" s="1"/>
    </row>
    <row r="1642" spans="7:24">
      <c r="G1642" s="21"/>
      <c r="H1642" s="23"/>
      <c r="I1642" s="23" t="str">
        <f>_xlfn.IFNA(VLOOKUP(A1642,A1643:$H$3524,8,0),"")</f>
        <v/>
      </c>
      <c r="J1642" s="40" t="str">
        <f t="shared" si="134"/>
        <v/>
      </c>
      <c r="K1642" s="24" t="str">
        <f t="shared" si="135"/>
        <v/>
      </c>
      <c r="L1642" s="25" t="str">
        <f t="shared" si="131"/>
        <v/>
      </c>
      <c r="M1642" s="37"/>
      <c r="N1642" s="37"/>
      <c r="O1642" s="33" t="str">
        <f t="shared" si="132"/>
        <v/>
      </c>
      <c r="P1642" s="33" t="str">
        <f t="shared" si="133"/>
        <v/>
      </c>
      <c r="X1642" s="1"/>
    </row>
    <row r="1643" spans="7:24">
      <c r="G1643" s="21"/>
      <c r="H1643" s="23"/>
      <c r="I1643" s="23" t="str">
        <f>_xlfn.IFNA(VLOOKUP(A1643,A1644:$H$3524,8,0),"")</f>
        <v/>
      </c>
      <c r="J1643" s="40" t="str">
        <f t="shared" si="134"/>
        <v/>
      </c>
      <c r="K1643" s="24" t="str">
        <f t="shared" si="135"/>
        <v/>
      </c>
      <c r="L1643" s="25" t="str">
        <f t="shared" si="131"/>
        <v/>
      </c>
      <c r="M1643" s="37"/>
      <c r="N1643" s="37"/>
      <c r="O1643" s="33" t="str">
        <f t="shared" si="132"/>
        <v/>
      </c>
      <c r="P1643" s="33" t="str">
        <f t="shared" si="133"/>
        <v/>
      </c>
      <c r="X1643" s="1"/>
    </row>
    <row r="1644" spans="7:24">
      <c r="G1644" s="21"/>
      <c r="H1644" s="23"/>
      <c r="I1644" s="23" t="str">
        <f>_xlfn.IFNA(VLOOKUP(A1644,A1645:$H$3524,8,0),"")</f>
        <v/>
      </c>
      <c r="J1644" s="40" t="str">
        <f t="shared" si="134"/>
        <v/>
      </c>
      <c r="K1644" s="24" t="str">
        <f t="shared" si="135"/>
        <v/>
      </c>
      <c r="L1644" s="25" t="str">
        <f t="shared" si="131"/>
        <v/>
      </c>
      <c r="M1644" s="37"/>
      <c r="N1644" s="37"/>
      <c r="O1644" s="33" t="str">
        <f t="shared" si="132"/>
        <v/>
      </c>
      <c r="P1644" s="33" t="str">
        <f t="shared" si="133"/>
        <v/>
      </c>
      <c r="X1644" s="1"/>
    </row>
    <row r="1645" spans="7:24">
      <c r="G1645" s="21"/>
      <c r="H1645" s="23"/>
      <c r="I1645" s="23" t="str">
        <f>_xlfn.IFNA(VLOOKUP(A1645,A1646:$H$3524,8,0),"")</f>
        <v/>
      </c>
      <c r="J1645" s="40" t="str">
        <f t="shared" si="134"/>
        <v/>
      </c>
      <c r="K1645" s="24" t="str">
        <f t="shared" si="135"/>
        <v/>
      </c>
      <c r="L1645" s="25" t="str">
        <f t="shared" si="131"/>
        <v/>
      </c>
      <c r="M1645" s="37"/>
      <c r="N1645" s="37"/>
      <c r="O1645" s="33" t="str">
        <f t="shared" si="132"/>
        <v/>
      </c>
      <c r="P1645" s="33" t="str">
        <f t="shared" si="133"/>
        <v/>
      </c>
      <c r="X1645" s="1"/>
    </row>
    <row r="1646" spans="7:24">
      <c r="G1646" s="21"/>
      <c r="H1646" s="23"/>
      <c r="I1646" s="23" t="str">
        <f>_xlfn.IFNA(VLOOKUP(A1646,A1647:$H$3524,8,0),"")</f>
        <v/>
      </c>
      <c r="J1646" s="40" t="str">
        <f t="shared" si="134"/>
        <v/>
      </c>
      <c r="K1646" s="24" t="str">
        <f t="shared" si="135"/>
        <v/>
      </c>
      <c r="L1646" s="25" t="str">
        <f t="shared" si="131"/>
        <v/>
      </c>
      <c r="M1646" s="37"/>
      <c r="N1646" s="37"/>
      <c r="O1646" s="33" t="str">
        <f t="shared" si="132"/>
        <v/>
      </c>
      <c r="P1646" s="33" t="str">
        <f t="shared" si="133"/>
        <v/>
      </c>
      <c r="X1646" s="1"/>
    </row>
    <row r="1647" spans="7:24">
      <c r="G1647" s="21"/>
      <c r="H1647" s="23"/>
      <c r="I1647" s="23" t="str">
        <f>_xlfn.IFNA(VLOOKUP(A1647,A1648:$H$3524,8,0),"")</f>
        <v/>
      </c>
      <c r="J1647" s="40" t="str">
        <f t="shared" si="134"/>
        <v/>
      </c>
      <c r="K1647" s="24" t="str">
        <f t="shared" si="135"/>
        <v/>
      </c>
      <c r="L1647" s="25" t="str">
        <f t="shared" si="131"/>
        <v/>
      </c>
      <c r="M1647" s="37"/>
      <c r="N1647" s="37"/>
      <c r="O1647" s="33" t="str">
        <f t="shared" si="132"/>
        <v/>
      </c>
      <c r="P1647" s="33" t="str">
        <f t="shared" si="133"/>
        <v/>
      </c>
      <c r="X1647" s="1"/>
    </row>
    <row r="1648" spans="7:24">
      <c r="G1648" s="21"/>
      <c r="H1648" s="23"/>
      <c r="I1648" s="23" t="str">
        <f>_xlfn.IFNA(VLOOKUP(A1648,A1649:$H$3524,8,0),"")</f>
        <v/>
      </c>
      <c r="J1648" s="40" t="str">
        <f t="shared" si="134"/>
        <v/>
      </c>
      <c r="K1648" s="24" t="str">
        <f t="shared" si="135"/>
        <v/>
      </c>
      <c r="L1648" s="25" t="str">
        <f t="shared" si="131"/>
        <v/>
      </c>
      <c r="M1648" s="37"/>
      <c r="N1648" s="37"/>
      <c r="O1648" s="33" t="str">
        <f t="shared" si="132"/>
        <v/>
      </c>
      <c r="P1648" s="33" t="str">
        <f t="shared" si="133"/>
        <v/>
      </c>
      <c r="X1648" s="1"/>
    </row>
    <row r="1649" spans="7:24">
      <c r="G1649" s="21"/>
      <c r="H1649" s="23"/>
      <c r="I1649" s="23" t="str">
        <f>_xlfn.IFNA(VLOOKUP(A1649,A1650:$H$3524,8,0),"")</f>
        <v/>
      </c>
      <c r="J1649" s="40" t="str">
        <f t="shared" si="134"/>
        <v/>
      </c>
      <c r="K1649" s="24" t="str">
        <f t="shared" si="135"/>
        <v/>
      </c>
      <c r="L1649" s="25" t="str">
        <f t="shared" si="131"/>
        <v/>
      </c>
      <c r="M1649" s="37"/>
      <c r="N1649" s="37"/>
      <c r="O1649" s="33" t="str">
        <f t="shared" si="132"/>
        <v/>
      </c>
      <c r="P1649" s="33" t="str">
        <f t="shared" si="133"/>
        <v/>
      </c>
      <c r="X1649" s="1"/>
    </row>
    <row r="1650" spans="7:24">
      <c r="G1650" s="21"/>
      <c r="H1650" s="23"/>
      <c r="I1650" s="23" t="str">
        <f>_xlfn.IFNA(VLOOKUP(A1650,A1651:$H$3524,8,0),"")</f>
        <v/>
      </c>
      <c r="J1650" s="40" t="str">
        <f t="shared" si="134"/>
        <v/>
      </c>
      <c r="K1650" s="24" t="str">
        <f t="shared" si="135"/>
        <v/>
      </c>
      <c r="L1650" s="25" t="str">
        <f t="shared" si="131"/>
        <v/>
      </c>
      <c r="M1650" s="37"/>
      <c r="N1650" s="37"/>
      <c r="O1650" s="33" t="str">
        <f t="shared" si="132"/>
        <v/>
      </c>
      <c r="P1650" s="33" t="str">
        <f t="shared" si="133"/>
        <v/>
      </c>
      <c r="X1650" s="1"/>
    </row>
    <row r="1651" spans="7:24">
      <c r="G1651" s="21"/>
      <c r="H1651" s="23"/>
      <c r="I1651" s="23" t="str">
        <f>_xlfn.IFNA(VLOOKUP(A1651,A1652:$H$3524,8,0),"")</f>
        <v/>
      </c>
      <c r="J1651" s="40" t="str">
        <f t="shared" si="134"/>
        <v/>
      </c>
      <c r="K1651" s="24" t="str">
        <f t="shared" si="135"/>
        <v/>
      </c>
      <c r="L1651" s="25" t="str">
        <f t="shared" si="131"/>
        <v/>
      </c>
      <c r="M1651" s="37"/>
      <c r="N1651" s="37"/>
      <c r="O1651" s="33" t="str">
        <f t="shared" si="132"/>
        <v/>
      </c>
      <c r="P1651" s="33" t="str">
        <f t="shared" si="133"/>
        <v/>
      </c>
      <c r="X1651" s="1"/>
    </row>
    <row r="1652" spans="7:24">
      <c r="G1652" s="21"/>
      <c r="H1652" s="23"/>
      <c r="I1652" s="23" t="str">
        <f>_xlfn.IFNA(VLOOKUP(A1652,A1653:$H$3524,8,0),"")</f>
        <v/>
      </c>
      <c r="J1652" s="40" t="str">
        <f t="shared" si="134"/>
        <v/>
      </c>
      <c r="K1652" s="24" t="str">
        <f t="shared" si="135"/>
        <v/>
      </c>
      <c r="L1652" s="25" t="str">
        <f t="shared" si="131"/>
        <v/>
      </c>
      <c r="M1652" s="37"/>
      <c r="N1652" s="37"/>
      <c r="O1652" s="33" t="str">
        <f t="shared" si="132"/>
        <v/>
      </c>
      <c r="P1652" s="33" t="str">
        <f t="shared" si="133"/>
        <v/>
      </c>
      <c r="X1652" s="1"/>
    </row>
    <row r="1653" spans="7:24">
      <c r="G1653" s="21"/>
      <c r="H1653" s="23"/>
      <c r="I1653" s="23" t="str">
        <f>_xlfn.IFNA(VLOOKUP(A1653,A1654:$H$3524,8,0),"")</f>
        <v/>
      </c>
      <c r="J1653" s="40" t="str">
        <f t="shared" si="134"/>
        <v/>
      </c>
      <c r="K1653" s="24" t="str">
        <f t="shared" si="135"/>
        <v/>
      </c>
      <c r="L1653" s="25" t="str">
        <f t="shared" si="131"/>
        <v/>
      </c>
      <c r="M1653" s="37"/>
      <c r="N1653" s="37"/>
      <c r="O1653" s="33" t="str">
        <f t="shared" si="132"/>
        <v/>
      </c>
      <c r="P1653" s="33" t="str">
        <f t="shared" si="133"/>
        <v/>
      </c>
      <c r="X1653" s="1"/>
    </row>
    <row r="1654" spans="7:24">
      <c r="G1654" s="21"/>
      <c r="H1654" s="23"/>
      <c r="I1654" s="23" t="str">
        <f>_xlfn.IFNA(VLOOKUP(A1654,A1655:$H$3524,8,0),"")</f>
        <v/>
      </c>
      <c r="J1654" s="40" t="str">
        <f t="shared" si="134"/>
        <v/>
      </c>
      <c r="K1654" s="24" t="str">
        <f t="shared" si="135"/>
        <v/>
      </c>
      <c r="L1654" s="25" t="str">
        <f t="shared" si="131"/>
        <v/>
      </c>
      <c r="M1654" s="37"/>
      <c r="N1654" s="37"/>
      <c r="O1654" s="33" t="str">
        <f t="shared" si="132"/>
        <v/>
      </c>
      <c r="P1654" s="33" t="str">
        <f t="shared" si="133"/>
        <v/>
      </c>
      <c r="X1654" s="1"/>
    </row>
    <row r="1655" spans="7:24">
      <c r="G1655" s="21"/>
      <c r="H1655" s="23"/>
      <c r="I1655" s="23" t="str">
        <f>_xlfn.IFNA(VLOOKUP(A1655,A1656:$H$3524,8,0),"")</f>
        <v/>
      </c>
      <c r="J1655" s="40" t="str">
        <f t="shared" si="134"/>
        <v/>
      </c>
      <c r="K1655" s="24" t="str">
        <f t="shared" si="135"/>
        <v/>
      </c>
      <c r="L1655" s="25" t="str">
        <f t="shared" ref="L1655:L1718" si="136">IF(K1655="","",IF(B1655="Break","Break",IF(K1655&lt;&gt;0,"Work Finished",IF(B1655="OFF","Work Finished",IF(I1655="","Working","Work Finished")))))</f>
        <v/>
      </c>
      <c r="M1655" s="37"/>
      <c r="N1655" s="37"/>
      <c r="O1655" s="33" t="str">
        <f t="shared" ref="O1655:O1718" si="137">IF(AND(J1655="",M1655="",N1655=""),"",J1655-M1655-N1655)</f>
        <v/>
      </c>
      <c r="P1655" s="33" t="str">
        <f t="shared" ref="P1655:P1718" si="138">IF(HOUR(H1655)=0,"",HOUR(H1655))</f>
        <v/>
      </c>
      <c r="X1655" s="1"/>
    </row>
    <row r="1656" spans="7:24">
      <c r="G1656" s="21"/>
      <c r="H1656" s="23"/>
      <c r="I1656" s="23" t="str">
        <f>_xlfn.IFNA(VLOOKUP(A1656,A1657:$H$3524,8,0),"")</f>
        <v/>
      </c>
      <c r="J1656" s="40" t="str">
        <f t="shared" si="134"/>
        <v/>
      </c>
      <c r="K1656" s="24" t="str">
        <f t="shared" si="135"/>
        <v/>
      </c>
      <c r="L1656" s="25" t="str">
        <f t="shared" si="136"/>
        <v/>
      </c>
      <c r="M1656" s="37"/>
      <c r="N1656" s="37"/>
      <c r="O1656" s="33" t="str">
        <f t="shared" si="137"/>
        <v/>
      </c>
      <c r="P1656" s="33" t="str">
        <f t="shared" si="138"/>
        <v/>
      </c>
      <c r="X1656" s="1"/>
    </row>
    <row r="1657" spans="7:24">
      <c r="G1657" s="21"/>
      <c r="H1657" s="23"/>
      <c r="I1657" s="23" t="str">
        <f>_xlfn.IFNA(VLOOKUP(A1657,A1658:$H$3524,8,0),"")</f>
        <v/>
      </c>
      <c r="J1657" s="40" t="str">
        <f t="shared" si="134"/>
        <v/>
      </c>
      <c r="K1657" s="24" t="str">
        <f t="shared" si="135"/>
        <v/>
      </c>
      <c r="L1657" s="25" t="str">
        <f t="shared" si="136"/>
        <v/>
      </c>
      <c r="M1657" s="37"/>
      <c r="N1657" s="37"/>
      <c r="O1657" s="33" t="str">
        <f t="shared" si="137"/>
        <v/>
      </c>
      <c r="P1657" s="33" t="str">
        <f t="shared" si="138"/>
        <v/>
      </c>
      <c r="X1657" s="1"/>
    </row>
    <row r="1658" spans="7:24">
      <c r="G1658" s="21"/>
      <c r="H1658" s="23"/>
      <c r="I1658" s="23" t="str">
        <f>_xlfn.IFNA(VLOOKUP(A1658,A1659:$H$3524,8,0),"")</f>
        <v/>
      </c>
      <c r="J1658" s="40" t="str">
        <f t="shared" si="134"/>
        <v/>
      </c>
      <c r="K1658" s="24" t="str">
        <f t="shared" si="135"/>
        <v/>
      </c>
      <c r="L1658" s="25" t="str">
        <f t="shared" si="136"/>
        <v/>
      </c>
      <c r="M1658" s="37"/>
      <c r="N1658" s="37"/>
      <c r="O1658" s="33" t="str">
        <f t="shared" si="137"/>
        <v/>
      </c>
      <c r="P1658" s="33" t="str">
        <f t="shared" si="138"/>
        <v/>
      </c>
      <c r="X1658" s="1"/>
    </row>
    <row r="1659" spans="7:24">
      <c r="G1659" s="21"/>
      <c r="H1659" s="23"/>
      <c r="I1659" s="23" t="str">
        <f>_xlfn.IFNA(VLOOKUP(A1659,A1660:$H$3524,8,0),"")</f>
        <v/>
      </c>
      <c r="J1659" s="40" t="str">
        <f t="shared" si="134"/>
        <v/>
      </c>
      <c r="K1659" s="24" t="str">
        <f t="shared" si="135"/>
        <v/>
      </c>
      <c r="L1659" s="25" t="str">
        <f t="shared" si="136"/>
        <v/>
      </c>
      <c r="M1659" s="37"/>
      <c r="N1659" s="37"/>
      <c r="O1659" s="33" t="str">
        <f t="shared" si="137"/>
        <v/>
      </c>
      <c r="P1659" s="33" t="str">
        <f t="shared" si="138"/>
        <v/>
      </c>
      <c r="X1659" s="1"/>
    </row>
    <row r="1660" spans="7:24">
      <c r="G1660" s="21"/>
      <c r="H1660" s="23"/>
      <c r="I1660" s="23" t="str">
        <f>_xlfn.IFNA(VLOOKUP(A1660,A1661:$H$3524,8,0),"")</f>
        <v/>
      </c>
      <c r="J1660" s="40" t="str">
        <f t="shared" si="134"/>
        <v/>
      </c>
      <c r="K1660" s="24" t="str">
        <f t="shared" si="135"/>
        <v/>
      </c>
      <c r="L1660" s="25" t="str">
        <f t="shared" si="136"/>
        <v/>
      </c>
      <c r="M1660" s="37"/>
      <c r="N1660" s="37"/>
      <c r="O1660" s="33" t="str">
        <f t="shared" si="137"/>
        <v/>
      </c>
      <c r="P1660" s="33" t="str">
        <f t="shared" si="138"/>
        <v/>
      </c>
      <c r="X1660" s="1"/>
    </row>
    <row r="1661" spans="7:24">
      <c r="G1661" s="21"/>
      <c r="H1661" s="23"/>
      <c r="I1661" s="23" t="str">
        <f>_xlfn.IFNA(VLOOKUP(A1661,A1662:$H$3524,8,0),"")</f>
        <v/>
      </c>
      <c r="J1661" s="40" t="str">
        <f t="shared" si="134"/>
        <v/>
      </c>
      <c r="K1661" s="24" t="str">
        <f t="shared" si="135"/>
        <v/>
      </c>
      <c r="L1661" s="25" t="str">
        <f t="shared" si="136"/>
        <v/>
      </c>
      <c r="M1661" s="37"/>
      <c r="N1661" s="37"/>
      <c r="O1661" s="33" t="str">
        <f t="shared" si="137"/>
        <v/>
      </c>
      <c r="P1661" s="33" t="str">
        <f t="shared" si="138"/>
        <v/>
      </c>
      <c r="X1661" s="1"/>
    </row>
    <row r="1662" spans="7:24">
      <c r="G1662" s="21"/>
      <c r="H1662" s="23"/>
      <c r="I1662" s="23" t="str">
        <f>_xlfn.IFNA(VLOOKUP(A1662,A1663:$H$3524,8,0),"")</f>
        <v/>
      </c>
      <c r="J1662" s="40" t="str">
        <f t="shared" si="134"/>
        <v/>
      </c>
      <c r="K1662" s="24" t="str">
        <f t="shared" si="135"/>
        <v/>
      </c>
      <c r="L1662" s="25" t="str">
        <f t="shared" si="136"/>
        <v/>
      </c>
      <c r="M1662" s="37"/>
      <c r="N1662" s="37"/>
      <c r="O1662" s="33" t="str">
        <f t="shared" si="137"/>
        <v/>
      </c>
      <c r="P1662" s="33" t="str">
        <f t="shared" si="138"/>
        <v/>
      </c>
      <c r="X1662" s="1"/>
    </row>
    <row r="1663" spans="7:24">
      <c r="G1663" s="21"/>
      <c r="H1663" s="23"/>
      <c r="I1663" s="23" t="str">
        <f>_xlfn.IFNA(VLOOKUP(A1663,A1664:$H$3524,8,0),"")</f>
        <v/>
      </c>
      <c r="J1663" s="40" t="str">
        <f t="shared" si="134"/>
        <v/>
      </c>
      <c r="K1663" s="24" t="str">
        <f t="shared" si="135"/>
        <v/>
      </c>
      <c r="L1663" s="25" t="str">
        <f t="shared" si="136"/>
        <v/>
      </c>
      <c r="M1663" s="37"/>
      <c r="N1663" s="37"/>
      <c r="O1663" s="33" t="str">
        <f t="shared" si="137"/>
        <v/>
      </c>
      <c r="P1663" s="33" t="str">
        <f t="shared" si="138"/>
        <v/>
      </c>
      <c r="X1663" s="1"/>
    </row>
    <row r="1664" spans="7:24">
      <c r="G1664" s="21"/>
      <c r="H1664" s="23"/>
      <c r="I1664" s="23" t="str">
        <f>_xlfn.IFNA(VLOOKUP(A1664,A1665:$H$3524,8,0),"")</f>
        <v/>
      </c>
      <c r="J1664" s="40" t="str">
        <f t="shared" si="134"/>
        <v/>
      </c>
      <c r="K1664" s="24" t="str">
        <f t="shared" si="135"/>
        <v/>
      </c>
      <c r="L1664" s="25" t="str">
        <f t="shared" si="136"/>
        <v/>
      </c>
      <c r="M1664" s="37"/>
      <c r="N1664" s="37"/>
      <c r="O1664" s="33" t="str">
        <f t="shared" si="137"/>
        <v/>
      </c>
      <c r="P1664" s="33" t="str">
        <f t="shared" si="138"/>
        <v/>
      </c>
      <c r="X1664" s="1"/>
    </row>
    <row r="1665" spans="7:24">
      <c r="G1665" s="21"/>
      <c r="H1665" s="23"/>
      <c r="I1665" s="23" t="str">
        <f>_xlfn.IFNA(VLOOKUP(A1665,A1666:$H$3524,8,0),"")</f>
        <v/>
      </c>
      <c r="J1665" s="40" t="str">
        <f t="shared" si="134"/>
        <v/>
      </c>
      <c r="K1665" s="24" t="str">
        <f t="shared" si="135"/>
        <v/>
      </c>
      <c r="L1665" s="25" t="str">
        <f t="shared" si="136"/>
        <v/>
      </c>
      <c r="M1665" s="37"/>
      <c r="N1665" s="37"/>
      <c r="O1665" s="33" t="str">
        <f t="shared" si="137"/>
        <v/>
      </c>
      <c r="P1665" s="33" t="str">
        <f t="shared" si="138"/>
        <v/>
      </c>
      <c r="X1665" s="1"/>
    </row>
    <row r="1666" spans="7:24">
      <c r="G1666" s="21"/>
      <c r="H1666" s="23"/>
      <c r="I1666" s="23" t="str">
        <f>_xlfn.IFNA(VLOOKUP(A1666,A1667:$H$3524,8,0),"")</f>
        <v/>
      </c>
      <c r="J1666" s="40" t="str">
        <f t="shared" si="134"/>
        <v/>
      </c>
      <c r="K1666" s="24" t="str">
        <f t="shared" si="135"/>
        <v/>
      </c>
      <c r="L1666" s="25" t="str">
        <f t="shared" si="136"/>
        <v/>
      </c>
      <c r="M1666" s="37"/>
      <c r="N1666" s="37"/>
      <c r="O1666" s="33" t="str">
        <f t="shared" si="137"/>
        <v/>
      </c>
      <c r="P1666" s="33" t="str">
        <f t="shared" si="138"/>
        <v/>
      </c>
      <c r="X1666" s="1"/>
    </row>
    <row r="1667" spans="7:24">
      <c r="G1667" s="21"/>
      <c r="H1667" s="23"/>
      <c r="I1667" s="23" t="str">
        <f>_xlfn.IFNA(VLOOKUP(A1667,A1668:$H$3524,8,0),"")</f>
        <v/>
      </c>
      <c r="J1667" s="40" t="str">
        <f t="shared" si="134"/>
        <v/>
      </c>
      <c r="K1667" s="24" t="str">
        <f t="shared" si="135"/>
        <v/>
      </c>
      <c r="L1667" s="25" t="str">
        <f t="shared" si="136"/>
        <v/>
      </c>
      <c r="M1667" s="37"/>
      <c r="N1667" s="37"/>
      <c r="O1667" s="33" t="str">
        <f t="shared" si="137"/>
        <v/>
      </c>
      <c r="P1667" s="33" t="str">
        <f t="shared" si="138"/>
        <v/>
      </c>
      <c r="X1667" s="1"/>
    </row>
    <row r="1668" spans="7:24">
      <c r="G1668" s="21"/>
      <c r="H1668" s="23"/>
      <c r="I1668" s="23" t="str">
        <f>_xlfn.IFNA(VLOOKUP(A1668,A1669:$H$3524,8,0),"")</f>
        <v/>
      </c>
      <c r="J1668" s="40" t="str">
        <f t="shared" si="134"/>
        <v/>
      </c>
      <c r="K1668" s="24" t="str">
        <f t="shared" si="135"/>
        <v/>
      </c>
      <c r="L1668" s="25" t="str">
        <f t="shared" si="136"/>
        <v/>
      </c>
      <c r="M1668" s="37"/>
      <c r="N1668" s="37"/>
      <c r="O1668" s="33" t="str">
        <f t="shared" si="137"/>
        <v/>
      </c>
      <c r="P1668" s="33" t="str">
        <f t="shared" si="138"/>
        <v/>
      </c>
      <c r="X1668" s="1"/>
    </row>
    <row r="1669" spans="7:24">
      <c r="G1669" s="21"/>
      <c r="H1669" s="23"/>
      <c r="I1669" s="23" t="str">
        <f>_xlfn.IFNA(VLOOKUP(A1669,A1670:$H$3524,8,0),"")</f>
        <v/>
      </c>
      <c r="J1669" s="40" t="str">
        <f t="shared" si="134"/>
        <v/>
      </c>
      <c r="K1669" s="24" t="str">
        <f t="shared" si="135"/>
        <v/>
      </c>
      <c r="L1669" s="25" t="str">
        <f t="shared" si="136"/>
        <v/>
      </c>
      <c r="M1669" s="37"/>
      <c r="N1669" s="37"/>
      <c r="O1669" s="33" t="str">
        <f t="shared" si="137"/>
        <v/>
      </c>
      <c r="P1669" s="33" t="str">
        <f t="shared" si="138"/>
        <v/>
      </c>
      <c r="X1669" s="1"/>
    </row>
    <row r="1670" spans="7:24">
      <c r="G1670" s="21"/>
      <c r="H1670" s="23"/>
      <c r="I1670" s="23" t="str">
        <f>_xlfn.IFNA(VLOOKUP(A1670,A1671:$H$3524,8,0),"")</f>
        <v/>
      </c>
      <c r="J1670" s="40" t="str">
        <f t="shared" ref="J1670:J1733" si="139">IF(B1670="OFF",0,IF(AND(D1670&lt;&gt;"",E1670&lt;&gt;""),E1670-D1670+1,""))</f>
        <v/>
      </c>
      <c r="K1670" s="24" t="str">
        <f t="shared" si="135"/>
        <v/>
      </c>
      <c r="L1670" s="25" t="str">
        <f t="shared" si="136"/>
        <v/>
      </c>
      <c r="M1670" s="37"/>
      <c r="N1670" s="37"/>
      <c r="O1670" s="33" t="str">
        <f t="shared" si="137"/>
        <v/>
      </c>
      <c r="P1670" s="33" t="str">
        <f t="shared" si="138"/>
        <v/>
      </c>
      <c r="X1670" s="1"/>
    </row>
    <row r="1671" spans="7:24">
      <c r="G1671" s="21"/>
      <c r="H1671" s="23"/>
      <c r="I1671" s="23" t="str">
        <f>_xlfn.IFNA(VLOOKUP(A1671,A1672:$H$3524,8,0),"")</f>
        <v/>
      </c>
      <c r="J1671" s="40" t="str">
        <f t="shared" si="139"/>
        <v/>
      </c>
      <c r="K1671" s="24" t="str">
        <f t="shared" si="135"/>
        <v/>
      </c>
      <c r="L1671" s="25" t="str">
        <f t="shared" si="136"/>
        <v/>
      </c>
      <c r="M1671" s="37"/>
      <c r="N1671" s="37"/>
      <c r="O1671" s="33" t="str">
        <f t="shared" si="137"/>
        <v/>
      </c>
      <c r="P1671" s="33" t="str">
        <f t="shared" si="138"/>
        <v/>
      </c>
      <c r="X1671" s="1"/>
    </row>
    <row r="1672" spans="7:24">
      <c r="G1672" s="21"/>
      <c r="H1672" s="23"/>
      <c r="I1672" s="23" t="str">
        <f>_xlfn.IFNA(VLOOKUP(A1672,A1673:$H$3524,8,0),"")</f>
        <v/>
      </c>
      <c r="J1672" s="40" t="str">
        <f t="shared" si="139"/>
        <v/>
      </c>
      <c r="K1672" s="24" t="str">
        <f t="shared" si="135"/>
        <v/>
      </c>
      <c r="L1672" s="25" t="str">
        <f t="shared" si="136"/>
        <v/>
      </c>
      <c r="M1672" s="37"/>
      <c r="N1672" s="37"/>
      <c r="O1672" s="33" t="str">
        <f t="shared" si="137"/>
        <v/>
      </c>
      <c r="P1672" s="33" t="str">
        <f t="shared" si="138"/>
        <v/>
      </c>
      <c r="X1672" s="1"/>
    </row>
    <row r="1673" spans="7:24">
      <c r="G1673" s="21"/>
      <c r="H1673" s="23"/>
      <c r="I1673" s="23" t="str">
        <f>_xlfn.IFNA(VLOOKUP(A1673,A1674:$H$3524,8,0),"")</f>
        <v/>
      </c>
      <c r="J1673" s="40" t="str">
        <f t="shared" si="139"/>
        <v/>
      </c>
      <c r="K1673" s="24" t="str">
        <f t="shared" si="135"/>
        <v/>
      </c>
      <c r="L1673" s="25" t="str">
        <f t="shared" si="136"/>
        <v/>
      </c>
      <c r="M1673" s="37"/>
      <c r="N1673" s="37"/>
      <c r="O1673" s="33" t="str">
        <f t="shared" si="137"/>
        <v/>
      </c>
      <c r="P1673" s="33" t="str">
        <f t="shared" si="138"/>
        <v/>
      </c>
      <c r="X1673" s="1"/>
    </row>
    <row r="1674" spans="7:24">
      <c r="G1674" s="21"/>
      <c r="H1674" s="23"/>
      <c r="I1674" s="23" t="str">
        <f>_xlfn.IFNA(VLOOKUP(A1674,A1675:$H$3524,8,0),"")</f>
        <v/>
      </c>
      <c r="J1674" s="40" t="str">
        <f t="shared" si="139"/>
        <v/>
      </c>
      <c r="K1674" s="24" t="str">
        <f t="shared" si="135"/>
        <v/>
      </c>
      <c r="L1674" s="25" t="str">
        <f t="shared" si="136"/>
        <v/>
      </c>
      <c r="M1674" s="37"/>
      <c r="N1674" s="37"/>
      <c r="O1674" s="33" t="str">
        <f t="shared" si="137"/>
        <v/>
      </c>
      <c r="P1674" s="33" t="str">
        <f t="shared" si="138"/>
        <v/>
      </c>
      <c r="X1674" s="1"/>
    </row>
    <row r="1675" spans="7:24">
      <c r="G1675" s="21"/>
      <c r="H1675" s="23"/>
      <c r="I1675" s="23" t="str">
        <f>_xlfn.IFNA(VLOOKUP(A1675,A1676:$H$3524,8,0),"")</f>
        <v/>
      </c>
      <c r="J1675" s="40" t="str">
        <f t="shared" si="139"/>
        <v/>
      </c>
      <c r="K1675" s="24" t="str">
        <f t="shared" si="135"/>
        <v/>
      </c>
      <c r="L1675" s="25" t="str">
        <f t="shared" si="136"/>
        <v/>
      </c>
      <c r="M1675" s="37"/>
      <c r="N1675" s="37"/>
      <c r="O1675" s="33" t="str">
        <f t="shared" si="137"/>
        <v/>
      </c>
      <c r="P1675" s="33" t="str">
        <f t="shared" si="138"/>
        <v/>
      </c>
      <c r="X1675" s="1"/>
    </row>
    <row r="1676" spans="7:24">
      <c r="G1676" s="21"/>
      <c r="H1676" s="23"/>
      <c r="I1676" s="23" t="str">
        <f>_xlfn.IFNA(VLOOKUP(A1676,A1677:$H$3524,8,0),"")</f>
        <v/>
      </c>
      <c r="J1676" s="40" t="str">
        <f t="shared" si="139"/>
        <v/>
      </c>
      <c r="K1676" s="24" t="str">
        <f t="shared" si="135"/>
        <v/>
      </c>
      <c r="L1676" s="25" t="str">
        <f t="shared" si="136"/>
        <v/>
      </c>
      <c r="M1676" s="37"/>
      <c r="N1676" s="37"/>
      <c r="O1676" s="33" t="str">
        <f t="shared" si="137"/>
        <v/>
      </c>
      <c r="P1676" s="33" t="str">
        <f t="shared" si="138"/>
        <v/>
      </c>
      <c r="X1676" s="1"/>
    </row>
    <row r="1677" spans="7:24">
      <c r="G1677" s="21"/>
      <c r="H1677" s="23"/>
      <c r="I1677" s="23" t="str">
        <f>_xlfn.IFNA(VLOOKUP(A1677,A1678:$H$3524,8,0),"")</f>
        <v/>
      </c>
      <c r="J1677" s="40" t="str">
        <f t="shared" si="139"/>
        <v/>
      </c>
      <c r="K1677" s="24" t="str">
        <f t="shared" si="135"/>
        <v/>
      </c>
      <c r="L1677" s="25" t="str">
        <f t="shared" si="136"/>
        <v/>
      </c>
      <c r="M1677" s="37"/>
      <c r="N1677" s="37"/>
      <c r="O1677" s="33" t="str">
        <f t="shared" si="137"/>
        <v/>
      </c>
      <c r="P1677" s="33" t="str">
        <f t="shared" si="138"/>
        <v/>
      </c>
      <c r="X1677" s="1"/>
    </row>
    <row r="1678" spans="7:24">
      <c r="G1678" s="21"/>
      <c r="H1678" s="23"/>
      <c r="I1678" s="23" t="str">
        <f>_xlfn.IFNA(VLOOKUP(A1678,A1679:$H$3524,8,0),"")</f>
        <v/>
      </c>
      <c r="J1678" s="40" t="str">
        <f t="shared" si="139"/>
        <v/>
      </c>
      <c r="K1678" s="24" t="str">
        <f t="shared" si="135"/>
        <v/>
      </c>
      <c r="L1678" s="25" t="str">
        <f t="shared" si="136"/>
        <v/>
      </c>
      <c r="M1678" s="37"/>
      <c r="N1678" s="37"/>
      <c r="O1678" s="33" t="str">
        <f t="shared" si="137"/>
        <v/>
      </c>
      <c r="P1678" s="33" t="str">
        <f t="shared" si="138"/>
        <v/>
      </c>
      <c r="X1678" s="1"/>
    </row>
    <row r="1679" spans="7:24">
      <c r="G1679" s="21"/>
      <c r="H1679" s="23"/>
      <c r="I1679" s="23" t="str">
        <f>_xlfn.IFNA(VLOOKUP(A1679,A1680:$H$3524,8,0),"")</f>
        <v/>
      </c>
      <c r="J1679" s="40" t="str">
        <f t="shared" si="139"/>
        <v/>
      </c>
      <c r="K1679" s="24" t="str">
        <f t="shared" si="135"/>
        <v/>
      </c>
      <c r="L1679" s="25" t="str">
        <f t="shared" si="136"/>
        <v/>
      </c>
      <c r="M1679" s="37"/>
      <c r="N1679" s="37"/>
      <c r="O1679" s="33" t="str">
        <f t="shared" si="137"/>
        <v/>
      </c>
      <c r="P1679" s="33" t="str">
        <f t="shared" si="138"/>
        <v/>
      </c>
      <c r="X1679" s="1"/>
    </row>
    <row r="1680" spans="7:24">
      <c r="G1680" s="21"/>
      <c r="H1680" s="23"/>
      <c r="I1680" s="23" t="str">
        <f>_xlfn.IFNA(VLOOKUP(A1680,A1681:$H$3524,8,0),"")</f>
        <v/>
      </c>
      <c r="J1680" s="40" t="str">
        <f t="shared" si="139"/>
        <v/>
      </c>
      <c r="K1680" s="24" t="str">
        <f t="shared" si="135"/>
        <v/>
      </c>
      <c r="L1680" s="25" t="str">
        <f t="shared" si="136"/>
        <v/>
      </c>
      <c r="M1680" s="37"/>
      <c r="N1680" s="37"/>
      <c r="O1680" s="33" t="str">
        <f t="shared" si="137"/>
        <v/>
      </c>
      <c r="P1680" s="33" t="str">
        <f t="shared" si="138"/>
        <v/>
      </c>
      <c r="X1680" s="1"/>
    </row>
    <row r="1681" spans="7:24">
      <c r="G1681" s="21"/>
      <c r="H1681" s="23"/>
      <c r="I1681" s="23" t="str">
        <f>_xlfn.IFNA(VLOOKUP(A1681,A1682:$H$3524,8,0),"")</f>
        <v/>
      </c>
      <c r="J1681" s="40" t="str">
        <f t="shared" si="139"/>
        <v/>
      </c>
      <c r="K1681" s="24" t="str">
        <f t="shared" si="135"/>
        <v/>
      </c>
      <c r="L1681" s="25" t="str">
        <f t="shared" si="136"/>
        <v/>
      </c>
      <c r="M1681" s="37"/>
      <c r="N1681" s="37"/>
      <c r="O1681" s="33" t="str">
        <f t="shared" si="137"/>
        <v/>
      </c>
      <c r="P1681" s="33" t="str">
        <f t="shared" si="138"/>
        <v/>
      </c>
      <c r="X1681" s="1"/>
    </row>
    <row r="1682" spans="7:24">
      <c r="G1682" s="21"/>
      <c r="H1682" s="23"/>
      <c r="I1682" s="23" t="str">
        <f>_xlfn.IFNA(VLOOKUP(A1682,A1683:$H$3524,8,0),"")</f>
        <v/>
      </c>
      <c r="J1682" s="40" t="str">
        <f t="shared" si="139"/>
        <v/>
      </c>
      <c r="K1682" s="24" t="str">
        <f t="shared" si="135"/>
        <v/>
      </c>
      <c r="L1682" s="25" t="str">
        <f t="shared" si="136"/>
        <v/>
      </c>
      <c r="M1682" s="37"/>
      <c r="N1682" s="37"/>
      <c r="O1682" s="33" t="str">
        <f t="shared" si="137"/>
        <v/>
      </c>
      <c r="P1682" s="33" t="str">
        <f t="shared" si="138"/>
        <v/>
      </c>
      <c r="X1682" s="1"/>
    </row>
    <row r="1683" spans="7:24">
      <c r="G1683" s="21"/>
      <c r="H1683" s="23"/>
      <c r="I1683" s="23" t="str">
        <f>_xlfn.IFNA(VLOOKUP(A1683,A1684:$H$3524,8,0),"")</f>
        <v/>
      </c>
      <c r="J1683" s="40" t="str">
        <f t="shared" si="139"/>
        <v/>
      </c>
      <c r="K1683" s="24" t="str">
        <f t="shared" si="135"/>
        <v/>
      </c>
      <c r="L1683" s="25" t="str">
        <f t="shared" si="136"/>
        <v/>
      </c>
      <c r="M1683" s="37"/>
      <c r="N1683" s="37"/>
      <c r="O1683" s="33" t="str">
        <f t="shared" si="137"/>
        <v/>
      </c>
      <c r="P1683" s="33" t="str">
        <f t="shared" si="138"/>
        <v/>
      </c>
      <c r="X1683" s="1"/>
    </row>
    <row r="1684" spans="7:24">
      <c r="G1684" s="21"/>
      <c r="H1684" s="23"/>
      <c r="I1684" s="23" t="str">
        <f>_xlfn.IFNA(VLOOKUP(A1684,A1685:$H$3524,8,0),"")</f>
        <v/>
      </c>
      <c r="J1684" s="40" t="str">
        <f t="shared" si="139"/>
        <v/>
      </c>
      <c r="K1684" s="24" t="str">
        <f t="shared" si="135"/>
        <v/>
      </c>
      <c r="L1684" s="25" t="str">
        <f t="shared" si="136"/>
        <v/>
      </c>
      <c r="M1684" s="37"/>
      <c r="N1684" s="37"/>
      <c r="O1684" s="33" t="str">
        <f t="shared" si="137"/>
        <v/>
      </c>
      <c r="P1684" s="33" t="str">
        <f t="shared" si="138"/>
        <v/>
      </c>
      <c r="X1684" s="1"/>
    </row>
    <row r="1685" spans="7:24">
      <c r="G1685" s="21"/>
      <c r="H1685" s="23"/>
      <c r="I1685" s="23" t="str">
        <f>_xlfn.IFNA(VLOOKUP(A1685,A1686:$H$3524,8,0),"")</f>
        <v/>
      </c>
      <c r="J1685" s="40" t="str">
        <f t="shared" si="139"/>
        <v/>
      </c>
      <c r="K1685" s="24" t="str">
        <f t="shared" si="135"/>
        <v/>
      </c>
      <c r="L1685" s="25" t="str">
        <f t="shared" si="136"/>
        <v/>
      </c>
      <c r="M1685" s="37"/>
      <c r="N1685" s="37"/>
      <c r="O1685" s="33" t="str">
        <f t="shared" si="137"/>
        <v/>
      </c>
      <c r="P1685" s="33" t="str">
        <f t="shared" si="138"/>
        <v/>
      </c>
      <c r="X1685" s="1"/>
    </row>
    <row r="1686" spans="7:24">
      <c r="G1686" s="21"/>
      <c r="H1686" s="23"/>
      <c r="I1686" s="23" t="str">
        <f>_xlfn.IFNA(VLOOKUP(A1686,A1687:$H$3524,8,0),"")</f>
        <v/>
      </c>
      <c r="J1686" s="40" t="str">
        <f t="shared" si="139"/>
        <v/>
      </c>
      <c r="K1686" s="24" t="str">
        <f t="shared" ref="K1686:K1749" si="140">IF(H1686="","",IFERROR((I1686-H1686)*24,0))</f>
        <v/>
      </c>
      <c r="L1686" s="25" t="str">
        <f t="shared" si="136"/>
        <v/>
      </c>
      <c r="M1686" s="37"/>
      <c r="N1686" s="37"/>
      <c r="O1686" s="33" t="str">
        <f t="shared" si="137"/>
        <v/>
      </c>
      <c r="P1686" s="33" t="str">
        <f t="shared" si="138"/>
        <v/>
      </c>
      <c r="X1686" s="1"/>
    </row>
    <row r="1687" spans="7:24">
      <c r="G1687" s="21"/>
      <c r="H1687" s="23"/>
      <c r="I1687" s="23" t="str">
        <f>_xlfn.IFNA(VLOOKUP(A1687,A1688:$H$3524,8,0),"")</f>
        <v/>
      </c>
      <c r="J1687" s="40" t="str">
        <f t="shared" si="139"/>
        <v/>
      </c>
      <c r="K1687" s="24" t="str">
        <f t="shared" si="140"/>
        <v/>
      </c>
      <c r="L1687" s="25" t="str">
        <f t="shared" si="136"/>
        <v/>
      </c>
      <c r="M1687" s="37"/>
      <c r="N1687" s="37"/>
      <c r="O1687" s="33" t="str">
        <f t="shared" si="137"/>
        <v/>
      </c>
      <c r="P1687" s="33" t="str">
        <f t="shared" si="138"/>
        <v/>
      </c>
      <c r="X1687" s="1"/>
    </row>
    <row r="1688" spans="7:24">
      <c r="G1688" s="21"/>
      <c r="H1688" s="23"/>
      <c r="I1688" s="23" t="str">
        <f>_xlfn.IFNA(VLOOKUP(A1688,A1689:$H$3524,8,0),"")</f>
        <v/>
      </c>
      <c r="J1688" s="40" t="str">
        <f t="shared" si="139"/>
        <v/>
      </c>
      <c r="K1688" s="24" t="str">
        <f t="shared" si="140"/>
        <v/>
      </c>
      <c r="L1688" s="25" t="str">
        <f t="shared" si="136"/>
        <v/>
      </c>
      <c r="M1688" s="37"/>
      <c r="N1688" s="37"/>
      <c r="O1688" s="33" t="str">
        <f t="shared" si="137"/>
        <v/>
      </c>
      <c r="P1688" s="33" t="str">
        <f t="shared" si="138"/>
        <v/>
      </c>
      <c r="X1688" s="1"/>
    </row>
    <row r="1689" spans="7:24">
      <c r="G1689" s="21"/>
      <c r="H1689" s="23"/>
      <c r="I1689" s="23" t="str">
        <f>_xlfn.IFNA(VLOOKUP(A1689,A1690:$H$3524,8,0),"")</f>
        <v/>
      </c>
      <c r="J1689" s="40" t="str">
        <f t="shared" si="139"/>
        <v/>
      </c>
      <c r="K1689" s="24" t="str">
        <f t="shared" si="140"/>
        <v/>
      </c>
      <c r="L1689" s="25" t="str">
        <f t="shared" si="136"/>
        <v/>
      </c>
      <c r="M1689" s="37"/>
      <c r="N1689" s="37"/>
      <c r="O1689" s="33" t="str">
        <f t="shared" si="137"/>
        <v/>
      </c>
      <c r="P1689" s="33" t="str">
        <f t="shared" si="138"/>
        <v/>
      </c>
      <c r="X1689" s="1"/>
    </row>
    <row r="1690" spans="7:24">
      <c r="G1690" s="21"/>
      <c r="H1690" s="23"/>
      <c r="I1690" s="23" t="str">
        <f>_xlfn.IFNA(VLOOKUP(A1690,A1691:$H$3524,8,0),"")</f>
        <v/>
      </c>
      <c r="J1690" s="40" t="str">
        <f t="shared" si="139"/>
        <v/>
      </c>
      <c r="K1690" s="24" t="str">
        <f t="shared" si="140"/>
        <v/>
      </c>
      <c r="L1690" s="25" t="str">
        <f t="shared" si="136"/>
        <v/>
      </c>
      <c r="M1690" s="37"/>
      <c r="N1690" s="37"/>
      <c r="O1690" s="33" t="str">
        <f t="shared" si="137"/>
        <v/>
      </c>
      <c r="P1690" s="33" t="str">
        <f t="shared" si="138"/>
        <v/>
      </c>
      <c r="X1690" s="1"/>
    </row>
    <row r="1691" spans="7:24">
      <c r="G1691" s="21"/>
      <c r="H1691" s="23"/>
      <c r="I1691" s="23" t="str">
        <f>_xlfn.IFNA(VLOOKUP(A1691,A1692:$H$3524,8,0),"")</f>
        <v/>
      </c>
      <c r="J1691" s="40" t="str">
        <f t="shared" si="139"/>
        <v/>
      </c>
      <c r="K1691" s="24" t="str">
        <f t="shared" si="140"/>
        <v/>
      </c>
      <c r="L1691" s="25" t="str">
        <f t="shared" si="136"/>
        <v/>
      </c>
      <c r="M1691" s="37"/>
      <c r="N1691" s="37"/>
      <c r="O1691" s="33" t="str">
        <f t="shared" si="137"/>
        <v/>
      </c>
      <c r="P1691" s="33" t="str">
        <f t="shared" si="138"/>
        <v/>
      </c>
      <c r="X1691" s="1"/>
    </row>
    <row r="1692" spans="7:24">
      <c r="G1692" s="21"/>
      <c r="H1692" s="23"/>
      <c r="I1692" s="23" t="str">
        <f>_xlfn.IFNA(VLOOKUP(A1692,A1693:$H$3524,8,0),"")</f>
        <v/>
      </c>
      <c r="J1692" s="40" t="str">
        <f t="shared" si="139"/>
        <v/>
      </c>
      <c r="K1692" s="24" t="str">
        <f t="shared" si="140"/>
        <v/>
      </c>
      <c r="L1692" s="25" t="str">
        <f t="shared" si="136"/>
        <v/>
      </c>
      <c r="M1692" s="37"/>
      <c r="N1692" s="37"/>
      <c r="O1692" s="33" t="str">
        <f t="shared" si="137"/>
        <v/>
      </c>
      <c r="P1692" s="33" t="str">
        <f t="shared" si="138"/>
        <v/>
      </c>
      <c r="X1692" s="1"/>
    </row>
    <row r="1693" spans="7:24">
      <c r="G1693" s="21"/>
      <c r="H1693" s="23"/>
      <c r="I1693" s="23" t="str">
        <f>_xlfn.IFNA(VLOOKUP(A1693,A1694:$H$3524,8,0),"")</f>
        <v/>
      </c>
      <c r="J1693" s="40" t="str">
        <f t="shared" si="139"/>
        <v/>
      </c>
      <c r="K1693" s="24" t="str">
        <f t="shared" si="140"/>
        <v/>
      </c>
      <c r="L1693" s="25" t="str">
        <f t="shared" si="136"/>
        <v/>
      </c>
      <c r="M1693" s="37"/>
      <c r="N1693" s="37"/>
      <c r="O1693" s="33" t="str">
        <f t="shared" si="137"/>
        <v/>
      </c>
      <c r="P1693" s="33" t="str">
        <f t="shared" si="138"/>
        <v/>
      </c>
      <c r="X1693" s="1"/>
    </row>
    <row r="1694" spans="7:24">
      <c r="G1694" s="21"/>
      <c r="H1694" s="23"/>
      <c r="I1694" s="23" t="str">
        <f>_xlfn.IFNA(VLOOKUP(A1694,A1695:$H$3524,8,0),"")</f>
        <v/>
      </c>
      <c r="J1694" s="40" t="str">
        <f t="shared" si="139"/>
        <v/>
      </c>
      <c r="K1694" s="24" t="str">
        <f t="shared" si="140"/>
        <v/>
      </c>
      <c r="L1694" s="25" t="str">
        <f t="shared" si="136"/>
        <v/>
      </c>
      <c r="M1694" s="37"/>
      <c r="N1694" s="37"/>
      <c r="O1694" s="33" t="str">
        <f t="shared" si="137"/>
        <v/>
      </c>
      <c r="P1694" s="33" t="str">
        <f t="shared" si="138"/>
        <v/>
      </c>
      <c r="X1694" s="1"/>
    </row>
    <row r="1695" spans="7:24">
      <c r="G1695" s="21"/>
      <c r="H1695" s="23"/>
      <c r="I1695" s="23" t="str">
        <f>_xlfn.IFNA(VLOOKUP(A1695,A1696:$H$3524,8,0),"")</f>
        <v/>
      </c>
      <c r="J1695" s="40" t="str">
        <f t="shared" si="139"/>
        <v/>
      </c>
      <c r="K1695" s="24" t="str">
        <f t="shared" si="140"/>
        <v/>
      </c>
      <c r="L1695" s="25" t="str">
        <f t="shared" si="136"/>
        <v/>
      </c>
      <c r="M1695" s="37"/>
      <c r="N1695" s="37"/>
      <c r="O1695" s="33" t="str">
        <f t="shared" si="137"/>
        <v/>
      </c>
      <c r="P1695" s="33" t="str">
        <f t="shared" si="138"/>
        <v/>
      </c>
      <c r="X1695" s="1"/>
    </row>
    <row r="1696" spans="7:24">
      <c r="G1696" s="21"/>
      <c r="H1696" s="23"/>
      <c r="I1696" s="23" t="str">
        <f>_xlfn.IFNA(VLOOKUP(A1696,A1697:$H$3524,8,0),"")</f>
        <v/>
      </c>
      <c r="J1696" s="40" t="str">
        <f t="shared" si="139"/>
        <v/>
      </c>
      <c r="K1696" s="24" t="str">
        <f t="shared" si="140"/>
        <v/>
      </c>
      <c r="L1696" s="25" t="str">
        <f t="shared" si="136"/>
        <v/>
      </c>
      <c r="M1696" s="37"/>
      <c r="N1696" s="37"/>
      <c r="O1696" s="33" t="str">
        <f t="shared" si="137"/>
        <v/>
      </c>
      <c r="P1696" s="33" t="str">
        <f t="shared" si="138"/>
        <v/>
      </c>
      <c r="X1696" s="1"/>
    </row>
    <row r="1697" spans="7:24">
      <c r="G1697" s="21"/>
      <c r="H1697" s="23"/>
      <c r="I1697" s="23" t="str">
        <f>_xlfn.IFNA(VLOOKUP(A1697,A1698:$H$3524,8,0),"")</f>
        <v/>
      </c>
      <c r="J1697" s="40" t="str">
        <f t="shared" si="139"/>
        <v/>
      </c>
      <c r="K1697" s="24" t="str">
        <f t="shared" si="140"/>
        <v/>
      </c>
      <c r="L1697" s="25" t="str">
        <f t="shared" si="136"/>
        <v/>
      </c>
      <c r="M1697" s="37"/>
      <c r="N1697" s="37"/>
      <c r="O1697" s="33" t="str">
        <f t="shared" si="137"/>
        <v/>
      </c>
      <c r="P1697" s="33" t="str">
        <f t="shared" si="138"/>
        <v/>
      </c>
      <c r="X1697" s="1"/>
    </row>
    <row r="1698" spans="7:24">
      <c r="G1698" s="21"/>
      <c r="H1698" s="23"/>
      <c r="I1698" s="23" t="str">
        <f>_xlfn.IFNA(VLOOKUP(A1698,A1699:$H$3524,8,0),"")</f>
        <v/>
      </c>
      <c r="J1698" s="40" t="str">
        <f t="shared" si="139"/>
        <v/>
      </c>
      <c r="K1698" s="24" t="str">
        <f t="shared" si="140"/>
        <v/>
      </c>
      <c r="L1698" s="25" t="str">
        <f t="shared" si="136"/>
        <v/>
      </c>
      <c r="M1698" s="37"/>
      <c r="N1698" s="37"/>
      <c r="O1698" s="33" t="str">
        <f t="shared" si="137"/>
        <v/>
      </c>
      <c r="P1698" s="33" t="str">
        <f t="shared" si="138"/>
        <v/>
      </c>
      <c r="X1698" s="1"/>
    </row>
    <row r="1699" spans="7:24">
      <c r="G1699" s="21"/>
      <c r="H1699" s="23"/>
      <c r="I1699" s="23" t="str">
        <f>_xlfn.IFNA(VLOOKUP(A1699,A1700:$H$3524,8,0),"")</f>
        <v/>
      </c>
      <c r="J1699" s="40" t="str">
        <f t="shared" si="139"/>
        <v/>
      </c>
      <c r="K1699" s="24" t="str">
        <f t="shared" si="140"/>
        <v/>
      </c>
      <c r="L1699" s="25" t="str">
        <f t="shared" si="136"/>
        <v/>
      </c>
      <c r="M1699" s="37"/>
      <c r="N1699" s="37"/>
      <c r="O1699" s="33" t="str">
        <f t="shared" si="137"/>
        <v/>
      </c>
      <c r="P1699" s="33" t="str">
        <f t="shared" si="138"/>
        <v/>
      </c>
      <c r="X1699" s="1"/>
    </row>
    <row r="1700" spans="7:24">
      <c r="G1700" s="21"/>
      <c r="H1700" s="23"/>
      <c r="I1700" s="23" t="str">
        <f>_xlfn.IFNA(VLOOKUP(A1700,A1701:$H$3524,8,0),"")</f>
        <v/>
      </c>
      <c r="J1700" s="40" t="str">
        <f t="shared" si="139"/>
        <v/>
      </c>
      <c r="K1700" s="24" t="str">
        <f t="shared" si="140"/>
        <v/>
      </c>
      <c r="L1700" s="25" t="str">
        <f t="shared" si="136"/>
        <v/>
      </c>
      <c r="M1700" s="37"/>
      <c r="N1700" s="37"/>
      <c r="O1700" s="33" t="str">
        <f t="shared" si="137"/>
        <v/>
      </c>
      <c r="P1700" s="33" t="str">
        <f t="shared" si="138"/>
        <v/>
      </c>
      <c r="X1700" s="1"/>
    </row>
    <row r="1701" spans="7:24">
      <c r="G1701" s="21"/>
      <c r="H1701" s="23"/>
      <c r="I1701" s="23" t="str">
        <f>_xlfn.IFNA(VLOOKUP(A1701,A1702:$H$3524,8,0),"")</f>
        <v/>
      </c>
      <c r="J1701" s="40" t="str">
        <f t="shared" si="139"/>
        <v/>
      </c>
      <c r="K1701" s="24" t="str">
        <f t="shared" si="140"/>
        <v/>
      </c>
      <c r="L1701" s="25" t="str">
        <f t="shared" si="136"/>
        <v/>
      </c>
      <c r="M1701" s="37"/>
      <c r="N1701" s="37"/>
      <c r="O1701" s="33" t="str">
        <f t="shared" si="137"/>
        <v/>
      </c>
      <c r="P1701" s="33" t="str">
        <f t="shared" si="138"/>
        <v/>
      </c>
      <c r="X1701" s="1"/>
    </row>
    <row r="1702" spans="7:24">
      <c r="G1702" s="21"/>
      <c r="H1702" s="23"/>
      <c r="I1702" s="23" t="str">
        <f>_xlfn.IFNA(VLOOKUP(A1702,A1703:$H$3524,8,0),"")</f>
        <v/>
      </c>
      <c r="J1702" s="40" t="str">
        <f t="shared" si="139"/>
        <v/>
      </c>
      <c r="K1702" s="24" t="str">
        <f t="shared" si="140"/>
        <v/>
      </c>
      <c r="L1702" s="25" t="str">
        <f t="shared" si="136"/>
        <v/>
      </c>
      <c r="M1702" s="37"/>
      <c r="N1702" s="37"/>
      <c r="O1702" s="33" t="str">
        <f t="shared" si="137"/>
        <v/>
      </c>
      <c r="P1702" s="33" t="str">
        <f t="shared" si="138"/>
        <v/>
      </c>
      <c r="X1702" s="1"/>
    </row>
    <row r="1703" spans="7:24">
      <c r="G1703" s="21"/>
      <c r="H1703" s="23"/>
      <c r="I1703" s="23" t="str">
        <f>_xlfn.IFNA(VLOOKUP(A1703,A1704:$H$3524,8,0),"")</f>
        <v/>
      </c>
      <c r="J1703" s="40" t="str">
        <f t="shared" si="139"/>
        <v/>
      </c>
      <c r="K1703" s="24" t="str">
        <f t="shared" si="140"/>
        <v/>
      </c>
      <c r="L1703" s="25" t="str">
        <f t="shared" si="136"/>
        <v/>
      </c>
      <c r="M1703" s="37"/>
      <c r="N1703" s="37"/>
      <c r="O1703" s="33" t="str">
        <f t="shared" si="137"/>
        <v/>
      </c>
      <c r="P1703" s="33" t="str">
        <f t="shared" si="138"/>
        <v/>
      </c>
      <c r="X1703" s="1"/>
    </row>
    <row r="1704" spans="7:24">
      <c r="G1704" s="21"/>
      <c r="H1704" s="23"/>
      <c r="I1704" s="23" t="str">
        <f>_xlfn.IFNA(VLOOKUP(A1704,A1705:$H$3524,8,0),"")</f>
        <v/>
      </c>
      <c r="J1704" s="40" t="str">
        <f t="shared" si="139"/>
        <v/>
      </c>
      <c r="K1704" s="24" t="str">
        <f t="shared" si="140"/>
        <v/>
      </c>
      <c r="L1704" s="25" t="str">
        <f t="shared" si="136"/>
        <v/>
      </c>
      <c r="M1704" s="37"/>
      <c r="N1704" s="37"/>
      <c r="O1704" s="33" t="str">
        <f t="shared" si="137"/>
        <v/>
      </c>
      <c r="P1704" s="33" t="str">
        <f t="shared" si="138"/>
        <v/>
      </c>
      <c r="X1704" s="1"/>
    </row>
    <row r="1705" spans="7:24">
      <c r="G1705" s="21"/>
      <c r="H1705" s="23"/>
      <c r="I1705" s="23" t="str">
        <f>_xlfn.IFNA(VLOOKUP(A1705,A1706:$H$3524,8,0),"")</f>
        <v/>
      </c>
      <c r="J1705" s="40" t="str">
        <f t="shared" si="139"/>
        <v/>
      </c>
      <c r="K1705" s="24" t="str">
        <f t="shared" si="140"/>
        <v/>
      </c>
      <c r="L1705" s="25" t="str">
        <f t="shared" si="136"/>
        <v/>
      </c>
      <c r="M1705" s="37"/>
      <c r="N1705" s="37"/>
      <c r="O1705" s="33" t="str">
        <f t="shared" si="137"/>
        <v/>
      </c>
      <c r="P1705" s="33" t="str">
        <f t="shared" si="138"/>
        <v/>
      </c>
      <c r="X1705" s="1"/>
    </row>
    <row r="1706" spans="7:24">
      <c r="G1706" s="21"/>
      <c r="H1706" s="23"/>
      <c r="I1706" s="23" t="str">
        <f>_xlfn.IFNA(VLOOKUP(A1706,A1707:$H$3524,8,0),"")</f>
        <v/>
      </c>
      <c r="J1706" s="40" t="str">
        <f t="shared" si="139"/>
        <v/>
      </c>
      <c r="K1706" s="24" t="str">
        <f t="shared" si="140"/>
        <v/>
      </c>
      <c r="L1706" s="25" t="str">
        <f t="shared" si="136"/>
        <v/>
      </c>
      <c r="M1706" s="37"/>
      <c r="N1706" s="37"/>
      <c r="O1706" s="33" t="str">
        <f t="shared" si="137"/>
        <v/>
      </c>
      <c r="P1706" s="33" t="str">
        <f t="shared" si="138"/>
        <v/>
      </c>
      <c r="X1706" s="1"/>
    </row>
    <row r="1707" spans="7:24">
      <c r="G1707" s="21"/>
      <c r="H1707" s="23"/>
      <c r="I1707" s="23" t="str">
        <f>_xlfn.IFNA(VLOOKUP(A1707,A1708:$H$3524,8,0),"")</f>
        <v/>
      </c>
      <c r="J1707" s="40" t="str">
        <f t="shared" si="139"/>
        <v/>
      </c>
      <c r="K1707" s="24" t="str">
        <f t="shared" si="140"/>
        <v/>
      </c>
      <c r="L1707" s="25" t="str">
        <f t="shared" si="136"/>
        <v/>
      </c>
      <c r="M1707" s="37"/>
      <c r="N1707" s="37"/>
      <c r="O1707" s="33" t="str">
        <f t="shared" si="137"/>
        <v/>
      </c>
      <c r="P1707" s="33" t="str">
        <f t="shared" si="138"/>
        <v/>
      </c>
      <c r="X1707" s="1"/>
    </row>
    <row r="1708" spans="7:24">
      <c r="G1708" s="21"/>
      <c r="H1708" s="23"/>
      <c r="I1708" s="23" t="str">
        <f>_xlfn.IFNA(VLOOKUP(A1708,A1709:$H$3524,8,0),"")</f>
        <v/>
      </c>
      <c r="J1708" s="40" t="str">
        <f t="shared" si="139"/>
        <v/>
      </c>
      <c r="K1708" s="24" t="str">
        <f t="shared" si="140"/>
        <v/>
      </c>
      <c r="L1708" s="25" t="str">
        <f t="shared" si="136"/>
        <v/>
      </c>
      <c r="M1708" s="37"/>
      <c r="N1708" s="37"/>
      <c r="O1708" s="33" t="str">
        <f t="shared" si="137"/>
        <v/>
      </c>
      <c r="P1708" s="33" t="str">
        <f t="shared" si="138"/>
        <v/>
      </c>
      <c r="X1708" s="1"/>
    </row>
    <row r="1709" spans="7:24">
      <c r="G1709" s="21"/>
      <c r="H1709" s="23"/>
      <c r="I1709" s="23" t="str">
        <f>_xlfn.IFNA(VLOOKUP(A1709,A1710:$H$3524,8,0),"")</f>
        <v/>
      </c>
      <c r="J1709" s="40" t="str">
        <f t="shared" si="139"/>
        <v/>
      </c>
      <c r="K1709" s="24" t="str">
        <f t="shared" si="140"/>
        <v/>
      </c>
      <c r="L1709" s="25" t="str">
        <f t="shared" si="136"/>
        <v/>
      </c>
      <c r="M1709" s="37"/>
      <c r="N1709" s="37"/>
      <c r="O1709" s="33" t="str">
        <f t="shared" si="137"/>
        <v/>
      </c>
      <c r="P1709" s="33" t="str">
        <f t="shared" si="138"/>
        <v/>
      </c>
      <c r="X1709" s="1"/>
    </row>
    <row r="1710" spans="7:24">
      <c r="G1710" s="21"/>
      <c r="H1710" s="23"/>
      <c r="I1710" s="23" t="str">
        <f>_xlfn.IFNA(VLOOKUP(A1710,A1711:$H$3524,8,0),"")</f>
        <v/>
      </c>
      <c r="J1710" s="40" t="str">
        <f t="shared" si="139"/>
        <v/>
      </c>
      <c r="K1710" s="24" t="str">
        <f t="shared" si="140"/>
        <v/>
      </c>
      <c r="L1710" s="25" t="str">
        <f t="shared" si="136"/>
        <v/>
      </c>
      <c r="M1710" s="37"/>
      <c r="N1710" s="37"/>
      <c r="O1710" s="33" t="str">
        <f t="shared" si="137"/>
        <v/>
      </c>
      <c r="P1710" s="33" t="str">
        <f t="shared" si="138"/>
        <v/>
      </c>
      <c r="X1710" s="1"/>
    </row>
    <row r="1711" spans="7:24">
      <c r="G1711" s="21"/>
      <c r="H1711" s="23"/>
      <c r="I1711" s="23" t="str">
        <f>_xlfn.IFNA(VLOOKUP(A1711,A1712:$H$3524,8,0),"")</f>
        <v/>
      </c>
      <c r="J1711" s="40" t="str">
        <f t="shared" si="139"/>
        <v/>
      </c>
      <c r="K1711" s="24" t="str">
        <f t="shared" si="140"/>
        <v/>
      </c>
      <c r="L1711" s="25" t="str">
        <f t="shared" si="136"/>
        <v/>
      </c>
      <c r="M1711" s="37"/>
      <c r="N1711" s="37"/>
      <c r="O1711" s="33" t="str">
        <f t="shared" si="137"/>
        <v/>
      </c>
      <c r="P1711" s="33" t="str">
        <f t="shared" si="138"/>
        <v/>
      </c>
      <c r="X1711" s="1"/>
    </row>
    <row r="1712" spans="7:24">
      <c r="G1712" s="21"/>
      <c r="H1712" s="23"/>
      <c r="I1712" s="23" t="str">
        <f>_xlfn.IFNA(VLOOKUP(A1712,A1713:$H$3524,8,0),"")</f>
        <v/>
      </c>
      <c r="J1712" s="40" t="str">
        <f t="shared" si="139"/>
        <v/>
      </c>
      <c r="K1712" s="24" t="str">
        <f t="shared" si="140"/>
        <v/>
      </c>
      <c r="L1712" s="25" t="str">
        <f t="shared" si="136"/>
        <v/>
      </c>
      <c r="M1712" s="37"/>
      <c r="N1712" s="37"/>
      <c r="O1712" s="33" t="str">
        <f t="shared" si="137"/>
        <v/>
      </c>
      <c r="P1712" s="33" t="str">
        <f t="shared" si="138"/>
        <v/>
      </c>
      <c r="X1712" s="1"/>
    </row>
    <row r="1713" spans="7:24">
      <c r="G1713" s="21"/>
      <c r="H1713" s="23"/>
      <c r="I1713" s="23" t="str">
        <f>_xlfn.IFNA(VLOOKUP(A1713,A1714:$H$3524,8,0),"")</f>
        <v/>
      </c>
      <c r="J1713" s="40" t="str">
        <f t="shared" si="139"/>
        <v/>
      </c>
      <c r="K1713" s="24" t="str">
        <f t="shared" si="140"/>
        <v/>
      </c>
      <c r="L1713" s="25" t="str">
        <f t="shared" si="136"/>
        <v/>
      </c>
      <c r="M1713" s="37"/>
      <c r="N1713" s="37"/>
      <c r="O1713" s="33" t="str">
        <f t="shared" si="137"/>
        <v/>
      </c>
      <c r="P1713" s="33" t="str">
        <f t="shared" si="138"/>
        <v/>
      </c>
      <c r="X1713" s="1"/>
    </row>
    <row r="1714" spans="7:24">
      <c r="G1714" s="21"/>
      <c r="H1714" s="23"/>
      <c r="I1714" s="23" t="str">
        <f>_xlfn.IFNA(VLOOKUP(A1714,A1715:$H$3524,8,0),"")</f>
        <v/>
      </c>
      <c r="J1714" s="40" t="str">
        <f t="shared" si="139"/>
        <v/>
      </c>
      <c r="K1714" s="24" t="str">
        <f t="shared" si="140"/>
        <v/>
      </c>
      <c r="L1714" s="25" t="str">
        <f t="shared" si="136"/>
        <v/>
      </c>
      <c r="M1714" s="37"/>
      <c r="N1714" s="37"/>
      <c r="O1714" s="33" t="str">
        <f t="shared" si="137"/>
        <v/>
      </c>
      <c r="P1714" s="33" t="str">
        <f t="shared" si="138"/>
        <v/>
      </c>
      <c r="X1714" s="1"/>
    </row>
    <row r="1715" spans="7:24">
      <c r="G1715" s="21"/>
      <c r="H1715" s="23"/>
      <c r="I1715" s="23" t="str">
        <f>_xlfn.IFNA(VLOOKUP(A1715,A1716:$H$3524,8,0),"")</f>
        <v/>
      </c>
      <c r="J1715" s="40" t="str">
        <f t="shared" si="139"/>
        <v/>
      </c>
      <c r="K1715" s="24" t="str">
        <f t="shared" si="140"/>
        <v/>
      </c>
      <c r="L1715" s="25" t="str">
        <f t="shared" si="136"/>
        <v/>
      </c>
      <c r="M1715" s="37"/>
      <c r="N1715" s="37"/>
      <c r="O1715" s="33" t="str">
        <f t="shared" si="137"/>
        <v/>
      </c>
      <c r="P1715" s="33" t="str">
        <f t="shared" si="138"/>
        <v/>
      </c>
      <c r="X1715" s="1"/>
    </row>
    <row r="1716" spans="7:24">
      <c r="G1716" s="21"/>
      <c r="H1716" s="23"/>
      <c r="I1716" s="23" t="str">
        <f>_xlfn.IFNA(VLOOKUP(A1716,A1717:$H$3524,8,0),"")</f>
        <v/>
      </c>
      <c r="J1716" s="40" t="str">
        <f t="shared" si="139"/>
        <v/>
      </c>
      <c r="K1716" s="24" t="str">
        <f t="shared" si="140"/>
        <v/>
      </c>
      <c r="L1716" s="25" t="str">
        <f t="shared" si="136"/>
        <v/>
      </c>
      <c r="M1716" s="37"/>
      <c r="N1716" s="37"/>
      <c r="O1716" s="33" t="str">
        <f t="shared" si="137"/>
        <v/>
      </c>
      <c r="P1716" s="33" t="str">
        <f t="shared" si="138"/>
        <v/>
      </c>
      <c r="X1716" s="1"/>
    </row>
    <row r="1717" spans="7:24">
      <c r="G1717" s="21"/>
      <c r="H1717" s="23"/>
      <c r="I1717" s="23" t="str">
        <f>_xlfn.IFNA(VLOOKUP(A1717,A1718:$H$3524,8,0),"")</f>
        <v/>
      </c>
      <c r="J1717" s="40" t="str">
        <f t="shared" si="139"/>
        <v/>
      </c>
      <c r="K1717" s="24" t="str">
        <f t="shared" si="140"/>
        <v/>
      </c>
      <c r="L1717" s="25" t="str">
        <f t="shared" si="136"/>
        <v/>
      </c>
      <c r="M1717" s="37"/>
      <c r="N1717" s="37"/>
      <c r="O1717" s="33" t="str">
        <f t="shared" si="137"/>
        <v/>
      </c>
      <c r="P1717" s="33" t="str">
        <f t="shared" si="138"/>
        <v/>
      </c>
      <c r="X1717" s="1"/>
    </row>
    <row r="1718" spans="7:24">
      <c r="G1718" s="21"/>
      <c r="H1718" s="23"/>
      <c r="I1718" s="23" t="str">
        <f>_xlfn.IFNA(VLOOKUP(A1718,A1719:$H$3524,8,0),"")</f>
        <v/>
      </c>
      <c r="J1718" s="40" t="str">
        <f t="shared" si="139"/>
        <v/>
      </c>
      <c r="K1718" s="24" t="str">
        <f t="shared" si="140"/>
        <v/>
      </c>
      <c r="L1718" s="25" t="str">
        <f t="shared" si="136"/>
        <v/>
      </c>
      <c r="M1718" s="37"/>
      <c r="N1718" s="37"/>
      <c r="O1718" s="33" t="str">
        <f t="shared" si="137"/>
        <v/>
      </c>
      <c r="P1718" s="33" t="str">
        <f t="shared" si="138"/>
        <v/>
      </c>
      <c r="X1718" s="1"/>
    </row>
    <row r="1719" spans="7:24">
      <c r="G1719" s="21"/>
      <c r="H1719" s="23"/>
      <c r="I1719" s="23" t="str">
        <f>_xlfn.IFNA(VLOOKUP(A1719,A1720:$H$3524,8,0),"")</f>
        <v/>
      </c>
      <c r="J1719" s="40" t="str">
        <f t="shared" si="139"/>
        <v/>
      </c>
      <c r="K1719" s="24" t="str">
        <f t="shared" si="140"/>
        <v/>
      </c>
      <c r="L1719" s="25" t="str">
        <f t="shared" ref="L1719:L1782" si="141">IF(K1719="","",IF(B1719="Break","Break",IF(K1719&lt;&gt;0,"Work Finished",IF(B1719="OFF","Work Finished",IF(I1719="","Working","Work Finished")))))</f>
        <v/>
      </c>
      <c r="M1719" s="37"/>
      <c r="N1719" s="37"/>
      <c r="O1719" s="33" t="str">
        <f t="shared" ref="O1719:O1782" si="142">IF(AND(J1719="",M1719="",N1719=""),"",J1719-M1719-N1719)</f>
        <v/>
      </c>
      <c r="P1719" s="33" t="str">
        <f t="shared" ref="P1719:P1782" si="143">IF(HOUR(H1719)=0,"",HOUR(H1719))</f>
        <v/>
      </c>
      <c r="X1719" s="1"/>
    </row>
    <row r="1720" spans="7:24">
      <c r="G1720" s="21"/>
      <c r="H1720" s="23"/>
      <c r="I1720" s="23" t="str">
        <f>_xlfn.IFNA(VLOOKUP(A1720,A1721:$H$3524,8,0),"")</f>
        <v/>
      </c>
      <c r="J1720" s="40" t="str">
        <f t="shared" si="139"/>
        <v/>
      </c>
      <c r="K1720" s="24" t="str">
        <f t="shared" si="140"/>
        <v/>
      </c>
      <c r="L1720" s="25" t="str">
        <f t="shared" si="141"/>
        <v/>
      </c>
      <c r="M1720" s="37"/>
      <c r="N1720" s="37"/>
      <c r="O1720" s="33" t="str">
        <f t="shared" si="142"/>
        <v/>
      </c>
      <c r="P1720" s="33" t="str">
        <f t="shared" si="143"/>
        <v/>
      </c>
      <c r="X1720" s="1"/>
    </row>
    <row r="1721" spans="7:24">
      <c r="G1721" s="21"/>
      <c r="H1721" s="23"/>
      <c r="I1721" s="23" t="str">
        <f>_xlfn.IFNA(VLOOKUP(A1721,A1722:$H$3524,8,0),"")</f>
        <v/>
      </c>
      <c r="J1721" s="40" t="str">
        <f t="shared" si="139"/>
        <v/>
      </c>
      <c r="K1721" s="24" t="str">
        <f t="shared" si="140"/>
        <v/>
      </c>
      <c r="L1721" s="25" t="str">
        <f t="shared" si="141"/>
        <v/>
      </c>
      <c r="M1721" s="37"/>
      <c r="N1721" s="37"/>
      <c r="O1721" s="33" t="str">
        <f t="shared" si="142"/>
        <v/>
      </c>
      <c r="P1721" s="33" t="str">
        <f t="shared" si="143"/>
        <v/>
      </c>
      <c r="X1721" s="1"/>
    </row>
    <row r="1722" spans="7:24">
      <c r="G1722" s="21"/>
      <c r="H1722" s="23"/>
      <c r="I1722" s="23" t="str">
        <f>_xlfn.IFNA(VLOOKUP(A1722,A1723:$H$3524,8,0),"")</f>
        <v/>
      </c>
      <c r="J1722" s="40" t="str">
        <f t="shared" si="139"/>
        <v/>
      </c>
      <c r="K1722" s="24" t="str">
        <f t="shared" si="140"/>
        <v/>
      </c>
      <c r="L1722" s="25" t="str">
        <f t="shared" si="141"/>
        <v/>
      </c>
      <c r="M1722" s="37"/>
      <c r="N1722" s="37"/>
      <c r="O1722" s="33" t="str">
        <f t="shared" si="142"/>
        <v/>
      </c>
      <c r="P1722" s="33" t="str">
        <f t="shared" si="143"/>
        <v/>
      </c>
      <c r="X1722" s="1"/>
    </row>
    <row r="1723" spans="7:24">
      <c r="G1723" s="21"/>
      <c r="H1723" s="23"/>
      <c r="I1723" s="23" t="str">
        <f>_xlfn.IFNA(VLOOKUP(A1723,A1724:$H$3524,8,0),"")</f>
        <v/>
      </c>
      <c r="J1723" s="40" t="str">
        <f t="shared" si="139"/>
        <v/>
      </c>
      <c r="K1723" s="24" t="str">
        <f t="shared" si="140"/>
        <v/>
      </c>
      <c r="L1723" s="25" t="str">
        <f t="shared" si="141"/>
        <v/>
      </c>
      <c r="M1723" s="37"/>
      <c r="N1723" s="37"/>
      <c r="O1723" s="33" t="str">
        <f t="shared" si="142"/>
        <v/>
      </c>
      <c r="P1723" s="33" t="str">
        <f t="shared" si="143"/>
        <v/>
      </c>
      <c r="X1723" s="1"/>
    </row>
    <row r="1724" spans="7:24">
      <c r="G1724" s="21"/>
      <c r="H1724" s="23"/>
      <c r="I1724" s="23" t="str">
        <f>_xlfn.IFNA(VLOOKUP(A1724,A1725:$H$3524,8,0),"")</f>
        <v/>
      </c>
      <c r="J1724" s="40" t="str">
        <f t="shared" si="139"/>
        <v/>
      </c>
      <c r="K1724" s="24" t="str">
        <f t="shared" si="140"/>
        <v/>
      </c>
      <c r="L1724" s="25" t="str">
        <f t="shared" si="141"/>
        <v/>
      </c>
      <c r="M1724" s="37"/>
      <c r="N1724" s="37"/>
      <c r="O1724" s="33" t="str">
        <f t="shared" si="142"/>
        <v/>
      </c>
      <c r="P1724" s="33" t="str">
        <f t="shared" si="143"/>
        <v/>
      </c>
      <c r="X1724" s="1"/>
    </row>
    <row r="1725" spans="7:24">
      <c r="G1725" s="21"/>
      <c r="H1725" s="23"/>
      <c r="I1725" s="23" t="str">
        <f>_xlfn.IFNA(VLOOKUP(A1725,A1726:$H$3524,8,0),"")</f>
        <v/>
      </c>
      <c r="J1725" s="40" t="str">
        <f t="shared" si="139"/>
        <v/>
      </c>
      <c r="K1725" s="24" t="str">
        <f t="shared" si="140"/>
        <v/>
      </c>
      <c r="L1725" s="25" t="str">
        <f t="shared" si="141"/>
        <v/>
      </c>
      <c r="M1725" s="37"/>
      <c r="N1725" s="37"/>
      <c r="O1725" s="33" t="str">
        <f t="shared" si="142"/>
        <v/>
      </c>
      <c r="P1725" s="33" t="str">
        <f t="shared" si="143"/>
        <v/>
      </c>
      <c r="X1725" s="1"/>
    </row>
    <row r="1726" spans="7:24">
      <c r="G1726" s="21"/>
      <c r="H1726" s="23"/>
      <c r="I1726" s="23" t="str">
        <f>_xlfn.IFNA(VLOOKUP(A1726,A1727:$H$3524,8,0),"")</f>
        <v/>
      </c>
      <c r="J1726" s="40" t="str">
        <f t="shared" si="139"/>
        <v/>
      </c>
      <c r="K1726" s="24" t="str">
        <f t="shared" si="140"/>
        <v/>
      </c>
      <c r="L1726" s="25" t="str">
        <f t="shared" si="141"/>
        <v/>
      </c>
      <c r="M1726" s="37"/>
      <c r="N1726" s="37"/>
      <c r="O1726" s="33" t="str">
        <f t="shared" si="142"/>
        <v/>
      </c>
      <c r="P1726" s="33" t="str">
        <f t="shared" si="143"/>
        <v/>
      </c>
      <c r="X1726" s="1"/>
    </row>
    <row r="1727" spans="7:24">
      <c r="G1727" s="21"/>
      <c r="H1727" s="23"/>
      <c r="I1727" s="23" t="str">
        <f>_xlfn.IFNA(VLOOKUP(A1727,A1728:$H$3524,8,0),"")</f>
        <v/>
      </c>
      <c r="J1727" s="40" t="str">
        <f t="shared" si="139"/>
        <v/>
      </c>
      <c r="K1727" s="24" t="str">
        <f t="shared" si="140"/>
        <v/>
      </c>
      <c r="L1727" s="25" t="str">
        <f t="shared" si="141"/>
        <v/>
      </c>
      <c r="M1727" s="37"/>
      <c r="N1727" s="37"/>
      <c r="O1727" s="33" t="str">
        <f t="shared" si="142"/>
        <v/>
      </c>
      <c r="P1727" s="33" t="str">
        <f t="shared" si="143"/>
        <v/>
      </c>
      <c r="X1727" s="1"/>
    </row>
    <row r="1728" spans="7:24">
      <c r="G1728" s="21"/>
      <c r="H1728" s="23"/>
      <c r="I1728" s="23" t="str">
        <f>_xlfn.IFNA(VLOOKUP(A1728,A1729:$H$3524,8,0),"")</f>
        <v/>
      </c>
      <c r="J1728" s="40" t="str">
        <f t="shared" si="139"/>
        <v/>
      </c>
      <c r="K1728" s="24" t="str">
        <f t="shared" si="140"/>
        <v/>
      </c>
      <c r="L1728" s="25" t="str">
        <f t="shared" si="141"/>
        <v/>
      </c>
      <c r="M1728" s="37"/>
      <c r="N1728" s="37"/>
      <c r="O1728" s="33" t="str">
        <f t="shared" si="142"/>
        <v/>
      </c>
      <c r="P1728" s="33" t="str">
        <f t="shared" si="143"/>
        <v/>
      </c>
      <c r="X1728" s="1"/>
    </row>
    <row r="1729" spans="7:24">
      <c r="G1729" s="21"/>
      <c r="H1729" s="23"/>
      <c r="I1729" s="23" t="str">
        <f>_xlfn.IFNA(VLOOKUP(A1729,A1730:$H$3524,8,0),"")</f>
        <v/>
      </c>
      <c r="J1729" s="40" t="str">
        <f t="shared" si="139"/>
        <v/>
      </c>
      <c r="K1729" s="24" t="str">
        <f t="shared" si="140"/>
        <v/>
      </c>
      <c r="L1729" s="25" t="str">
        <f t="shared" si="141"/>
        <v/>
      </c>
      <c r="M1729" s="37"/>
      <c r="N1729" s="37"/>
      <c r="O1729" s="33" t="str">
        <f t="shared" si="142"/>
        <v/>
      </c>
      <c r="P1729" s="33" t="str">
        <f t="shared" si="143"/>
        <v/>
      </c>
      <c r="X1729" s="1"/>
    </row>
    <row r="1730" spans="7:24">
      <c r="G1730" s="21"/>
      <c r="H1730" s="23"/>
      <c r="I1730" s="23" t="str">
        <f>_xlfn.IFNA(VLOOKUP(A1730,A1731:$H$3524,8,0),"")</f>
        <v/>
      </c>
      <c r="J1730" s="40" t="str">
        <f t="shared" si="139"/>
        <v/>
      </c>
      <c r="K1730" s="24" t="str">
        <f t="shared" si="140"/>
        <v/>
      </c>
      <c r="L1730" s="25" t="str">
        <f t="shared" si="141"/>
        <v/>
      </c>
      <c r="M1730" s="37"/>
      <c r="N1730" s="37"/>
      <c r="O1730" s="33" t="str">
        <f t="shared" si="142"/>
        <v/>
      </c>
      <c r="P1730" s="33" t="str">
        <f t="shared" si="143"/>
        <v/>
      </c>
      <c r="X1730" s="1"/>
    </row>
    <row r="1731" spans="7:24">
      <c r="G1731" s="21"/>
      <c r="H1731" s="23"/>
      <c r="I1731" s="23" t="str">
        <f>_xlfn.IFNA(VLOOKUP(A1731,A1732:$H$3524,8,0),"")</f>
        <v/>
      </c>
      <c r="J1731" s="40" t="str">
        <f t="shared" si="139"/>
        <v/>
      </c>
      <c r="K1731" s="24" t="str">
        <f t="shared" si="140"/>
        <v/>
      </c>
      <c r="L1731" s="25" t="str">
        <f t="shared" si="141"/>
        <v/>
      </c>
      <c r="M1731" s="37"/>
      <c r="N1731" s="37"/>
      <c r="O1731" s="33" t="str">
        <f t="shared" si="142"/>
        <v/>
      </c>
      <c r="P1731" s="33" t="str">
        <f t="shared" si="143"/>
        <v/>
      </c>
      <c r="X1731" s="1"/>
    </row>
    <row r="1732" spans="7:24">
      <c r="G1732" s="21"/>
      <c r="H1732" s="23"/>
      <c r="I1732" s="23" t="str">
        <f>_xlfn.IFNA(VLOOKUP(A1732,A1733:$H$3524,8,0),"")</f>
        <v/>
      </c>
      <c r="J1732" s="40" t="str">
        <f t="shared" si="139"/>
        <v/>
      </c>
      <c r="K1732" s="24" t="str">
        <f t="shared" si="140"/>
        <v/>
      </c>
      <c r="L1732" s="25" t="str">
        <f t="shared" si="141"/>
        <v/>
      </c>
      <c r="M1732" s="37"/>
      <c r="N1732" s="37"/>
      <c r="O1732" s="33" t="str">
        <f t="shared" si="142"/>
        <v/>
      </c>
      <c r="P1732" s="33" t="str">
        <f t="shared" si="143"/>
        <v/>
      </c>
      <c r="X1732" s="1"/>
    </row>
    <row r="1733" spans="7:24">
      <c r="G1733" s="21"/>
      <c r="H1733" s="23"/>
      <c r="I1733" s="23" t="str">
        <f>_xlfn.IFNA(VLOOKUP(A1733,A1734:$H$3524,8,0),"")</f>
        <v/>
      </c>
      <c r="J1733" s="40" t="str">
        <f t="shared" si="139"/>
        <v/>
      </c>
      <c r="K1733" s="24" t="str">
        <f t="shared" si="140"/>
        <v/>
      </c>
      <c r="L1733" s="25" t="str">
        <f t="shared" si="141"/>
        <v/>
      </c>
      <c r="M1733" s="37"/>
      <c r="N1733" s="37"/>
      <c r="O1733" s="33" t="str">
        <f t="shared" si="142"/>
        <v/>
      </c>
      <c r="P1733" s="33" t="str">
        <f t="shared" si="143"/>
        <v/>
      </c>
      <c r="X1733" s="1"/>
    </row>
    <row r="1734" spans="7:24">
      <c r="G1734" s="21"/>
      <c r="H1734" s="23"/>
      <c r="I1734" s="23" t="str">
        <f>_xlfn.IFNA(VLOOKUP(A1734,A1735:$H$3524,8,0),"")</f>
        <v/>
      </c>
      <c r="J1734" s="40" t="str">
        <f t="shared" ref="J1734:J1797" si="144">IF(B1734="OFF",0,IF(AND(D1734&lt;&gt;"",E1734&lt;&gt;""),E1734-D1734+1,""))</f>
        <v/>
      </c>
      <c r="K1734" s="24" t="str">
        <f t="shared" si="140"/>
        <v/>
      </c>
      <c r="L1734" s="25" t="str">
        <f t="shared" si="141"/>
        <v/>
      </c>
      <c r="M1734" s="37"/>
      <c r="N1734" s="37"/>
      <c r="O1734" s="33" t="str">
        <f t="shared" si="142"/>
        <v/>
      </c>
      <c r="P1734" s="33" t="str">
        <f t="shared" si="143"/>
        <v/>
      </c>
      <c r="X1734" s="1"/>
    </row>
    <row r="1735" spans="7:24">
      <c r="G1735" s="21"/>
      <c r="H1735" s="23"/>
      <c r="I1735" s="23" t="str">
        <f>_xlfn.IFNA(VLOOKUP(A1735,A1736:$H$3524,8,0),"")</f>
        <v/>
      </c>
      <c r="J1735" s="40" t="str">
        <f t="shared" si="144"/>
        <v/>
      </c>
      <c r="K1735" s="24" t="str">
        <f t="shared" si="140"/>
        <v/>
      </c>
      <c r="L1735" s="25" t="str">
        <f t="shared" si="141"/>
        <v/>
      </c>
      <c r="M1735" s="37"/>
      <c r="N1735" s="37"/>
      <c r="O1735" s="33" t="str">
        <f t="shared" si="142"/>
        <v/>
      </c>
      <c r="P1735" s="33" t="str">
        <f t="shared" si="143"/>
        <v/>
      </c>
      <c r="X1735" s="1"/>
    </row>
    <row r="1736" spans="7:24">
      <c r="G1736" s="21"/>
      <c r="H1736" s="23"/>
      <c r="I1736" s="23" t="str">
        <f>_xlfn.IFNA(VLOOKUP(A1736,A1737:$H$3524,8,0),"")</f>
        <v/>
      </c>
      <c r="J1736" s="40" t="str">
        <f t="shared" si="144"/>
        <v/>
      </c>
      <c r="K1736" s="24" t="str">
        <f t="shared" si="140"/>
        <v/>
      </c>
      <c r="L1736" s="25" t="str">
        <f t="shared" si="141"/>
        <v/>
      </c>
      <c r="M1736" s="37"/>
      <c r="N1736" s="37"/>
      <c r="O1736" s="33" t="str">
        <f t="shared" si="142"/>
        <v/>
      </c>
      <c r="P1736" s="33" t="str">
        <f t="shared" si="143"/>
        <v/>
      </c>
      <c r="X1736" s="1"/>
    </row>
    <row r="1737" spans="7:24">
      <c r="G1737" s="21"/>
      <c r="H1737" s="23"/>
      <c r="I1737" s="23" t="str">
        <f>_xlfn.IFNA(VLOOKUP(A1737,A1738:$H$3524,8,0),"")</f>
        <v/>
      </c>
      <c r="J1737" s="40" t="str">
        <f t="shared" si="144"/>
        <v/>
      </c>
      <c r="K1737" s="24" t="str">
        <f t="shared" si="140"/>
        <v/>
      </c>
      <c r="L1737" s="25" t="str">
        <f t="shared" si="141"/>
        <v/>
      </c>
      <c r="M1737" s="37"/>
      <c r="N1737" s="37"/>
      <c r="O1737" s="33" t="str">
        <f t="shared" si="142"/>
        <v/>
      </c>
      <c r="P1737" s="33" t="str">
        <f t="shared" si="143"/>
        <v/>
      </c>
      <c r="X1737" s="1"/>
    </row>
    <row r="1738" spans="7:24">
      <c r="G1738" s="21"/>
      <c r="H1738" s="23"/>
      <c r="I1738" s="23" t="str">
        <f>_xlfn.IFNA(VLOOKUP(A1738,A1739:$H$3524,8,0),"")</f>
        <v/>
      </c>
      <c r="J1738" s="40" t="str">
        <f t="shared" si="144"/>
        <v/>
      </c>
      <c r="K1738" s="24" t="str">
        <f t="shared" si="140"/>
        <v/>
      </c>
      <c r="L1738" s="25" t="str">
        <f t="shared" si="141"/>
        <v/>
      </c>
      <c r="M1738" s="37"/>
      <c r="N1738" s="37"/>
      <c r="O1738" s="33" t="str">
        <f t="shared" si="142"/>
        <v/>
      </c>
      <c r="P1738" s="33" t="str">
        <f t="shared" si="143"/>
        <v/>
      </c>
      <c r="X1738" s="1"/>
    </row>
    <row r="1739" spans="7:24">
      <c r="G1739" s="21"/>
      <c r="H1739" s="23"/>
      <c r="I1739" s="23" t="str">
        <f>_xlfn.IFNA(VLOOKUP(A1739,A1740:$H$3524,8,0),"")</f>
        <v/>
      </c>
      <c r="J1739" s="40" t="str">
        <f t="shared" si="144"/>
        <v/>
      </c>
      <c r="K1739" s="24" t="str">
        <f t="shared" si="140"/>
        <v/>
      </c>
      <c r="L1739" s="25" t="str">
        <f t="shared" si="141"/>
        <v/>
      </c>
      <c r="M1739" s="37"/>
      <c r="N1739" s="37"/>
      <c r="O1739" s="33" t="str">
        <f t="shared" si="142"/>
        <v/>
      </c>
      <c r="P1739" s="33" t="str">
        <f t="shared" si="143"/>
        <v/>
      </c>
      <c r="X1739" s="1"/>
    </row>
    <row r="1740" spans="7:24">
      <c r="G1740" s="21"/>
      <c r="H1740" s="23"/>
      <c r="I1740" s="23" t="str">
        <f>_xlfn.IFNA(VLOOKUP(A1740,A1741:$H$3524,8,0),"")</f>
        <v/>
      </c>
      <c r="J1740" s="40" t="str">
        <f t="shared" si="144"/>
        <v/>
      </c>
      <c r="K1740" s="24" t="str">
        <f t="shared" si="140"/>
        <v/>
      </c>
      <c r="L1740" s="25" t="str">
        <f t="shared" si="141"/>
        <v/>
      </c>
      <c r="M1740" s="37"/>
      <c r="N1740" s="37"/>
      <c r="O1740" s="33" t="str">
        <f t="shared" si="142"/>
        <v/>
      </c>
      <c r="P1740" s="33" t="str">
        <f t="shared" si="143"/>
        <v/>
      </c>
      <c r="X1740" s="1"/>
    </row>
    <row r="1741" spans="7:24">
      <c r="G1741" s="21"/>
      <c r="H1741" s="23"/>
      <c r="I1741" s="23" t="str">
        <f>_xlfn.IFNA(VLOOKUP(A1741,A1742:$H$3524,8,0),"")</f>
        <v/>
      </c>
      <c r="J1741" s="40" t="str">
        <f t="shared" si="144"/>
        <v/>
      </c>
      <c r="K1741" s="24" t="str">
        <f t="shared" si="140"/>
        <v/>
      </c>
      <c r="L1741" s="25" t="str">
        <f t="shared" si="141"/>
        <v/>
      </c>
      <c r="M1741" s="37"/>
      <c r="N1741" s="37"/>
      <c r="O1741" s="33" t="str">
        <f t="shared" si="142"/>
        <v/>
      </c>
      <c r="P1741" s="33" t="str">
        <f t="shared" si="143"/>
        <v/>
      </c>
      <c r="X1741" s="1"/>
    </row>
    <row r="1742" spans="7:24">
      <c r="G1742" s="21"/>
      <c r="H1742" s="23"/>
      <c r="I1742" s="23" t="str">
        <f>_xlfn.IFNA(VLOOKUP(A1742,A1743:$H$3524,8,0),"")</f>
        <v/>
      </c>
      <c r="J1742" s="40" t="str">
        <f t="shared" si="144"/>
        <v/>
      </c>
      <c r="K1742" s="24" t="str">
        <f t="shared" si="140"/>
        <v/>
      </c>
      <c r="L1742" s="25" t="str">
        <f t="shared" si="141"/>
        <v/>
      </c>
      <c r="M1742" s="37"/>
      <c r="N1742" s="37"/>
      <c r="O1742" s="33" t="str">
        <f t="shared" si="142"/>
        <v/>
      </c>
      <c r="P1742" s="33" t="str">
        <f t="shared" si="143"/>
        <v/>
      </c>
      <c r="X1742" s="1"/>
    </row>
    <row r="1743" spans="7:24">
      <c r="G1743" s="21"/>
      <c r="H1743" s="23"/>
      <c r="I1743" s="23" t="str">
        <f>_xlfn.IFNA(VLOOKUP(A1743,A1744:$H$3524,8,0),"")</f>
        <v/>
      </c>
      <c r="J1743" s="40" t="str">
        <f t="shared" si="144"/>
        <v/>
      </c>
      <c r="K1743" s="24" t="str">
        <f t="shared" si="140"/>
        <v/>
      </c>
      <c r="L1743" s="25" t="str">
        <f t="shared" si="141"/>
        <v/>
      </c>
      <c r="M1743" s="37"/>
      <c r="N1743" s="37"/>
      <c r="O1743" s="33" t="str">
        <f t="shared" si="142"/>
        <v/>
      </c>
      <c r="P1743" s="33" t="str">
        <f t="shared" si="143"/>
        <v/>
      </c>
      <c r="X1743" s="1"/>
    </row>
    <row r="1744" spans="7:24">
      <c r="G1744" s="21"/>
      <c r="H1744" s="23"/>
      <c r="I1744" s="23" t="str">
        <f>_xlfn.IFNA(VLOOKUP(A1744,A1745:$H$3524,8,0),"")</f>
        <v/>
      </c>
      <c r="J1744" s="40" t="str">
        <f t="shared" si="144"/>
        <v/>
      </c>
      <c r="K1744" s="24" t="str">
        <f t="shared" si="140"/>
        <v/>
      </c>
      <c r="L1744" s="25" t="str">
        <f t="shared" si="141"/>
        <v/>
      </c>
      <c r="M1744" s="37"/>
      <c r="N1744" s="37"/>
      <c r="O1744" s="33" t="str">
        <f t="shared" si="142"/>
        <v/>
      </c>
      <c r="P1744" s="33" t="str">
        <f t="shared" si="143"/>
        <v/>
      </c>
      <c r="X1744" s="1"/>
    </row>
    <row r="1745" spans="7:24">
      <c r="G1745" s="21"/>
      <c r="H1745" s="23"/>
      <c r="I1745" s="23" t="str">
        <f>_xlfn.IFNA(VLOOKUP(A1745,A1746:$H$3524,8,0),"")</f>
        <v/>
      </c>
      <c r="J1745" s="40" t="str">
        <f t="shared" si="144"/>
        <v/>
      </c>
      <c r="K1745" s="24" t="str">
        <f t="shared" si="140"/>
        <v/>
      </c>
      <c r="L1745" s="25" t="str">
        <f t="shared" si="141"/>
        <v/>
      </c>
      <c r="M1745" s="37"/>
      <c r="N1745" s="37"/>
      <c r="O1745" s="33" t="str">
        <f t="shared" si="142"/>
        <v/>
      </c>
      <c r="P1745" s="33" t="str">
        <f t="shared" si="143"/>
        <v/>
      </c>
      <c r="X1745" s="1"/>
    </row>
    <row r="1746" spans="7:24">
      <c r="G1746" s="21"/>
      <c r="H1746" s="23"/>
      <c r="I1746" s="23" t="str">
        <f>_xlfn.IFNA(VLOOKUP(A1746,A1747:$H$3524,8,0),"")</f>
        <v/>
      </c>
      <c r="J1746" s="40" t="str">
        <f t="shared" si="144"/>
        <v/>
      </c>
      <c r="K1746" s="24" t="str">
        <f t="shared" si="140"/>
        <v/>
      </c>
      <c r="L1746" s="25" t="str">
        <f t="shared" si="141"/>
        <v/>
      </c>
      <c r="M1746" s="37"/>
      <c r="N1746" s="37"/>
      <c r="O1746" s="33" t="str">
        <f t="shared" si="142"/>
        <v/>
      </c>
      <c r="P1746" s="33" t="str">
        <f t="shared" si="143"/>
        <v/>
      </c>
      <c r="X1746" s="1"/>
    </row>
    <row r="1747" spans="7:24">
      <c r="G1747" s="21"/>
      <c r="H1747" s="23"/>
      <c r="I1747" s="23" t="str">
        <f>_xlfn.IFNA(VLOOKUP(A1747,A1748:$H$3524,8,0),"")</f>
        <v/>
      </c>
      <c r="J1747" s="40" t="str">
        <f t="shared" si="144"/>
        <v/>
      </c>
      <c r="K1747" s="24" t="str">
        <f t="shared" si="140"/>
        <v/>
      </c>
      <c r="L1747" s="25" t="str">
        <f t="shared" si="141"/>
        <v/>
      </c>
      <c r="M1747" s="37"/>
      <c r="N1747" s="37"/>
      <c r="O1747" s="33" t="str">
        <f t="shared" si="142"/>
        <v/>
      </c>
      <c r="P1747" s="33" t="str">
        <f t="shared" si="143"/>
        <v/>
      </c>
      <c r="X1747" s="1"/>
    </row>
    <row r="1748" spans="7:24">
      <c r="G1748" s="21"/>
      <c r="H1748" s="23"/>
      <c r="I1748" s="23" t="str">
        <f>_xlfn.IFNA(VLOOKUP(A1748,A1749:$H$3524,8,0),"")</f>
        <v/>
      </c>
      <c r="J1748" s="40" t="str">
        <f t="shared" si="144"/>
        <v/>
      </c>
      <c r="K1748" s="24" t="str">
        <f t="shared" si="140"/>
        <v/>
      </c>
      <c r="L1748" s="25" t="str">
        <f t="shared" si="141"/>
        <v/>
      </c>
      <c r="M1748" s="37"/>
      <c r="N1748" s="37"/>
      <c r="O1748" s="33" t="str">
        <f t="shared" si="142"/>
        <v/>
      </c>
      <c r="P1748" s="33" t="str">
        <f t="shared" si="143"/>
        <v/>
      </c>
      <c r="X1748" s="1"/>
    </row>
    <row r="1749" spans="7:24">
      <c r="G1749" s="21"/>
      <c r="H1749" s="23"/>
      <c r="I1749" s="23" t="str">
        <f>_xlfn.IFNA(VLOOKUP(A1749,A1750:$H$3524,8,0),"")</f>
        <v/>
      </c>
      <c r="J1749" s="40" t="str">
        <f t="shared" si="144"/>
        <v/>
      </c>
      <c r="K1749" s="24" t="str">
        <f t="shared" si="140"/>
        <v/>
      </c>
      <c r="L1749" s="25" t="str">
        <f t="shared" si="141"/>
        <v/>
      </c>
      <c r="M1749" s="37"/>
      <c r="N1749" s="37"/>
      <c r="O1749" s="33" t="str">
        <f t="shared" si="142"/>
        <v/>
      </c>
      <c r="P1749" s="33" t="str">
        <f t="shared" si="143"/>
        <v/>
      </c>
      <c r="X1749" s="1"/>
    </row>
    <row r="1750" spans="7:24">
      <c r="G1750" s="21"/>
      <c r="H1750" s="23"/>
      <c r="I1750" s="23" t="str">
        <f>_xlfn.IFNA(VLOOKUP(A1750,A1751:$H$3524,8,0),"")</f>
        <v/>
      </c>
      <c r="J1750" s="40" t="str">
        <f t="shared" si="144"/>
        <v/>
      </c>
      <c r="K1750" s="24" t="str">
        <f t="shared" ref="K1750:K1813" si="145">IF(H1750="","",IFERROR((I1750-H1750)*24,0))</f>
        <v/>
      </c>
      <c r="L1750" s="25" t="str">
        <f t="shared" si="141"/>
        <v/>
      </c>
      <c r="M1750" s="37"/>
      <c r="N1750" s="37"/>
      <c r="O1750" s="33" t="str">
        <f t="shared" si="142"/>
        <v/>
      </c>
      <c r="P1750" s="33" t="str">
        <f t="shared" si="143"/>
        <v/>
      </c>
      <c r="X1750" s="1"/>
    </row>
    <row r="1751" spans="7:24">
      <c r="G1751" s="21"/>
      <c r="H1751" s="23"/>
      <c r="I1751" s="23" t="str">
        <f>_xlfn.IFNA(VLOOKUP(A1751,A1752:$H$3524,8,0),"")</f>
        <v/>
      </c>
      <c r="J1751" s="40" t="str">
        <f t="shared" si="144"/>
        <v/>
      </c>
      <c r="K1751" s="24" t="str">
        <f t="shared" si="145"/>
        <v/>
      </c>
      <c r="L1751" s="25" t="str">
        <f t="shared" si="141"/>
        <v/>
      </c>
      <c r="M1751" s="37"/>
      <c r="N1751" s="37"/>
      <c r="O1751" s="33" t="str">
        <f t="shared" si="142"/>
        <v/>
      </c>
      <c r="P1751" s="33" t="str">
        <f t="shared" si="143"/>
        <v/>
      </c>
      <c r="X1751" s="1"/>
    </row>
    <row r="1752" spans="7:24">
      <c r="G1752" s="21"/>
      <c r="H1752" s="23"/>
      <c r="I1752" s="23" t="str">
        <f>_xlfn.IFNA(VLOOKUP(A1752,A1753:$H$3524,8,0),"")</f>
        <v/>
      </c>
      <c r="J1752" s="40" t="str">
        <f t="shared" si="144"/>
        <v/>
      </c>
      <c r="K1752" s="24" t="str">
        <f t="shared" si="145"/>
        <v/>
      </c>
      <c r="L1752" s="25" t="str">
        <f t="shared" si="141"/>
        <v/>
      </c>
      <c r="M1752" s="37"/>
      <c r="N1752" s="37"/>
      <c r="O1752" s="33" t="str">
        <f t="shared" si="142"/>
        <v/>
      </c>
      <c r="P1752" s="33" t="str">
        <f t="shared" si="143"/>
        <v/>
      </c>
      <c r="X1752" s="1"/>
    </row>
    <row r="1753" spans="7:24">
      <c r="G1753" s="21"/>
      <c r="H1753" s="23"/>
      <c r="I1753" s="23" t="str">
        <f>_xlfn.IFNA(VLOOKUP(A1753,A1754:$H$3524,8,0),"")</f>
        <v/>
      </c>
      <c r="J1753" s="40" t="str">
        <f t="shared" si="144"/>
        <v/>
      </c>
      <c r="K1753" s="24" t="str">
        <f t="shared" si="145"/>
        <v/>
      </c>
      <c r="L1753" s="25" t="str">
        <f t="shared" si="141"/>
        <v/>
      </c>
      <c r="M1753" s="37"/>
      <c r="N1753" s="37"/>
      <c r="O1753" s="33" t="str">
        <f t="shared" si="142"/>
        <v/>
      </c>
      <c r="P1753" s="33" t="str">
        <f t="shared" si="143"/>
        <v/>
      </c>
      <c r="X1753" s="1"/>
    </row>
    <row r="1754" spans="7:24">
      <c r="G1754" s="21"/>
      <c r="H1754" s="23"/>
      <c r="I1754" s="23" t="str">
        <f>_xlfn.IFNA(VLOOKUP(A1754,A1755:$H$3524,8,0),"")</f>
        <v/>
      </c>
      <c r="J1754" s="40" t="str">
        <f t="shared" si="144"/>
        <v/>
      </c>
      <c r="K1754" s="24" t="str">
        <f t="shared" si="145"/>
        <v/>
      </c>
      <c r="L1754" s="25" t="str">
        <f t="shared" si="141"/>
        <v/>
      </c>
      <c r="M1754" s="37"/>
      <c r="N1754" s="37"/>
      <c r="O1754" s="33" t="str">
        <f t="shared" si="142"/>
        <v/>
      </c>
      <c r="P1754" s="33" t="str">
        <f t="shared" si="143"/>
        <v/>
      </c>
      <c r="X1754" s="1"/>
    </row>
    <row r="1755" spans="7:24">
      <c r="G1755" s="21"/>
      <c r="H1755" s="23"/>
      <c r="I1755" s="23" t="str">
        <f>_xlfn.IFNA(VLOOKUP(A1755,A1756:$H$3524,8,0),"")</f>
        <v/>
      </c>
      <c r="J1755" s="40" t="str">
        <f t="shared" si="144"/>
        <v/>
      </c>
      <c r="K1755" s="24" t="str">
        <f t="shared" si="145"/>
        <v/>
      </c>
      <c r="L1755" s="25" t="str">
        <f t="shared" si="141"/>
        <v/>
      </c>
      <c r="M1755" s="37"/>
      <c r="N1755" s="37"/>
      <c r="O1755" s="33" t="str">
        <f t="shared" si="142"/>
        <v/>
      </c>
      <c r="P1755" s="33" t="str">
        <f t="shared" si="143"/>
        <v/>
      </c>
      <c r="X1755" s="1"/>
    </row>
    <row r="1756" spans="7:24">
      <c r="G1756" s="21"/>
      <c r="H1756" s="23"/>
      <c r="I1756" s="23" t="str">
        <f>_xlfn.IFNA(VLOOKUP(A1756,A1757:$H$3524,8,0),"")</f>
        <v/>
      </c>
      <c r="J1756" s="40" t="str">
        <f t="shared" si="144"/>
        <v/>
      </c>
      <c r="K1756" s="24" t="str">
        <f t="shared" si="145"/>
        <v/>
      </c>
      <c r="L1756" s="25" t="str">
        <f t="shared" si="141"/>
        <v/>
      </c>
      <c r="M1756" s="37"/>
      <c r="N1756" s="37"/>
      <c r="O1756" s="33" t="str">
        <f t="shared" si="142"/>
        <v/>
      </c>
      <c r="P1756" s="33" t="str">
        <f t="shared" si="143"/>
        <v/>
      </c>
      <c r="X1756" s="1"/>
    </row>
    <row r="1757" spans="7:24">
      <c r="G1757" s="21"/>
      <c r="H1757" s="23"/>
      <c r="I1757" s="23" t="str">
        <f>_xlfn.IFNA(VLOOKUP(A1757,A1758:$H$3524,8,0),"")</f>
        <v/>
      </c>
      <c r="J1757" s="40" t="str">
        <f t="shared" si="144"/>
        <v/>
      </c>
      <c r="K1757" s="24" t="str">
        <f t="shared" si="145"/>
        <v/>
      </c>
      <c r="L1757" s="25" t="str">
        <f t="shared" si="141"/>
        <v/>
      </c>
      <c r="M1757" s="37"/>
      <c r="N1757" s="37"/>
      <c r="O1757" s="33" t="str">
        <f t="shared" si="142"/>
        <v/>
      </c>
      <c r="P1757" s="33" t="str">
        <f t="shared" si="143"/>
        <v/>
      </c>
      <c r="X1757" s="1"/>
    </row>
    <row r="1758" spans="7:24">
      <c r="G1758" s="21"/>
      <c r="H1758" s="23"/>
      <c r="I1758" s="23" t="str">
        <f>_xlfn.IFNA(VLOOKUP(A1758,A1759:$H$3524,8,0),"")</f>
        <v/>
      </c>
      <c r="J1758" s="40" t="str">
        <f t="shared" si="144"/>
        <v/>
      </c>
      <c r="K1758" s="24" t="str">
        <f t="shared" si="145"/>
        <v/>
      </c>
      <c r="L1758" s="25" t="str">
        <f t="shared" si="141"/>
        <v/>
      </c>
      <c r="M1758" s="37"/>
      <c r="N1758" s="37"/>
      <c r="O1758" s="33" t="str">
        <f t="shared" si="142"/>
        <v/>
      </c>
      <c r="P1758" s="33" t="str">
        <f t="shared" si="143"/>
        <v/>
      </c>
      <c r="X1758" s="1"/>
    </row>
    <row r="1759" spans="7:24">
      <c r="G1759" s="21"/>
      <c r="H1759" s="23"/>
      <c r="I1759" s="23" t="str">
        <f>_xlfn.IFNA(VLOOKUP(A1759,A1760:$H$3524,8,0),"")</f>
        <v/>
      </c>
      <c r="J1759" s="40" t="str">
        <f t="shared" si="144"/>
        <v/>
      </c>
      <c r="K1759" s="24" t="str">
        <f t="shared" si="145"/>
        <v/>
      </c>
      <c r="L1759" s="25" t="str">
        <f t="shared" si="141"/>
        <v/>
      </c>
      <c r="M1759" s="37"/>
      <c r="N1759" s="37"/>
      <c r="O1759" s="33" t="str">
        <f t="shared" si="142"/>
        <v/>
      </c>
      <c r="P1759" s="33" t="str">
        <f t="shared" si="143"/>
        <v/>
      </c>
      <c r="X1759" s="1"/>
    </row>
    <row r="1760" spans="7:24">
      <c r="G1760" s="21"/>
      <c r="H1760" s="23"/>
      <c r="I1760" s="23" t="str">
        <f>_xlfn.IFNA(VLOOKUP(A1760,A1761:$H$3524,8,0),"")</f>
        <v/>
      </c>
      <c r="J1760" s="40" t="str">
        <f t="shared" si="144"/>
        <v/>
      </c>
      <c r="K1760" s="24" t="str">
        <f t="shared" si="145"/>
        <v/>
      </c>
      <c r="L1760" s="25" t="str">
        <f t="shared" si="141"/>
        <v/>
      </c>
      <c r="M1760" s="37"/>
      <c r="N1760" s="37"/>
      <c r="O1760" s="33" t="str">
        <f t="shared" si="142"/>
        <v/>
      </c>
      <c r="P1760" s="33" t="str">
        <f t="shared" si="143"/>
        <v/>
      </c>
      <c r="X1760" s="1"/>
    </row>
    <row r="1761" spans="7:24">
      <c r="G1761" s="21"/>
      <c r="H1761" s="23"/>
      <c r="I1761" s="23" t="str">
        <f>_xlfn.IFNA(VLOOKUP(A1761,A1762:$H$3524,8,0),"")</f>
        <v/>
      </c>
      <c r="J1761" s="40" t="str">
        <f t="shared" si="144"/>
        <v/>
      </c>
      <c r="K1761" s="24" t="str">
        <f t="shared" si="145"/>
        <v/>
      </c>
      <c r="L1761" s="25" t="str">
        <f t="shared" si="141"/>
        <v/>
      </c>
      <c r="M1761" s="37"/>
      <c r="N1761" s="37"/>
      <c r="O1761" s="33" t="str">
        <f t="shared" si="142"/>
        <v/>
      </c>
      <c r="P1761" s="33" t="str">
        <f t="shared" si="143"/>
        <v/>
      </c>
      <c r="X1761" s="1"/>
    </row>
    <row r="1762" spans="7:24">
      <c r="G1762" s="21"/>
      <c r="H1762" s="23"/>
      <c r="I1762" s="23" t="str">
        <f>_xlfn.IFNA(VLOOKUP(A1762,A1763:$H$3524,8,0),"")</f>
        <v/>
      </c>
      <c r="J1762" s="40" t="str">
        <f t="shared" si="144"/>
        <v/>
      </c>
      <c r="K1762" s="24" t="str">
        <f t="shared" si="145"/>
        <v/>
      </c>
      <c r="L1762" s="25" t="str">
        <f t="shared" si="141"/>
        <v/>
      </c>
      <c r="M1762" s="37"/>
      <c r="N1762" s="37"/>
      <c r="O1762" s="33" t="str">
        <f t="shared" si="142"/>
        <v/>
      </c>
      <c r="P1762" s="33" t="str">
        <f t="shared" si="143"/>
        <v/>
      </c>
      <c r="X1762" s="1"/>
    </row>
    <row r="1763" spans="7:24">
      <c r="G1763" s="21"/>
      <c r="H1763" s="23"/>
      <c r="I1763" s="23" t="str">
        <f>_xlfn.IFNA(VLOOKUP(A1763,A1764:$H$3524,8,0),"")</f>
        <v/>
      </c>
      <c r="J1763" s="40" t="str">
        <f t="shared" si="144"/>
        <v/>
      </c>
      <c r="K1763" s="24" t="str">
        <f t="shared" si="145"/>
        <v/>
      </c>
      <c r="L1763" s="25" t="str">
        <f t="shared" si="141"/>
        <v/>
      </c>
      <c r="M1763" s="37"/>
      <c r="N1763" s="37"/>
      <c r="O1763" s="33" t="str">
        <f t="shared" si="142"/>
        <v/>
      </c>
      <c r="P1763" s="33" t="str">
        <f t="shared" si="143"/>
        <v/>
      </c>
      <c r="X1763" s="1"/>
    </row>
    <row r="1764" spans="7:24">
      <c r="G1764" s="21"/>
      <c r="H1764" s="23"/>
      <c r="I1764" s="23" t="str">
        <f>_xlfn.IFNA(VLOOKUP(A1764,A1765:$H$3524,8,0),"")</f>
        <v/>
      </c>
      <c r="J1764" s="40" t="str">
        <f t="shared" si="144"/>
        <v/>
      </c>
      <c r="K1764" s="24" t="str">
        <f t="shared" si="145"/>
        <v/>
      </c>
      <c r="L1764" s="25" t="str">
        <f t="shared" si="141"/>
        <v/>
      </c>
      <c r="M1764" s="37"/>
      <c r="N1764" s="37"/>
      <c r="O1764" s="33" t="str">
        <f t="shared" si="142"/>
        <v/>
      </c>
      <c r="P1764" s="33" t="str">
        <f t="shared" si="143"/>
        <v/>
      </c>
      <c r="X1764" s="1"/>
    </row>
    <row r="1765" spans="7:24">
      <c r="G1765" s="21"/>
      <c r="H1765" s="23"/>
      <c r="I1765" s="23" t="str">
        <f>_xlfn.IFNA(VLOOKUP(A1765,A1766:$H$3524,8,0),"")</f>
        <v/>
      </c>
      <c r="J1765" s="40" t="str">
        <f t="shared" si="144"/>
        <v/>
      </c>
      <c r="K1765" s="24" t="str">
        <f t="shared" si="145"/>
        <v/>
      </c>
      <c r="L1765" s="25" t="str">
        <f t="shared" si="141"/>
        <v/>
      </c>
      <c r="M1765" s="37"/>
      <c r="N1765" s="37"/>
      <c r="O1765" s="33" t="str">
        <f t="shared" si="142"/>
        <v/>
      </c>
      <c r="P1765" s="33" t="str">
        <f t="shared" si="143"/>
        <v/>
      </c>
      <c r="X1765" s="1"/>
    </row>
    <row r="1766" spans="7:24">
      <c r="G1766" s="21"/>
      <c r="H1766" s="23"/>
      <c r="I1766" s="23" t="str">
        <f>_xlfn.IFNA(VLOOKUP(A1766,A1767:$H$3524,8,0),"")</f>
        <v/>
      </c>
      <c r="J1766" s="40" t="str">
        <f t="shared" si="144"/>
        <v/>
      </c>
      <c r="K1766" s="24" t="str">
        <f t="shared" si="145"/>
        <v/>
      </c>
      <c r="L1766" s="25" t="str">
        <f t="shared" si="141"/>
        <v/>
      </c>
      <c r="M1766" s="37"/>
      <c r="N1766" s="37"/>
      <c r="O1766" s="33" t="str">
        <f t="shared" si="142"/>
        <v/>
      </c>
      <c r="P1766" s="33" t="str">
        <f t="shared" si="143"/>
        <v/>
      </c>
      <c r="X1766" s="1"/>
    </row>
    <row r="1767" spans="7:24">
      <c r="G1767" s="21"/>
      <c r="H1767" s="23"/>
      <c r="I1767" s="23" t="str">
        <f>_xlfn.IFNA(VLOOKUP(A1767,A1768:$H$3524,8,0),"")</f>
        <v/>
      </c>
      <c r="J1767" s="40" t="str">
        <f t="shared" si="144"/>
        <v/>
      </c>
      <c r="K1767" s="24" t="str">
        <f t="shared" si="145"/>
        <v/>
      </c>
      <c r="L1767" s="25" t="str">
        <f t="shared" si="141"/>
        <v/>
      </c>
      <c r="M1767" s="37"/>
      <c r="N1767" s="37"/>
      <c r="O1767" s="33" t="str">
        <f t="shared" si="142"/>
        <v/>
      </c>
      <c r="P1767" s="33" t="str">
        <f t="shared" si="143"/>
        <v/>
      </c>
      <c r="X1767" s="1"/>
    </row>
    <row r="1768" spans="7:24">
      <c r="G1768" s="21"/>
      <c r="H1768" s="23"/>
      <c r="I1768" s="23" t="str">
        <f>_xlfn.IFNA(VLOOKUP(A1768,A1769:$H$3524,8,0),"")</f>
        <v/>
      </c>
      <c r="J1768" s="40" t="str">
        <f t="shared" si="144"/>
        <v/>
      </c>
      <c r="K1768" s="24" t="str">
        <f t="shared" si="145"/>
        <v/>
      </c>
      <c r="L1768" s="25" t="str">
        <f t="shared" si="141"/>
        <v/>
      </c>
      <c r="M1768" s="37"/>
      <c r="N1768" s="37"/>
      <c r="O1768" s="33" t="str">
        <f t="shared" si="142"/>
        <v/>
      </c>
      <c r="P1768" s="33" t="str">
        <f t="shared" si="143"/>
        <v/>
      </c>
      <c r="X1768" s="1"/>
    </row>
    <row r="1769" spans="7:24">
      <c r="G1769" s="21"/>
      <c r="H1769" s="23"/>
      <c r="I1769" s="23" t="str">
        <f>_xlfn.IFNA(VLOOKUP(A1769,A1770:$H$3524,8,0),"")</f>
        <v/>
      </c>
      <c r="J1769" s="40" t="str">
        <f t="shared" si="144"/>
        <v/>
      </c>
      <c r="K1769" s="24" t="str">
        <f t="shared" si="145"/>
        <v/>
      </c>
      <c r="L1769" s="25" t="str">
        <f t="shared" si="141"/>
        <v/>
      </c>
      <c r="M1769" s="37"/>
      <c r="N1769" s="37"/>
      <c r="O1769" s="33" t="str">
        <f t="shared" si="142"/>
        <v/>
      </c>
      <c r="P1769" s="33" t="str">
        <f t="shared" si="143"/>
        <v/>
      </c>
      <c r="X1769" s="1"/>
    </row>
    <row r="1770" spans="7:24">
      <c r="G1770" s="21"/>
      <c r="H1770" s="23"/>
      <c r="I1770" s="23" t="str">
        <f>_xlfn.IFNA(VLOOKUP(A1770,A1771:$H$3524,8,0),"")</f>
        <v/>
      </c>
      <c r="J1770" s="40" t="str">
        <f t="shared" si="144"/>
        <v/>
      </c>
      <c r="K1770" s="24" t="str">
        <f t="shared" si="145"/>
        <v/>
      </c>
      <c r="L1770" s="25" t="str">
        <f t="shared" si="141"/>
        <v/>
      </c>
      <c r="M1770" s="37"/>
      <c r="N1770" s="37"/>
      <c r="O1770" s="33" t="str">
        <f t="shared" si="142"/>
        <v/>
      </c>
      <c r="P1770" s="33" t="str">
        <f t="shared" si="143"/>
        <v/>
      </c>
      <c r="X1770" s="1"/>
    </row>
    <row r="1771" spans="7:24">
      <c r="G1771" s="21"/>
      <c r="H1771" s="23"/>
      <c r="I1771" s="23" t="str">
        <f>_xlfn.IFNA(VLOOKUP(A1771,A1772:$H$3524,8,0),"")</f>
        <v/>
      </c>
      <c r="J1771" s="40" t="str">
        <f t="shared" si="144"/>
        <v/>
      </c>
      <c r="K1771" s="24" t="str">
        <f t="shared" si="145"/>
        <v/>
      </c>
      <c r="L1771" s="25" t="str">
        <f t="shared" si="141"/>
        <v/>
      </c>
      <c r="M1771" s="37"/>
      <c r="N1771" s="37"/>
      <c r="O1771" s="33" t="str">
        <f t="shared" si="142"/>
        <v/>
      </c>
      <c r="P1771" s="33" t="str">
        <f t="shared" si="143"/>
        <v/>
      </c>
      <c r="X1771" s="1"/>
    </row>
    <row r="1772" spans="7:24">
      <c r="G1772" s="21"/>
      <c r="H1772" s="23"/>
      <c r="I1772" s="23" t="str">
        <f>_xlfn.IFNA(VLOOKUP(A1772,A1773:$H$3524,8,0),"")</f>
        <v/>
      </c>
      <c r="J1772" s="40" t="str">
        <f t="shared" si="144"/>
        <v/>
      </c>
      <c r="K1772" s="24" t="str">
        <f t="shared" si="145"/>
        <v/>
      </c>
      <c r="L1772" s="25" t="str">
        <f t="shared" si="141"/>
        <v/>
      </c>
      <c r="M1772" s="37"/>
      <c r="N1772" s="37"/>
      <c r="O1772" s="33" t="str">
        <f t="shared" si="142"/>
        <v/>
      </c>
      <c r="P1772" s="33" t="str">
        <f t="shared" si="143"/>
        <v/>
      </c>
      <c r="X1772" s="1"/>
    </row>
    <row r="1773" spans="7:24">
      <c r="G1773" s="21"/>
      <c r="H1773" s="23"/>
      <c r="I1773" s="23" t="str">
        <f>_xlfn.IFNA(VLOOKUP(A1773,A1774:$H$3524,8,0),"")</f>
        <v/>
      </c>
      <c r="J1773" s="40" t="str">
        <f t="shared" si="144"/>
        <v/>
      </c>
      <c r="K1773" s="24" t="str">
        <f t="shared" si="145"/>
        <v/>
      </c>
      <c r="L1773" s="25" t="str">
        <f t="shared" si="141"/>
        <v/>
      </c>
      <c r="M1773" s="37"/>
      <c r="N1773" s="37"/>
      <c r="O1773" s="33" t="str">
        <f t="shared" si="142"/>
        <v/>
      </c>
      <c r="P1773" s="33" t="str">
        <f t="shared" si="143"/>
        <v/>
      </c>
      <c r="X1773" s="1"/>
    </row>
    <row r="1774" spans="7:24">
      <c r="G1774" s="21"/>
      <c r="H1774" s="23"/>
      <c r="I1774" s="23" t="str">
        <f>_xlfn.IFNA(VLOOKUP(A1774,A1775:$H$3524,8,0),"")</f>
        <v/>
      </c>
      <c r="J1774" s="40" t="str">
        <f t="shared" si="144"/>
        <v/>
      </c>
      <c r="K1774" s="24" t="str">
        <f t="shared" si="145"/>
        <v/>
      </c>
      <c r="L1774" s="25" t="str">
        <f t="shared" si="141"/>
        <v/>
      </c>
      <c r="M1774" s="37"/>
      <c r="N1774" s="37"/>
      <c r="O1774" s="33" t="str">
        <f t="shared" si="142"/>
        <v/>
      </c>
      <c r="P1774" s="33" t="str">
        <f t="shared" si="143"/>
        <v/>
      </c>
      <c r="X1774" s="1"/>
    </row>
    <row r="1775" spans="7:24">
      <c r="G1775" s="21"/>
      <c r="H1775" s="23"/>
      <c r="I1775" s="23" t="str">
        <f>_xlfn.IFNA(VLOOKUP(A1775,A1776:$H$3524,8,0),"")</f>
        <v/>
      </c>
      <c r="J1775" s="40" t="str">
        <f t="shared" si="144"/>
        <v/>
      </c>
      <c r="K1775" s="24" t="str">
        <f t="shared" si="145"/>
        <v/>
      </c>
      <c r="L1775" s="25" t="str">
        <f t="shared" si="141"/>
        <v/>
      </c>
      <c r="M1775" s="37"/>
      <c r="N1775" s="37"/>
      <c r="O1775" s="33" t="str">
        <f t="shared" si="142"/>
        <v/>
      </c>
      <c r="P1775" s="33" t="str">
        <f t="shared" si="143"/>
        <v/>
      </c>
      <c r="X1775" s="1"/>
    </row>
    <row r="1776" spans="7:24">
      <c r="G1776" s="21"/>
      <c r="H1776" s="23"/>
      <c r="I1776" s="23" t="str">
        <f>_xlfn.IFNA(VLOOKUP(A1776,A1777:$H$3524,8,0),"")</f>
        <v/>
      </c>
      <c r="J1776" s="40" t="str">
        <f t="shared" si="144"/>
        <v/>
      </c>
      <c r="K1776" s="24" t="str">
        <f t="shared" si="145"/>
        <v/>
      </c>
      <c r="L1776" s="25" t="str">
        <f t="shared" si="141"/>
        <v/>
      </c>
      <c r="M1776" s="37"/>
      <c r="N1776" s="37"/>
      <c r="O1776" s="33" t="str">
        <f t="shared" si="142"/>
        <v/>
      </c>
      <c r="P1776" s="33" t="str">
        <f t="shared" si="143"/>
        <v/>
      </c>
      <c r="X1776" s="1"/>
    </row>
    <row r="1777" spans="7:24">
      <c r="G1777" s="21"/>
      <c r="H1777" s="23"/>
      <c r="I1777" s="23" t="str">
        <f>_xlfn.IFNA(VLOOKUP(A1777,A1778:$H$3524,8,0),"")</f>
        <v/>
      </c>
      <c r="J1777" s="40" t="str">
        <f t="shared" si="144"/>
        <v/>
      </c>
      <c r="K1777" s="24" t="str">
        <f t="shared" si="145"/>
        <v/>
      </c>
      <c r="L1777" s="25" t="str">
        <f t="shared" si="141"/>
        <v/>
      </c>
      <c r="M1777" s="37"/>
      <c r="N1777" s="37"/>
      <c r="O1777" s="33" t="str">
        <f t="shared" si="142"/>
        <v/>
      </c>
      <c r="P1777" s="33" t="str">
        <f t="shared" si="143"/>
        <v/>
      </c>
      <c r="X1777" s="1"/>
    </row>
    <row r="1778" spans="7:24">
      <c r="G1778" s="21"/>
      <c r="H1778" s="23"/>
      <c r="I1778" s="23" t="str">
        <f>_xlfn.IFNA(VLOOKUP(A1778,A1779:$H$3524,8,0),"")</f>
        <v/>
      </c>
      <c r="J1778" s="40" t="str">
        <f t="shared" si="144"/>
        <v/>
      </c>
      <c r="K1778" s="24" t="str">
        <f t="shared" si="145"/>
        <v/>
      </c>
      <c r="L1778" s="25" t="str">
        <f t="shared" si="141"/>
        <v/>
      </c>
      <c r="M1778" s="37"/>
      <c r="N1778" s="37"/>
      <c r="O1778" s="33" t="str">
        <f t="shared" si="142"/>
        <v/>
      </c>
      <c r="P1778" s="33" t="str">
        <f t="shared" si="143"/>
        <v/>
      </c>
      <c r="X1778" s="1"/>
    </row>
    <row r="1779" spans="7:24">
      <c r="G1779" s="21"/>
      <c r="H1779" s="23"/>
      <c r="I1779" s="23" t="str">
        <f>_xlfn.IFNA(VLOOKUP(A1779,A1780:$H$3524,8,0),"")</f>
        <v/>
      </c>
      <c r="J1779" s="40" t="str">
        <f t="shared" si="144"/>
        <v/>
      </c>
      <c r="K1779" s="24" t="str">
        <f t="shared" si="145"/>
        <v/>
      </c>
      <c r="L1779" s="25" t="str">
        <f t="shared" si="141"/>
        <v/>
      </c>
      <c r="M1779" s="37"/>
      <c r="N1779" s="37"/>
      <c r="O1779" s="33" t="str">
        <f t="shared" si="142"/>
        <v/>
      </c>
      <c r="P1779" s="33" t="str">
        <f t="shared" si="143"/>
        <v/>
      </c>
      <c r="X1779" s="1"/>
    </row>
    <row r="1780" spans="7:24">
      <c r="G1780" s="21"/>
      <c r="H1780" s="23"/>
      <c r="I1780" s="23" t="str">
        <f>_xlfn.IFNA(VLOOKUP(A1780,A1781:$H$3524,8,0),"")</f>
        <v/>
      </c>
      <c r="J1780" s="40" t="str">
        <f t="shared" si="144"/>
        <v/>
      </c>
      <c r="K1780" s="24" t="str">
        <f t="shared" si="145"/>
        <v/>
      </c>
      <c r="L1780" s="25" t="str">
        <f t="shared" si="141"/>
        <v/>
      </c>
      <c r="M1780" s="37"/>
      <c r="N1780" s="37"/>
      <c r="O1780" s="33" t="str">
        <f t="shared" si="142"/>
        <v/>
      </c>
      <c r="P1780" s="33" t="str">
        <f t="shared" si="143"/>
        <v/>
      </c>
      <c r="X1780" s="1"/>
    </row>
    <row r="1781" spans="7:24">
      <c r="G1781" s="21"/>
      <c r="H1781" s="23"/>
      <c r="I1781" s="23" t="str">
        <f>_xlfn.IFNA(VLOOKUP(A1781,A1782:$H$3524,8,0),"")</f>
        <v/>
      </c>
      <c r="J1781" s="40" t="str">
        <f t="shared" si="144"/>
        <v/>
      </c>
      <c r="K1781" s="24" t="str">
        <f t="shared" si="145"/>
        <v/>
      </c>
      <c r="L1781" s="25" t="str">
        <f t="shared" si="141"/>
        <v/>
      </c>
      <c r="M1781" s="37"/>
      <c r="N1781" s="37"/>
      <c r="O1781" s="33" t="str">
        <f t="shared" si="142"/>
        <v/>
      </c>
      <c r="P1781" s="33" t="str">
        <f t="shared" si="143"/>
        <v/>
      </c>
      <c r="X1781" s="1"/>
    </row>
    <row r="1782" spans="7:24">
      <c r="G1782" s="21"/>
      <c r="H1782" s="23"/>
      <c r="I1782" s="23" t="str">
        <f>_xlfn.IFNA(VLOOKUP(A1782,A1783:$H$3524,8,0),"")</f>
        <v/>
      </c>
      <c r="J1782" s="40" t="str">
        <f t="shared" si="144"/>
        <v/>
      </c>
      <c r="K1782" s="24" t="str">
        <f t="shared" si="145"/>
        <v/>
      </c>
      <c r="L1782" s="25" t="str">
        <f t="shared" si="141"/>
        <v/>
      </c>
      <c r="M1782" s="37"/>
      <c r="N1782" s="37"/>
      <c r="O1782" s="33" t="str">
        <f t="shared" si="142"/>
        <v/>
      </c>
      <c r="P1782" s="33" t="str">
        <f t="shared" si="143"/>
        <v/>
      </c>
      <c r="X1782" s="1"/>
    </row>
    <row r="1783" spans="7:24">
      <c r="G1783" s="21"/>
      <c r="H1783" s="23"/>
      <c r="I1783" s="23" t="str">
        <f>_xlfn.IFNA(VLOOKUP(A1783,A1784:$H$3524,8,0),"")</f>
        <v/>
      </c>
      <c r="J1783" s="40" t="str">
        <f t="shared" si="144"/>
        <v/>
      </c>
      <c r="K1783" s="24" t="str">
        <f t="shared" si="145"/>
        <v/>
      </c>
      <c r="L1783" s="25" t="str">
        <f t="shared" ref="L1783:L1846" si="146">IF(K1783="","",IF(B1783="Break","Break",IF(K1783&lt;&gt;0,"Work Finished",IF(B1783="OFF","Work Finished",IF(I1783="","Working","Work Finished")))))</f>
        <v/>
      </c>
      <c r="M1783" s="37"/>
      <c r="N1783" s="37"/>
      <c r="O1783" s="33" t="str">
        <f t="shared" ref="O1783:O1846" si="147">IF(AND(J1783="",M1783="",N1783=""),"",J1783-M1783-N1783)</f>
        <v/>
      </c>
      <c r="P1783" s="33" t="str">
        <f t="shared" ref="P1783:P1846" si="148">IF(HOUR(H1783)=0,"",HOUR(H1783))</f>
        <v/>
      </c>
      <c r="X1783" s="1"/>
    </row>
    <row r="1784" spans="7:24">
      <c r="G1784" s="21"/>
      <c r="H1784" s="23"/>
      <c r="I1784" s="23" t="str">
        <f>_xlfn.IFNA(VLOOKUP(A1784,A1785:$H$3524,8,0),"")</f>
        <v/>
      </c>
      <c r="J1784" s="40" t="str">
        <f t="shared" si="144"/>
        <v/>
      </c>
      <c r="K1784" s="24" t="str">
        <f t="shared" si="145"/>
        <v/>
      </c>
      <c r="L1784" s="25" t="str">
        <f t="shared" si="146"/>
        <v/>
      </c>
      <c r="M1784" s="37"/>
      <c r="N1784" s="37"/>
      <c r="O1784" s="33" t="str">
        <f t="shared" si="147"/>
        <v/>
      </c>
      <c r="P1784" s="33" t="str">
        <f t="shared" si="148"/>
        <v/>
      </c>
      <c r="X1784" s="1"/>
    </row>
    <row r="1785" spans="7:24">
      <c r="G1785" s="21"/>
      <c r="H1785" s="23"/>
      <c r="I1785" s="23" t="str">
        <f>_xlfn.IFNA(VLOOKUP(A1785,A1786:$H$3524,8,0),"")</f>
        <v/>
      </c>
      <c r="J1785" s="40" t="str">
        <f t="shared" si="144"/>
        <v/>
      </c>
      <c r="K1785" s="24" t="str">
        <f t="shared" si="145"/>
        <v/>
      </c>
      <c r="L1785" s="25" t="str">
        <f t="shared" si="146"/>
        <v/>
      </c>
      <c r="M1785" s="37"/>
      <c r="N1785" s="37"/>
      <c r="O1785" s="33" t="str">
        <f t="shared" si="147"/>
        <v/>
      </c>
      <c r="P1785" s="33" t="str">
        <f t="shared" si="148"/>
        <v/>
      </c>
      <c r="X1785" s="1"/>
    </row>
    <row r="1786" spans="7:24">
      <c r="G1786" s="21"/>
      <c r="H1786" s="23"/>
      <c r="I1786" s="23" t="str">
        <f>_xlfn.IFNA(VLOOKUP(A1786,A1787:$H$3524,8,0),"")</f>
        <v/>
      </c>
      <c r="J1786" s="40" t="str">
        <f t="shared" si="144"/>
        <v/>
      </c>
      <c r="K1786" s="24" t="str">
        <f t="shared" si="145"/>
        <v/>
      </c>
      <c r="L1786" s="25" t="str">
        <f t="shared" si="146"/>
        <v/>
      </c>
      <c r="M1786" s="37"/>
      <c r="N1786" s="37"/>
      <c r="O1786" s="33" t="str">
        <f t="shared" si="147"/>
        <v/>
      </c>
      <c r="P1786" s="33" t="str">
        <f t="shared" si="148"/>
        <v/>
      </c>
      <c r="X1786" s="1"/>
    </row>
    <row r="1787" spans="7:24">
      <c r="G1787" s="21"/>
      <c r="H1787" s="23"/>
      <c r="I1787" s="23" t="str">
        <f>_xlfn.IFNA(VLOOKUP(A1787,A1788:$H$3524,8,0),"")</f>
        <v/>
      </c>
      <c r="J1787" s="40" t="str">
        <f t="shared" si="144"/>
        <v/>
      </c>
      <c r="K1787" s="24" t="str">
        <f t="shared" si="145"/>
        <v/>
      </c>
      <c r="L1787" s="25" t="str">
        <f t="shared" si="146"/>
        <v/>
      </c>
      <c r="M1787" s="37"/>
      <c r="N1787" s="37"/>
      <c r="O1787" s="33" t="str">
        <f t="shared" si="147"/>
        <v/>
      </c>
      <c r="P1787" s="33" t="str">
        <f t="shared" si="148"/>
        <v/>
      </c>
      <c r="X1787" s="1"/>
    </row>
    <row r="1788" spans="7:24">
      <c r="G1788" s="21"/>
      <c r="H1788" s="23"/>
      <c r="I1788" s="23" t="str">
        <f>_xlfn.IFNA(VLOOKUP(A1788,A1789:$H$3524,8,0),"")</f>
        <v/>
      </c>
      <c r="J1788" s="40" t="str">
        <f t="shared" si="144"/>
        <v/>
      </c>
      <c r="K1788" s="24" t="str">
        <f t="shared" si="145"/>
        <v/>
      </c>
      <c r="L1788" s="25" t="str">
        <f t="shared" si="146"/>
        <v/>
      </c>
      <c r="M1788" s="37"/>
      <c r="N1788" s="37"/>
      <c r="O1788" s="33" t="str">
        <f t="shared" si="147"/>
        <v/>
      </c>
      <c r="P1788" s="33" t="str">
        <f t="shared" si="148"/>
        <v/>
      </c>
      <c r="X1788" s="1"/>
    </row>
    <row r="1789" spans="7:24">
      <c r="G1789" s="21"/>
      <c r="H1789" s="23"/>
      <c r="I1789" s="23" t="str">
        <f>_xlfn.IFNA(VLOOKUP(A1789,A1790:$H$3524,8,0),"")</f>
        <v/>
      </c>
      <c r="J1789" s="40" t="str">
        <f t="shared" si="144"/>
        <v/>
      </c>
      <c r="K1789" s="24" t="str">
        <f t="shared" si="145"/>
        <v/>
      </c>
      <c r="L1789" s="25" t="str">
        <f t="shared" si="146"/>
        <v/>
      </c>
      <c r="M1789" s="37"/>
      <c r="N1789" s="37"/>
      <c r="O1789" s="33" t="str">
        <f t="shared" si="147"/>
        <v/>
      </c>
      <c r="P1789" s="33" t="str">
        <f t="shared" si="148"/>
        <v/>
      </c>
      <c r="X1789" s="1"/>
    </row>
    <row r="1790" spans="7:24">
      <c r="G1790" s="21"/>
      <c r="H1790" s="23"/>
      <c r="I1790" s="23" t="str">
        <f>_xlfn.IFNA(VLOOKUP(A1790,A1791:$H$3524,8,0),"")</f>
        <v/>
      </c>
      <c r="J1790" s="40" t="str">
        <f t="shared" si="144"/>
        <v/>
      </c>
      <c r="K1790" s="24" t="str">
        <f t="shared" si="145"/>
        <v/>
      </c>
      <c r="L1790" s="25" t="str">
        <f t="shared" si="146"/>
        <v/>
      </c>
      <c r="M1790" s="37"/>
      <c r="N1790" s="37"/>
      <c r="O1790" s="33" t="str">
        <f t="shared" si="147"/>
        <v/>
      </c>
      <c r="P1790" s="33" t="str">
        <f t="shared" si="148"/>
        <v/>
      </c>
      <c r="X1790" s="1"/>
    </row>
    <row r="1791" spans="7:24">
      <c r="G1791" s="21"/>
      <c r="H1791" s="23"/>
      <c r="I1791" s="23" t="str">
        <f>_xlfn.IFNA(VLOOKUP(A1791,A1792:$H$3524,8,0),"")</f>
        <v/>
      </c>
      <c r="J1791" s="40" t="str">
        <f t="shared" si="144"/>
        <v/>
      </c>
      <c r="K1791" s="24" t="str">
        <f t="shared" si="145"/>
        <v/>
      </c>
      <c r="L1791" s="25" t="str">
        <f t="shared" si="146"/>
        <v/>
      </c>
      <c r="M1791" s="37"/>
      <c r="N1791" s="37"/>
      <c r="O1791" s="33" t="str">
        <f t="shared" si="147"/>
        <v/>
      </c>
      <c r="P1791" s="33" t="str">
        <f t="shared" si="148"/>
        <v/>
      </c>
      <c r="X1791" s="1"/>
    </row>
    <row r="1792" spans="7:24">
      <c r="G1792" s="21"/>
      <c r="H1792" s="23"/>
      <c r="I1792" s="23" t="str">
        <f>_xlfn.IFNA(VLOOKUP(A1792,A1793:$H$3524,8,0),"")</f>
        <v/>
      </c>
      <c r="J1792" s="40" t="str">
        <f t="shared" si="144"/>
        <v/>
      </c>
      <c r="K1792" s="24" t="str">
        <f t="shared" si="145"/>
        <v/>
      </c>
      <c r="L1792" s="25" t="str">
        <f t="shared" si="146"/>
        <v/>
      </c>
      <c r="M1792" s="37"/>
      <c r="N1792" s="37"/>
      <c r="O1792" s="33" t="str">
        <f t="shared" si="147"/>
        <v/>
      </c>
      <c r="P1792" s="33" t="str">
        <f t="shared" si="148"/>
        <v/>
      </c>
      <c r="X1792" s="1"/>
    </row>
    <row r="1793" spans="7:24">
      <c r="G1793" s="21"/>
      <c r="H1793" s="23"/>
      <c r="I1793" s="23" t="str">
        <f>_xlfn.IFNA(VLOOKUP(A1793,A1794:$H$3524,8,0),"")</f>
        <v/>
      </c>
      <c r="J1793" s="40" t="str">
        <f t="shared" si="144"/>
        <v/>
      </c>
      <c r="K1793" s="24" t="str">
        <f t="shared" si="145"/>
        <v/>
      </c>
      <c r="L1793" s="25" t="str">
        <f t="shared" si="146"/>
        <v/>
      </c>
      <c r="M1793" s="37"/>
      <c r="N1793" s="37"/>
      <c r="O1793" s="33" t="str">
        <f t="shared" si="147"/>
        <v/>
      </c>
      <c r="P1793" s="33" t="str">
        <f t="shared" si="148"/>
        <v/>
      </c>
      <c r="X1793" s="1"/>
    </row>
    <row r="1794" spans="7:24">
      <c r="G1794" s="21"/>
      <c r="H1794" s="23"/>
      <c r="I1794" s="23" t="str">
        <f>_xlfn.IFNA(VLOOKUP(A1794,A1795:$H$3524,8,0),"")</f>
        <v/>
      </c>
      <c r="J1794" s="40" t="str">
        <f t="shared" si="144"/>
        <v/>
      </c>
      <c r="K1794" s="24" t="str">
        <f t="shared" si="145"/>
        <v/>
      </c>
      <c r="L1794" s="25" t="str">
        <f t="shared" si="146"/>
        <v/>
      </c>
      <c r="M1794" s="37"/>
      <c r="N1794" s="37"/>
      <c r="O1794" s="33" t="str">
        <f t="shared" si="147"/>
        <v/>
      </c>
      <c r="P1794" s="33" t="str">
        <f t="shared" si="148"/>
        <v/>
      </c>
      <c r="X1794" s="1"/>
    </row>
    <row r="1795" spans="7:24">
      <c r="G1795" s="21"/>
      <c r="H1795" s="23"/>
      <c r="I1795" s="23" t="str">
        <f>_xlfn.IFNA(VLOOKUP(A1795,A1796:$H$3524,8,0),"")</f>
        <v/>
      </c>
      <c r="J1795" s="40" t="str">
        <f t="shared" si="144"/>
        <v/>
      </c>
      <c r="K1795" s="24" t="str">
        <f t="shared" si="145"/>
        <v/>
      </c>
      <c r="L1795" s="25" t="str">
        <f t="shared" si="146"/>
        <v/>
      </c>
      <c r="M1795" s="37"/>
      <c r="N1795" s="37"/>
      <c r="O1795" s="33" t="str">
        <f t="shared" si="147"/>
        <v/>
      </c>
      <c r="P1795" s="33" t="str">
        <f t="shared" si="148"/>
        <v/>
      </c>
      <c r="X1795" s="1"/>
    </row>
    <row r="1796" spans="7:24">
      <c r="G1796" s="21"/>
      <c r="H1796" s="23"/>
      <c r="I1796" s="23" t="str">
        <f>_xlfn.IFNA(VLOOKUP(A1796,A1797:$H$3524,8,0),"")</f>
        <v/>
      </c>
      <c r="J1796" s="40" t="str">
        <f t="shared" si="144"/>
        <v/>
      </c>
      <c r="K1796" s="24" t="str">
        <f t="shared" si="145"/>
        <v/>
      </c>
      <c r="L1796" s="25" t="str">
        <f t="shared" si="146"/>
        <v/>
      </c>
      <c r="M1796" s="37"/>
      <c r="N1796" s="37"/>
      <c r="O1796" s="33" t="str">
        <f t="shared" si="147"/>
        <v/>
      </c>
      <c r="P1796" s="33" t="str">
        <f t="shared" si="148"/>
        <v/>
      </c>
      <c r="X1796" s="1"/>
    </row>
    <row r="1797" spans="7:24">
      <c r="G1797" s="21"/>
      <c r="H1797" s="23"/>
      <c r="I1797" s="23" t="str">
        <f>_xlfn.IFNA(VLOOKUP(A1797,A1798:$H$3524,8,0),"")</f>
        <v/>
      </c>
      <c r="J1797" s="40" t="str">
        <f t="shared" si="144"/>
        <v/>
      </c>
      <c r="K1797" s="24" t="str">
        <f t="shared" si="145"/>
        <v/>
      </c>
      <c r="L1797" s="25" t="str">
        <f t="shared" si="146"/>
        <v/>
      </c>
      <c r="M1797" s="37"/>
      <c r="N1797" s="37"/>
      <c r="O1797" s="33" t="str">
        <f t="shared" si="147"/>
        <v/>
      </c>
      <c r="P1797" s="33" t="str">
        <f t="shared" si="148"/>
        <v/>
      </c>
      <c r="X1797" s="1"/>
    </row>
    <row r="1798" spans="7:24">
      <c r="G1798" s="21"/>
      <c r="H1798" s="23"/>
      <c r="I1798" s="23" t="str">
        <f>_xlfn.IFNA(VLOOKUP(A1798,A1799:$H$3524,8,0),"")</f>
        <v/>
      </c>
      <c r="J1798" s="40" t="str">
        <f t="shared" ref="J1798:J1861" si="149">IF(B1798="OFF",0,IF(AND(D1798&lt;&gt;"",E1798&lt;&gt;""),E1798-D1798+1,""))</f>
        <v/>
      </c>
      <c r="K1798" s="24" t="str">
        <f t="shared" si="145"/>
        <v/>
      </c>
      <c r="L1798" s="25" t="str">
        <f t="shared" si="146"/>
        <v/>
      </c>
      <c r="M1798" s="37"/>
      <c r="N1798" s="37"/>
      <c r="O1798" s="33" t="str">
        <f t="shared" si="147"/>
        <v/>
      </c>
      <c r="P1798" s="33" t="str">
        <f t="shared" si="148"/>
        <v/>
      </c>
      <c r="X1798" s="1"/>
    </row>
    <row r="1799" spans="7:24">
      <c r="G1799" s="21"/>
      <c r="H1799" s="23"/>
      <c r="I1799" s="23" t="str">
        <f>_xlfn.IFNA(VLOOKUP(A1799,A1800:$H$3524,8,0),"")</f>
        <v/>
      </c>
      <c r="J1799" s="40" t="str">
        <f t="shared" si="149"/>
        <v/>
      </c>
      <c r="K1799" s="24" t="str">
        <f t="shared" si="145"/>
        <v/>
      </c>
      <c r="L1799" s="25" t="str">
        <f t="shared" si="146"/>
        <v/>
      </c>
      <c r="M1799" s="37"/>
      <c r="N1799" s="37"/>
      <c r="O1799" s="33" t="str">
        <f t="shared" si="147"/>
        <v/>
      </c>
      <c r="P1799" s="33" t="str">
        <f t="shared" si="148"/>
        <v/>
      </c>
      <c r="X1799" s="1"/>
    </row>
    <row r="1800" spans="7:24">
      <c r="G1800" s="21"/>
      <c r="H1800" s="23"/>
      <c r="I1800" s="23" t="str">
        <f>_xlfn.IFNA(VLOOKUP(A1800,A1801:$H$3524,8,0),"")</f>
        <v/>
      </c>
      <c r="J1800" s="40" t="str">
        <f t="shared" si="149"/>
        <v/>
      </c>
      <c r="K1800" s="24" t="str">
        <f t="shared" si="145"/>
        <v/>
      </c>
      <c r="L1800" s="25" t="str">
        <f t="shared" si="146"/>
        <v/>
      </c>
      <c r="M1800" s="37"/>
      <c r="N1800" s="37"/>
      <c r="O1800" s="33" t="str">
        <f t="shared" si="147"/>
        <v/>
      </c>
      <c r="P1800" s="33" t="str">
        <f t="shared" si="148"/>
        <v/>
      </c>
      <c r="X1800" s="1"/>
    </row>
    <row r="1801" spans="7:24">
      <c r="G1801" s="21"/>
      <c r="H1801" s="23"/>
      <c r="I1801" s="23" t="str">
        <f>_xlfn.IFNA(VLOOKUP(A1801,A1802:$H$3524,8,0),"")</f>
        <v/>
      </c>
      <c r="J1801" s="40" t="str">
        <f t="shared" si="149"/>
        <v/>
      </c>
      <c r="K1801" s="24" t="str">
        <f t="shared" si="145"/>
        <v/>
      </c>
      <c r="L1801" s="25" t="str">
        <f t="shared" si="146"/>
        <v/>
      </c>
      <c r="M1801" s="37"/>
      <c r="N1801" s="37"/>
      <c r="O1801" s="33" t="str">
        <f t="shared" si="147"/>
        <v/>
      </c>
      <c r="P1801" s="33" t="str">
        <f t="shared" si="148"/>
        <v/>
      </c>
      <c r="X1801" s="1"/>
    </row>
    <row r="1802" spans="7:24">
      <c r="G1802" s="21"/>
      <c r="H1802" s="23"/>
      <c r="I1802" s="23" t="str">
        <f>_xlfn.IFNA(VLOOKUP(A1802,A1803:$H$3524,8,0),"")</f>
        <v/>
      </c>
      <c r="J1802" s="40" t="str">
        <f t="shared" si="149"/>
        <v/>
      </c>
      <c r="K1802" s="24" t="str">
        <f t="shared" si="145"/>
        <v/>
      </c>
      <c r="L1802" s="25" t="str">
        <f t="shared" si="146"/>
        <v/>
      </c>
      <c r="M1802" s="37"/>
      <c r="N1802" s="37"/>
      <c r="O1802" s="33" t="str">
        <f t="shared" si="147"/>
        <v/>
      </c>
      <c r="P1802" s="33" t="str">
        <f t="shared" si="148"/>
        <v/>
      </c>
      <c r="X1802" s="1"/>
    </row>
    <row r="1803" spans="7:24">
      <c r="G1803" s="21"/>
      <c r="H1803" s="23"/>
      <c r="I1803" s="23" t="str">
        <f>_xlfn.IFNA(VLOOKUP(A1803,A1804:$H$3524,8,0),"")</f>
        <v/>
      </c>
      <c r="J1803" s="40" t="str">
        <f t="shared" si="149"/>
        <v/>
      </c>
      <c r="K1803" s="24" t="str">
        <f t="shared" si="145"/>
        <v/>
      </c>
      <c r="L1803" s="25" t="str">
        <f t="shared" si="146"/>
        <v/>
      </c>
      <c r="M1803" s="37"/>
      <c r="N1803" s="37"/>
      <c r="O1803" s="33" t="str">
        <f t="shared" si="147"/>
        <v/>
      </c>
      <c r="P1803" s="33" t="str">
        <f t="shared" si="148"/>
        <v/>
      </c>
      <c r="X1803" s="1"/>
    </row>
    <row r="1804" spans="7:24">
      <c r="G1804" s="21"/>
      <c r="H1804" s="23"/>
      <c r="I1804" s="23" t="str">
        <f>_xlfn.IFNA(VLOOKUP(A1804,A1805:$H$3524,8,0),"")</f>
        <v/>
      </c>
      <c r="J1804" s="40" t="str">
        <f t="shared" si="149"/>
        <v/>
      </c>
      <c r="K1804" s="24" t="str">
        <f t="shared" si="145"/>
        <v/>
      </c>
      <c r="L1804" s="25" t="str">
        <f t="shared" si="146"/>
        <v/>
      </c>
      <c r="M1804" s="37"/>
      <c r="N1804" s="37"/>
      <c r="O1804" s="33" t="str">
        <f t="shared" si="147"/>
        <v/>
      </c>
      <c r="P1804" s="33" t="str">
        <f t="shared" si="148"/>
        <v/>
      </c>
      <c r="X1804" s="1"/>
    </row>
    <row r="1805" spans="7:24">
      <c r="G1805" s="21"/>
      <c r="H1805" s="23"/>
      <c r="I1805" s="23" t="str">
        <f>_xlfn.IFNA(VLOOKUP(A1805,A1806:$H$3524,8,0),"")</f>
        <v/>
      </c>
      <c r="J1805" s="40" t="str">
        <f t="shared" si="149"/>
        <v/>
      </c>
      <c r="K1805" s="24" t="str">
        <f t="shared" si="145"/>
        <v/>
      </c>
      <c r="L1805" s="25" t="str">
        <f t="shared" si="146"/>
        <v/>
      </c>
      <c r="M1805" s="37"/>
      <c r="N1805" s="37"/>
      <c r="O1805" s="33" t="str">
        <f t="shared" si="147"/>
        <v/>
      </c>
      <c r="P1805" s="33" t="str">
        <f t="shared" si="148"/>
        <v/>
      </c>
      <c r="X1805" s="1"/>
    </row>
    <row r="1806" spans="7:24">
      <c r="G1806" s="21"/>
      <c r="H1806" s="23"/>
      <c r="I1806" s="23" t="str">
        <f>_xlfn.IFNA(VLOOKUP(A1806,A1807:$H$3524,8,0),"")</f>
        <v/>
      </c>
      <c r="J1806" s="40" t="str">
        <f t="shared" si="149"/>
        <v/>
      </c>
      <c r="K1806" s="24" t="str">
        <f t="shared" si="145"/>
        <v/>
      </c>
      <c r="L1806" s="25" t="str">
        <f t="shared" si="146"/>
        <v/>
      </c>
      <c r="M1806" s="37"/>
      <c r="N1806" s="37"/>
      <c r="O1806" s="33" t="str">
        <f t="shared" si="147"/>
        <v/>
      </c>
      <c r="P1806" s="33" t="str">
        <f t="shared" si="148"/>
        <v/>
      </c>
      <c r="X1806" s="1"/>
    </row>
    <row r="1807" spans="7:24">
      <c r="G1807" s="21"/>
      <c r="H1807" s="23"/>
      <c r="I1807" s="23" t="str">
        <f>_xlfn.IFNA(VLOOKUP(A1807,A1808:$H$3524,8,0),"")</f>
        <v/>
      </c>
      <c r="J1807" s="40" t="str">
        <f t="shared" si="149"/>
        <v/>
      </c>
      <c r="K1807" s="24" t="str">
        <f t="shared" si="145"/>
        <v/>
      </c>
      <c r="L1807" s="25" t="str">
        <f t="shared" si="146"/>
        <v/>
      </c>
      <c r="M1807" s="37"/>
      <c r="N1807" s="37"/>
      <c r="O1807" s="33" t="str">
        <f t="shared" si="147"/>
        <v/>
      </c>
      <c r="P1807" s="33" t="str">
        <f t="shared" si="148"/>
        <v/>
      </c>
      <c r="X1807" s="1"/>
    </row>
    <row r="1808" spans="7:24">
      <c r="G1808" s="21"/>
      <c r="H1808" s="23"/>
      <c r="I1808" s="23" t="str">
        <f>_xlfn.IFNA(VLOOKUP(A1808,A1809:$H$3524,8,0),"")</f>
        <v/>
      </c>
      <c r="J1808" s="40" t="str">
        <f t="shared" si="149"/>
        <v/>
      </c>
      <c r="K1808" s="24" t="str">
        <f t="shared" si="145"/>
        <v/>
      </c>
      <c r="L1808" s="25" t="str">
        <f t="shared" si="146"/>
        <v/>
      </c>
      <c r="M1808" s="37"/>
      <c r="N1808" s="37"/>
      <c r="O1808" s="33" t="str">
        <f t="shared" si="147"/>
        <v/>
      </c>
      <c r="P1808" s="33" t="str">
        <f t="shared" si="148"/>
        <v/>
      </c>
      <c r="X1808" s="1"/>
    </row>
    <row r="1809" spans="7:24">
      <c r="G1809" s="21"/>
      <c r="H1809" s="23"/>
      <c r="I1809" s="23" t="str">
        <f>_xlfn.IFNA(VLOOKUP(A1809,A1810:$H$3524,8,0),"")</f>
        <v/>
      </c>
      <c r="J1809" s="40" t="str">
        <f t="shared" si="149"/>
        <v/>
      </c>
      <c r="K1809" s="24" t="str">
        <f t="shared" si="145"/>
        <v/>
      </c>
      <c r="L1809" s="25" t="str">
        <f t="shared" si="146"/>
        <v/>
      </c>
      <c r="M1809" s="37"/>
      <c r="N1809" s="37"/>
      <c r="O1809" s="33" t="str">
        <f t="shared" si="147"/>
        <v/>
      </c>
      <c r="P1809" s="33" t="str">
        <f t="shared" si="148"/>
        <v/>
      </c>
      <c r="X1809" s="1"/>
    </row>
    <row r="1810" spans="7:24">
      <c r="G1810" s="21"/>
      <c r="H1810" s="23"/>
      <c r="I1810" s="23" t="str">
        <f>_xlfn.IFNA(VLOOKUP(A1810,A1811:$H$3524,8,0),"")</f>
        <v/>
      </c>
      <c r="J1810" s="40" t="str">
        <f t="shared" si="149"/>
        <v/>
      </c>
      <c r="K1810" s="24" t="str">
        <f t="shared" si="145"/>
        <v/>
      </c>
      <c r="L1810" s="25" t="str">
        <f t="shared" si="146"/>
        <v/>
      </c>
      <c r="M1810" s="37"/>
      <c r="N1810" s="37"/>
      <c r="O1810" s="33" t="str">
        <f t="shared" si="147"/>
        <v/>
      </c>
      <c r="P1810" s="33" t="str">
        <f t="shared" si="148"/>
        <v/>
      </c>
      <c r="X1810" s="1"/>
    </row>
    <row r="1811" spans="7:24">
      <c r="G1811" s="21"/>
      <c r="H1811" s="23"/>
      <c r="I1811" s="23" t="str">
        <f>_xlfn.IFNA(VLOOKUP(A1811,A1812:$H$3524,8,0),"")</f>
        <v/>
      </c>
      <c r="J1811" s="40" t="str">
        <f t="shared" si="149"/>
        <v/>
      </c>
      <c r="K1811" s="24" t="str">
        <f t="shared" si="145"/>
        <v/>
      </c>
      <c r="L1811" s="25" t="str">
        <f t="shared" si="146"/>
        <v/>
      </c>
      <c r="M1811" s="37"/>
      <c r="N1811" s="37"/>
      <c r="O1811" s="33" t="str">
        <f t="shared" si="147"/>
        <v/>
      </c>
      <c r="P1811" s="33" t="str">
        <f t="shared" si="148"/>
        <v/>
      </c>
      <c r="X1811" s="1"/>
    </row>
    <row r="1812" spans="7:24">
      <c r="G1812" s="21"/>
      <c r="H1812" s="23"/>
      <c r="I1812" s="23" t="str">
        <f>_xlfn.IFNA(VLOOKUP(A1812,A1813:$H$3524,8,0),"")</f>
        <v/>
      </c>
      <c r="J1812" s="40" t="str">
        <f t="shared" si="149"/>
        <v/>
      </c>
      <c r="K1812" s="24" t="str">
        <f t="shared" si="145"/>
        <v/>
      </c>
      <c r="L1812" s="25" t="str">
        <f t="shared" si="146"/>
        <v/>
      </c>
      <c r="M1812" s="37"/>
      <c r="N1812" s="37"/>
      <c r="O1812" s="33" t="str">
        <f t="shared" si="147"/>
        <v/>
      </c>
      <c r="P1812" s="33" t="str">
        <f t="shared" si="148"/>
        <v/>
      </c>
      <c r="X1812" s="1"/>
    </row>
    <row r="1813" spans="7:24">
      <c r="G1813" s="21"/>
      <c r="H1813" s="23"/>
      <c r="I1813" s="23" t="str">
        <f>_xlfn.IFNA(VLOOKUP(A1813,A1814:$H$3524,8,0),"")</f>
        <v/>
      </c>
      <c r="J1813" s="40" t="str">
        <f t="shared" si="149"/>
        <v/>
      </c>
      <c r="K1813" s="24" t="str">
        <f t="shared" si="145"/>
        <v/>
      </c>
      <c r="L1813" s="25" t="str">
        <f t="shared" si="146"/>
        <v/>
      </c>
      <c r="M1813" s="37"/>
      <c r="N1813" s="37"/>
      <c r="O1813" s="33" t="str">
        <f t="shared" si="147"/>
        <v/>
      </c>
      <c r="P1813" s="33" t="str">
        <f t="shared" si="148"/>
        <v/>
      </c>
      <c r="X1813" s="1"/>
    </row>
    <row r="1814" spans="7:24">
      <c r="G1814" s="21"/>
      <c r="H1814" s="23"/>
      <c r="I1814" s="23" t="str">
        <f>_xlfn.IFNA(VLOOKUP(A1814,A1815:$H$3524,8,0),"")</f>
        <v/>
      </c>
      <c r="J1814" s="40" t="str">
        <f t="shared" si="149"/>
        <v/>
      </c>
      <c r="K1814" s="24" t="str">
        <f t="shared" ref="K1814:K1877" si="150">IF(H1814="","",IFERROR((I1814-H1814)*24,0))</f>
        <v/>
      </c>
      <c r="L1814" s="25" t="str">
        <f t="shared" si="146"/>
        <v/>
      </c>
      <c r="M1814" s="37"/>
      <c r="N1814" s="37"/>
      <c r="O1814" s="33" t="str">
        <f t="shared" si="147"/>
        <v/>
      </c>
      <c r="P1814" s="33" t="str">
        <f t="shared" si="148"/>
        <v/>
      </c>
      <c r="X1814" s="1"/>
    </row>
    <row r="1815" spans="7:24">
      <c r="G1815" s="21"/>
      <c r="H1815" s="23"/>
      <c r="I1815" s="23" t="str">
        <f>_xlfn.IFNA(VLOOKUP(A1815,A1816:$H$3524,8,0),"")</f>
        <v/>
      </c>
      <c r="J1815" s="40" t="str">
        <f t="shared" si="149"/>
        <v/>
      </c>
      <c r="K1815" s="24" t="str">
        <f t="shared" si="150"/>
        <v/>
      </c>
      <c r="L1815" s="25" t="str">
        <f t="shared" si="146"/>
        <v/>
      </c>
      <c r="M1815" s="37"/>
      <c r="N1815" s="37"/>
      <c r="O1815" s="33" t="str">
        <f t="shared" si="147"/>
        <v/>
      </c>
      <c r="P1815" s="33" t="str">
        <f t="shared" si="148"/>
        <v/>
      </c>
      <c r="X1815" s="1"/>
    </row>
    <row r="1816" spans="7:24">
      <c r="G1816" s="21"/>
      <c r="H1816" s="23"/>
      <c r="I1816" s="23" t="str">
        <f>_xlfn.IFNA(VLOOKUP(A1816,A1817:$H$3524,8,0),"")</f>
        <v/>
      </c>
      <c r="J1816" s="40" t="str">
        <f t="shared" si="149"/>
        <v/>
      </c>
      <c r="K1816" s="24" t="str">
        <f t="shared" si="150"/>
        <v/>
      </c>
      <c r="L1816" s="25" t="str">
        <f t="shared" si="146"/>
        <v/>
      </c>
      <c r="M1816" s="37"/>
      <c r="N1816" s="37"/>
      <c r="O1816" s="33" t="str">
        <f t="shared" si="147"/>
        <v/>
      </c>
      <c r="P1816" s="33" t="str">
        <f t="shared" si="148"/>
        <v/>
      </c>
      <c r="X1816" s="1"/>
    </row>
    <row r="1817" spans="7:24">
      <c r="G1817" s="21"/>
      <c r="H1817" s="23"/>
      <c r="I1817" s="23" t="str">
        <f>_xlfn.IFNA(VLOOKUP(A1817,A1818:$H$3524,8,0),"")</f>
        <v/>
      </c>
      <c r="J1817" s="40" t="str">
        <f t="shared" si="149"/>
        <v/>
      </c>
      <c r="K1817" s="24" t="str">
        <f t="shared" si="150"/>
        <v/>
      </c>
      <c r="L1817" s="25" t="str">
        <f t="shared" si="146"/>
        <v/>
      </c>
      <c r="M1817" s="37"/>
      <c r="N1817" s="37"/>
      <c r="O1817" s="33" t="str">
        <f t="shared" si="147"/>
        <v/>
      </c>
      <c r="P1817" s="33" t="str">
        <f t="shared" si="148"/>
        <v/>
      </c>
      <c r="X1817" s="1"/>
    </row>
    <row r="1818" spans="7:24">
      <c r="G1818" s="21"/>
      <c r="H1818" s="23"/>
      <c r="I1818" s="23" t="str">
        <f>_xlfn.IFNA(VLOOKUP(A1818,A1819:$H$3524,8,0),"")</f>
        <v/>
      </c>
      <c r="J1818" s="40" t="str">
        <f t="shared" si="149"/>
        <v/>
      </c>
      <c r="K1818" s="24" t="str">
        <f t="shared" si="150"/>
        <v/>
      </c>
      <c r="L1818" s="25" t="str">
        <f t="shared" si="146"/>
        <v/>
      </c>
      <c r="M1818" s="37"/>
      <c r="N1818" s="37"/>
      <c r="O1818" s="33" t="str">
        <f t="shared" si="147"/>
        <v/>
      </c>
      <c r="P1818" s="33" t="str">
        <f t="shared" si="148"/>
        <v/>
      </c>
      <c r="X1818" s="1"/>
    </row>
    <row r="1819" spans="7:24">
      <c r="G1819" s="21"/>
      <c r="H1819" s="23"/>
      <c r="I1819" s="23" t="str">
        <f>_xlfn.IFNA(VLOOKUP(A1819,A1820:$H$3524,8,0),"")</f>
        <v/>
      </c>
      <c r="J1819" s="40" t="str">
        <f t="shared" si="149"/>
        <v/>
      </c>
      <c r="K1819" s="24" t="str">
        <f t="shared" si="150"/>
        <v/>
      </c>
      <c r="L1819" s="25" t="str">
        <f t="shared" si="146"/>
        <v/>
      </c>
      <c r="M1819" s="37"/>
      <c r="N1819" s="37"/>
      <c r="O1819" s="33" t="str">
        <f t="shared" si="147"/>
        <v/>
      </c>
      <c r="P1819" s="33" t="str">
        <f t="shared" si="148"/>
        <v/>
      </c>
      <c r="X1819" s="1"/>
    </row>
    <row r="1820" spans="7:24">
      <c r="G1820" s="21"/>
      <c r="H1820" s="23"/>
      <c r="I1820" s="23" t="str">
        <f>_xlfn.IFNA(VLOOKUP(A1820,A1821:$H$3524,8,0),"")</f>
        <v/>
      </c>
      <c r="J1820" s="40" t="str">
        <f t="shared" si="149"/>
        <v/>
      </c>
      <c r="K1820" s="24" t="str">
        <f t="shared" si="150"/>
        <v/>
      </c>
      <c r="L1820" s="25" t="str">
        <f t="shared" si="146"/>
        <v/>
      </c>
      <c r="M1820" s="37"/>
      <c r="N1820" s="37"/>
      <c r="O1820" s="33" t="str">
        <f t="shared" si="147"/>
        <v/>
      </c>
      <c r="P1820" s="33" t="str">
        <f t="shared" si="148"/>
        <v/>
      </c>
      <c r="X1820" s="1"/>
    </row>
    <row r="1821" spans="7:24">
      <c r="G1821" s="21"/>
      <c r="H1821" s="23"/>
      <c r="I1821" s="23" t="str">
        <f>_xlfn.IFNA(VLOOKUP(A1821,A1822:$H$3524,8,0),"")</f>
        <v/>
      </c>
      <c r="J1821" s="40" t="str">
        <f t="shared" si="149"/>
        <v/>
      </c>
      <c r="K1821" s="24" t="str">
        <f t="shared" si="150"/>
        <v/>
      </c>
      <c r="L1821" s="25" t="str">
        <f t="shared" si="146"/>
        <v/>
      </c>
      <c r="M1821" s="37"/>
      <c r="N1821" s="37"/>
      <c r="O1821" s="33" t="str">
        <f t="shared" si="147"/>
        <v/>
      </c>
      <c r="P1821" s="33" t="str">
        <f t="shared" si="148"/>
        <v/>
      </c>
      <c r="X1821" s="1"/>
    </row>
    <row r="1822" spans="7:24">
      <c r="G1822" s="21"/>
      <c r="H1822" s="23"/>
      <c r="I1822" s="23" t="str">
        <f>_xlfn.IFNA(VLOOKUP(A1822,A1823:$H$3524,8,0),"")</f>
        <v/>
      </c>
      <c r="J1822" s="40" t="str">
        <f t="shared" si="149"/>
        <v/>
      </c>
      <c r="K1822" s="24" t="str">
        <f t="shared" si="150"/>
        <v/>
      </c>
      <c r="L1822" s="25" t="str">
        <f t="shared" si="146"/>
        <v/>
      </c>
      <c r="M1822" s="37"/>
      <c r="N1822" s="37"/>
      <c r="O1822" s="33" t="str">
        <f t="shared" si="147"/>
        <v/>
      </c>
      <c r="P1822" s="33" t="str">
        <f t="shared" si="148"/>
        <v/>
      </c>
      <c r="X1822" s="1"/>
    </row>
    <row r="1823" spans="7:24">
      <c r="G1823" s="21"/>
      <c r="H1823" s="23"/>
      <c r="I1823" s="23" t="str">
        <f>_xlfn.IFNA(VLOOKUP(A1823,A1824:$H$3524,8,0),"")</f>
        <v/>
      </c>
      <c r="J1823" s="40" t="str">
        <f t="shared" si="149"/>
        <v/>
      </c>
      <c r="K1823" s="24" t="str">
        <f t="shared" si="150"/>
        <v/>
      </c>
      <c r="L1823" s="25" t="str">
        <f t="shared" si="146"/>
        <v/>
      </c>
      <c r="M1823" s="37"/>
      <c r="N1823" s="37"/>
      <c r="O1823" s="33" t="str">
        <f t="shared" si="147"/>
        <v/>
      </c>
      <c r="P1823" s="33" t="str">
        <f t="shared" si="148"/>
        <v/>
      </c>
      <c r="X1823" s="1"/>
    </row>
    <row r="1824" spans="7:24">
      <c r="G1824" s="21"/>
      <c r="H1824" s="23"/>
      <c r="I1824" s="23" t="str">
        <f>_xlfn.IFNA(VLOOKUP(A1824,A1825:$H$3524,8,0),"")</f>
        <v/>
      </c>
      <c r="J1824" s="40" t="str">
        <f t="shared" si="149"/>
        <v/>
      </c>
      <c r="K1824" s="24" t="str">
        <f t="shared" si="150"/>
        <v/>
      </c>
      <c r="L1824" s="25" t="str">
        <f t="shared" si="146"/>
        <v/>
      </c>
      <c r="M1824" s="37"/>
      <c r="N1824" s="37"/>
      <c r="O1824" s="33" t="str">
        <f t="shared" si="147"/>
        <v/>
      </c>
      <c r="P1824" s="33" t="str">
        <f t="shared" si="148"/>
        <v/>
      </c>
      <c r="X1824" s="1"/>
    </row>
    <row r="1825" spans="7:24">
      <c r="G1825" s="21"/>
      <c r="H1825" s="23"/>
      <c r="I1825" s="23" t="str">
        <f>_xlfn.IFNA(VLOOKUP(A1825,A1826:$H$3524,8,0),"")</f>
        <v/>
      </c>
      <c r="J1825" s="40" t="str">
        <f t="shared" si="149"/>
        <v/>
      </c>
      <c r="K1825" s="24" t="str">
        <f t="shared" si="150"/>
        <v/>
      </c>
      <c r="L1825" s="25" t="str">
        <f t="shared" si="146"/>
        <v/>
      </c>
      <c r="M1825" s="37"/>
      <c r="N1825" s="37"/>
      <c r="O1825" s="33" t="str">
        <f t="shared" si="147"/>
        <v/>
      </c>
      <c r="P1825" s="33" t="str">
        <f t="shared" si="148"/>
        <v/>
      </c>
      <c r="X1825" s="1"/>
    </row>
    <row r="1826" spans="7:24">
      <c r="G1826" s="21"/>
      <c r="H1826" s="23"/>
      <c r="I1826" s="23" t="str">
        <f>_xlfn.IFNA(VLOOKUP(A1826,A1827:$H$3524,8,0),"")</f>
        <v/>
      </c>
      <c r="J1826" s="40" t="str">
        <f t="shared" si="149"/>
        <v/>
      </c>
      <c r="K1826" s="24" t="str">
        <f t="shared" si="150"/>
        <v/>
      </c>
      <c r="L1826" s="25" t="str">
        <f t="shared" si="146"/>
        <v/>
      </c>
      <c r="M1826" s="37"/>
      <c r="N1826" s="37"/>
      <c r="O1826" s="33" t="str">
        <f t="shared" si="147"/>
        <v/>
      </c>
      <c r="P1826" s="33" t="str">
        <f t="shared" si="148"/>
        <v/>
      </c>
      <c r="X1826" s="1"/>
    </row>
    <row r="1827" spans="7:24">
      <c r="G1827" s="21"/>
      <c r="H1827" s="23"/>
      <c r="I1827" s="23" t="str">
        <f>_xlfn.IFNA(VLOOKUP(A1827,A1828:$H$3524,8,0),"")</f>
        <v/>
      </c>
      <c r="J1827" s="40" t="str">
        <f t="shared" si="149"/>
        <v/>
      </c>
      <c r="K1827" s="24" t="str">
        <f t="shared" si="150"/>
        <v/>
      </c>
      <c r="L1827" s="25" t="str">
        <f t="shared" si="146"/>
        <v/>
      </c>
      <c r="M1827" s="37"/>
      <c r="N1827" s="37"/>
      <c r="O1827" s="33" t="str">
        <f t="shared" si="147"/>
        <v/>
      </c>
      <c r="P1827" s="33" t="str">
        <f t="shared" si="148"/>
        <v/>
      </c>
      <c r="X1827" s="1"/>
    </row>
    <row r="1828" spans="7:24">
      <c r="G1828" s="21"/>
      <c r="H1828" s="23"/>
      <c r="I1828" s="23" t="str">
        <f>_xlfn.IFNA(VLOOKUP(A1828,A1829:$H$3524,8,0),"")</f>
        <v/>
      </c>
      <c r="J1828" s="40" t="str">
        <f t="shared" si="149"/>
        <v/>
      </c>
      <c r="K1828" s="24" t="str">
        <f t="shared" si="150"/>
        <v/>
      </c>
      <c r="L1828" s="25" t="str">
        <f t="shared" si="146"/>
        <v/>
      </c>
      <c r="M1828" s="37"/>
      <c r="N1828" s="37"/>
      <c r="O1828" s="33" t="str">
        <f t="shared" si="147"/>
        <v/>
      </c>
      <c r="P1828" s="33" t="str">
        <f t="shared" si="148"/>
        <v/>
      </c>
      <c r="X1828" s="1"/>
    </row>
    <row r="1829" spans="7:24">
      <c r="G1829" s="21"/>
      <c r="H1829" s="23"/>
      <c r="I1829" s="23" t="str">
        <f>_xlfn.IFNA(VLOOKUP(A1829,A1830:$H$3524,8,0),"")</f>
        <v/>
      </c>
      <c r="J1829" s="40" t="str">
        <f t="shared" si="149"/>
        <v/>
      </c>
      <c r="K1829" s="24" t="str">
        <f t="shared" si="150"/>
        <v/>
      </c>
      <c r="L1829" s="25" t="str">
        <f t="shared" si="146"/>
        <v/>
      </c>
      <c r="M1829" s="37"/>
      <c r="N1829" s="37"/>
      <c r="O1829" s="33" t="str">
        <f t="shared" si="147"/>
        <v/>
      </c>
      <c r="P1829" s="33" t="str">
        <f t="shared" si="148"/>
        <v/>
      </c>
      <c r="X1829" s="1"/>
    </row>
    <row r="1830" spans="7:24">
      <c r="G1830" s="21"/>
      <c r="H1830" s="23"/>
      <c r="I1830" s="23" t="str">
        <f>_xlfn.IFNA(VLOOKUP(A1830,A1831:$H$3524,8,0),"")</f>
        <v/>
      </c>
      <c r="J1830" s="40" t="str">
        <f t="shared" si="149"/>
        <v/>
      </c>
      <c r="K1830" s="24" t="str">
        <f t="shared" si="150"/>
        <v/>
      </c>
      <c r="L1830" s="25" t="str">
        <f t="shared" si="146"/>
        <v/>
      </c>
      <c r="M1830" s="37"/>
      <c r="N1830" s="37"/>
      <c r="O1830" s="33" t="str">
        <f t="shared" si="147"/>
        <v/>
      </c>
      <c r="P1830" s="33" t="str">
        <f t="shared" si="148"/>
        <v/>
      </c>
      <c r="X1830" s="1"/>
    </row>
    <row r="1831" spans="7:24">
      <c r="G1831" s="21"/>
      <c r="H1831" s="23"/>
      <c r="I1831" s="23" t="str">
        <f>_xlfn.IFNA(VLOOKUP(A1831,A1832:$H$3524,8,0),"")</f>
        <v/>
      </c>
      <c r="J1831" s="40" t="str">
        <f t="shared" si="149"/>
        <v/>
      </c>
      <c r="K1831" s="24" t="str">
        <f t="shared" si="150"/>
        <v/>
      </c>
      <c r="L1831" s="25" t="str">
        <f t="shared" si="146"/>
        <v/>
      </c>
      <c r="M1831" s="37"/>
      <c r="N1831" s="37"/>
      <c r="O1831" s="33" t="str">
        <f t="shared" si="147"/>
        <v/>
      </c>
      <c r="P1831" s="33" t="str">
        <f t="shared" si="148"/>
        <v/>
      </c>
      <c r="X1831" s="1"/>
    </row>
    <row r="1832" spans="7:24">
      <c r="G1832" s="21"/>
      <c r="H1832" s="23"/>
      <c r="I1832" s="23" t="str">
        <f>_xlfn.IFNA(VLOOKUP(A1832,A1833:$H$3524,8,0),"")</f>
        <v/>
      </c>
      <c r="J1832" s="40" t="str">
        <f t="shared" si="149"/>
        <v/>
      </c>
      <c r="K1832" s="24" t="str">
        <f t="shared" si="150"/>
        <v/>
      </c>
      <c r="L1832" s="25" t="str">
        <f t="shared" si="146"/>
        <v/>
      </c>
      <c r="M1832" s="37"/>
      <c r="N1832" s="37"/>
      <c r="O1832" s="33" t="str">
        <f t="shared" si="147"/>
        <v/>
      </c>
      <c r="P1832" s="33" t="str">
        <f t="shared" si="148"/>
        <v/>
      </c>
      <c r="X1832" s="1"/>
    </row>
    <row r="1833" spans="7:24">
      <c r="G1833" s="21"/>
      <c r="H1833" s="23"/>
      <c r="I1833" s="23" t="str">
        <f>_xlfn.IFNA(VLOOKUP(A1833,A1834:$H$3524,8,0),"")</f>
        <v/>
      </c>
      <c r="J1833" s="40" t="str">
        <f t="shared" si="149"/>
        <v/>
      </c>
      <c r="K1833" s="24" t="str">
        <f t="shared" si="150"/>
        <v/>
      </c>
      <c r="L1833" s="25" t="str">
        <f t="shared" si="146"/>
        <v/>
      </c>
      <c r="M1833" s="37"/>
      <c r="N1833" s="37"/>
      <c r="O1833" s="33" t="str">
        <f t="shared" si="147"/>
        <v/>
      </c>
      <c r="P1833" s="33" t="str">
        <f t="shared" si="148"/>
        <v/>
      </c>
      <c r="X1833" s="1"/>
    </row>
    <row r="1834" spans="7:24">
      <c r="G1834" s="21"/>
      <c r="H1834" s="23"/>
      <c r="I1834" s="23" t="str">
        <f>_xlfn.IFNA(VLOOKUP(A1834,A1835:$H$3524,8,0),"")</f>
        <v/>
      </c>
      <c r="J1834" s="40" t="str">
        <f t="shared" si="149"/>
        <v/>
      </c>
      <c r="K1834" s="24" t="str">
        <f t="shared" si="150"/>
        <v/>
      </c>
      <c r="L1834" s="25" t="str">
        <f t="shared" si="146"/>
        <v/>
      </c>
      <c r="M1834" s="37"/>
      <c r="N1834" s="37"/>
      <c r="O1834" s="33" t="str">
        <f t="shared" si="147"/>
        <v/>
      </c>
      <c r="P1834" s="33" t="str">
        <f t="shared" si="148"/>
        <v/>
      </c>
      <c r="X1834" s="1"/>
    </row>
    <row r="1835" spans="7:24">
      <c r="G1835" s="21"/>
      <c r="H1835" s="23"/>
      <c r="I1835" s="23" t="str">
        <f>_xlfn.IFNA(VLOOKUP(A1835,A1836:$H$3524,8,0),"")</f>
        <v/>
      </c>
      <c r="J1835" s="40" t="str">
        <f t="shared" si="149"/>
        <v/>
      </c>
      <c r="K1835" s="24" t="str">
        <f t="shared" si="150"/>
        <v/>
      </c>
      <c r="L1835" s="25" t="str">
        <f t="shared" si="146"/>
        <v/>
      </c>
      <c r="M1835" s="37"/>
      <c r="N1835" s="37"/>
      <c r="O1835" s="33" t="str">
        <f t="shared" si="147"/>
        <v/>
      </c>
      <c r="P1835" s="33" t="str">
        <f t="shared" si="148"/>
        <v/>
      </c>
      <c r="X1835" s="1"/>
    </row>
    <row r="1836" spans="7:24">
      <c r="G1836" s="21"/>
      <c r="H1836" s="23"/>
      <c r="I1836" s="23" t="str">
        <f>_xlfn.IFNA(VLOOKUP(A1836,A1837:$H$3524,8,0),"")</f>
        <v/>
      </c>
      <c r="J1836" s="40" t="str">
        <f t="shared" si="149"/>
        <v/>
      </c>
      <c r="K1836" s="24" t="str">
        <f t="shared" si="150"/>
        <v/>
      </c>
      <c r="L1836" s="25" t="str">
        <f t="shared" si="146"/>
        <v/>
      </c>
      <c r="M1836" s="37"/>
      <c r="N1836" s="37"/>
      <c r="O1836" s="33" t="str">
        <f t="shared" si="147"/>
        <v/>
      </c>
      <c r="P1836" s="33" t="str">
        <f t="shared" si="148"/>
        <v/>
      </c>
      <c r="X1836" s="1"/>
    </row>
    <row r="1837" spans="7:24">
      <c r="G1837" s="21"/>
      <c r="H1837" s="23"/>
      <c r="I1837" s="23" t="str">
        <f>_xlfn.IFNA(VLOOKUP(A1837,A1838:$H$3524,8,0),"")</f>
        <v/>
      </c>
      <c r="J1837" s="40" t="str">
        <f t="shared" si="149"/>
        <v/>
      </c>
      <c r="K1837" s="24" t="str">
        <f t="shared" si="150"/>
        <v/>
      </c>
      <c r="L1837" s="25" t="str">
        <f t="shared" si="146"/>
        <v/>
      </c>
      <c r="M1837" s="37"/>
      <c r="N1837" s="37"/>
      <c r="O1837" s="33" t="str">
        <f t="shared" si="147"/>
        <v/>
      </c>
      <c r="P1837" s="33" t="str">
        <f t="shared" si="148"/>
        <v/>
      </c>
      <c r="X1837" s="1"/>
    </row>
    <row r="1838" spans="7:24">
      <c r="G1838" s="21"/>
      <c r="H1838" s="23"/>
      <c r="I1838" s="23" t="str">
        <f>_xlfn.IFNA(VLOOKUP(A1838,A1839:$H$3524,8,0),"")</f>
        <v/>
      </c>
      <c r="J1838" s="40" t="str">
        <f t="shared" si="149"/>
        <v/>
      </c>
      <c r="K1838" s="24" t="str">
        <f t="shared" si="150"/>
        <v/>
      </c>
      <c r="L1838" s="25" t="str">
        <f t="shared" si="146"/>
        <v/>
      </c>
      <c r="M1838" s="37"/>
      <c r="N1838" s="37"/>
      <c r="O1838" s="33" t="str">
        <f t="shared" si="147"/>
        <v/>
      </c>
      <c r="P1838" s="33" t="str">
        <f t="shared" si="148"/>
        <v/>
      </c>
      <c r="X1838" s="1"/>
    </row>
    <row r="1839" spans="7:24">
      <c r="G1839" s="21"/>
      <c r="H1839" s="23"/>
      <c r="I1839" s="23" t="str">
        <f>_xlfn.IFNA(VLOOKUP(A1839,A1840:$H$3524,8,0),"")</f>
        <v/>
      </c>
      <c r="J1839" s="40" t="str">
        <f t="shared" si="149"/>
        <v/>
      </c>
      <c r="K1839" s="24" t="str">
        <f t="shared" si="150"/>
        <v/>
      </c>
      <c r="L1839" s="25" t="str">
        <f t="shared" si="146"/>
        <v/>
      </c>
      <c r="M1839" s="37"/>
      <c r="N1839" s="37"/>
      <c r="O1839" s="33" t="str">
        <f t="shared" si="147"/>
        <v/>
      </c>
      <c r="P1839" s="33" t="str">
        <f t="shared" si="148"/>
        <v/>
      </c>
      <c r="X1839" s="1"/>
    </row>
    <row r="1840" spans="7:24">
      <c r="G1840" s="21"/>
      <c r="H1840" s="23"/>
      <c r="I1840" s="23" t="str">
        <f>_xlfn.IFNA(VLOOKUP(A1840,A1841:$H$3524,8,0),"")</f>
        <v/>
      </c>
      <c r="J1840" s="40" t="str">
        <f t="shared" si="149"/>
        <v/>
      </c>
      <c r="K1840" s="24" t="str">
        <f t="shared" si="150"/>
        <v/>
      </c>
      <c r="L1840" s="25" t="str">
        <f t="shared" si="146"/>
        <v/>
      </c>
      <c r="M1840" s="37"/>
      <c r="N1840" s="37"/>
      <c r="O1840" s="33" t="str">
        <f t="shared" si="147"/>
        <v/>
      </c>
      <c r="P1840" s="33" t="str">
        <f t="shared" si="148"/>
        <v/>
      </c>
      <c r="X1840" s="1"/>
    </row>
    <row r="1841" spans="7:24">
      <c r="G1841" s="21"/>
      <c r="H1841" s="23"/>
      <c r="I1841" s="23" t="str">
        <f>_xlfn.IFNA(VLOOKUP(A1841,A1842:$H$3524,8,0),"")</f>
        <v/>
      </c>
      <c r="J1841" s="40" t="str">
        <f t="shared" si="149"/>
        <v/>
      </c>
      <c r="K1841" s="24" t="str">
        <f t="shared" si="150"/>
        <v/>
      </c>
      <c r="L1841" s="25" t="str">
        <f t="shared" si="146"/>
        <v/>
      </c>
      <c r="M1841" s="37"/>
      <c r="N1841" s="37"/>
      <c r="O1841" s="33" t="str">
        <f t="shared" si="147"/>
        <v/>
      </c>
      <c r="P1841" s="33" t="str">
        <f t="shared" si="148"/>
        <v/>
      </c>
      <c r="X1841" s="1"/>
    </row>
    <row r="1842" spans="7:24">
      <c r="G1842" s="21"/>
      <c r="H1842" s="23"/>
      <c r="I1842" s="23" t="str">
        <f>_xlfn.IFNA(VLOOKUP(A1842,A1843:$H$3524,8,0),"")</f>
        <v/>
      </c>
      <c r="J1842" s="40" t="str">
        <f t="shared" si="149"/>
        <v/>
      </c>
      <c r="K1842" s="24" t="str">
        <f t="shared" si="150"/>
        <v/>
      </c>
      <c r="L1842" s="25" t="str">
        <f t="shared" si="146"/>
        <v/>
      </c>
      <c r="M1842" s="37"/>
      <c r="N1842" s="37"/>
      <c r="O1842" s="33" t="str">
        <f t="shared" si="147"/>
        <v/>
      </c>
      <c r="P1842" s="33" t="str">
        <f t="shared" si="148"/>
        <v/>
      </c>
      <c r="X1842" s="1"/>
    </row>
    <row r="1843" spans="7:24">
      <c r="G1843" s="21"/>
      <c r="H1843" s="23"/>
      <c r="I1843" s="23" t="str">
        <f>_xlfn.IFNA(VLOOKUP(A1843,A1844:$H$3524,8,0),"")</f>
        <v/>
      </c>
      <c r="J1843" s="40" t="str">
        <f t="shared" si="149"/>
        <v/>
      </c>
      <c r="K1843" s="24" t="str">
        <f t="shared" si="150"/>
        <v/>
      </c>
      <c r="L1843" s="25" t="str">
        <f t="shared" si="146"/>
        <v/>
      </c>
      <c r="M1843" s="37"/>
      <c r="N1843" s="37"/>
      <c r="O1843" s="33" t="str">
        <f t="shared" si="147"/>
        <v/>
      </c>
      <c r="P1843" s="33" t="str">
        <f t="shared" si="148"/>
        <v/>
      </c>
      <c r="X1843" s="1"/>
    </row>
    <row r="1844" spans="7:24">
      <c r="G1844" s="21"/>
      <c r="H1844" s="23"/>
      <c r="I1844" s="23" t="str">
        <f>_xlfn.IFNA(VLOOKUP(A1844,A1845:$H$3524,8,0),"")</f>
        <v/>
      </c>
      <c r="J1844" s="40" t="str">
        <f t="shared" si="149"/>
        <v/>
      </c>
      <c r="K1844" s="24" t="str">
        <f t="shared" si="150"/>
        <v/>
      </c>
      <c r="L1844" s="25" t="str">
        <f t="shared" si="146"/>
        <v/>
      </c>
      <c r="M1844" s="37"/>
      <c r="N1844" s="37"/>
      <c r="O1844" s="33" t="str">
        <f t="shared" si="147"/>
        <v/>
      </c>
      <c r="P1844" s="33" t="str">
        <f t="shared" si="148"/>
        <v/>
      </c>
      <c r="X1844" s="1"/>
    </row>
    <row r="1845" spans="7:24">
      <c r="G1845" s="21"/>
      <c r="H1845" s="23"/>
      <c r="I1845" s="23" t="str">
        <f>_xlfn.IFNA(VLOOKUP(A1845,A1846:$H$3524,8,0),"")</f>
        <v/>
      </c>
      <c r="J1845" s="40" t="str">
        <f t="shared" si="149"/>
        <v/>
      </c>
      <c r="K1845" s="24" t="str">
        <f t="shared" si="150"/>
        <v/>
      </c>
      <c r="L1845" s="25" t="str">
        <f t="shared" si="146"/>
        <v/>
      </c>
      <c r="M1845" s="37"/>
      <c r="N1845" s="37"/>
      <c r="O1845" s="33" t="str">
        <f t="shared" si="147"/>
        <v/>
      </c>
      <c r="P1845" s="33" t="str">
        <f t="shared" si="148"/>
        <v/>
      </c>
      <c r="X1845" s="1"/>
    </row>
    <row r="1846" spans="7:24">
      <c r="G1846" s="21"/>
      <c r="H1846" s="23"/>
      <c r="I1846" s="23" t="str">
        <f>_xlfn.IFNA(VLOOKUP(A1846,A1847:$H$3524,8,0),"")</f>
        <v/>
      </c>
      <c r="J1846" s="40" t="str">
        <f t="shared" si="149"/>
        <v/>
      </c>
      <c r="K1846" s="24" t="str">
        <f t="shared" si="150"/>
        <v/>
      </c>
      <c r="L1846" s="25" t="str">
        <f t="shared" si="146"/>
        <v/>
      </c>
      <c r="M1846" s="37"/>
      <c r="N1846" s="37"/>
      <c r="O1846" s="33" t="str">
        <f t="shared" si="147"/>
        <v/>
      </c>
      <c r="P1846" s="33" t="str">
        <f t="shared" si="148"/>
        <v/>
      </c>
      <c r="X1846" s="1"/>
    </row>
    <row r="1847" spans="7:24">
      <c r="G1847" s="21"/>
      <c r="H1847" s="23"/>
      <c r="I1847" s="23" t="str">
        <f>_xlfn.IFNA(VLOOKUP(A1847,A1848:$H$3524,8,0),"")</f>
        <v/>
      </c>
      <c r="J1847" s="40" t="str">
        <f t="shared" si="149"/>
        <v/>
      </c>
      <c r="K1847" s="24" t="str">
        <f t="shared" si="150"/>
        <v/>
      </c>
      <c r="L1847" s="25" t="str">
        <f t="shared" ref="L1847:L1910" si="151">IF(K1847="","",IF(B1847="Break","Break",IF(K1847&lt;&gt;0,"Work Finished",IF(B1847="OFF","Work Finished",IF(I1847="","Working","Work Finished")))))</f>
        <v/>
      </c>
      <c r="M1847" s="37"/>
      <c r="N1847" s="37"/>
      <c r="O1847" s="33" t="str">
        <f t="shared" ref="O1847:O1910" si="152">IF(AND(J1847="",M1847="",N1847=""),"",J1847-M1847-N1847)</f>
        <v/>
      </c>
      <c r="P1847" s="33" t="str">
        <f t="shared" ref="P1847:P1910" si="153">IF(HOUR(H1847)=0,"",HOUR(H1847))</f>
        <v/>
      </c>
      <c r="X1847" s="1"/>
    </row>
    <row r="1848" spans="7:24">
      <c r="G1848" s="21"/>
      <c r="H1848" s="23"/>
      <c r="I1848" s="23" t="str">
        <f>_xlfn.IFNA(VLOOKUP(A1848,A1849:$H$3524,8,0),"")</f>
        <v/>
      </c>
      <c r="J1848" s="40" t="str">
        <f t="shared" si="149"/>
        <v/>
      </c>
      <c r="K1848" s="24" t="str">
        <f t="shared" si="150"/>
        <v/>
      </c>
      <c r="L1848" s="25" t="str">
        <f t="shared" si="151"/>
        <v/>
      </c>
      <c r="M1848" s="37"/>
      <c r="N1848" s="37"/>
      <c r="O1848" s="33" t="str">
        <f t="shared" si="152"/>
        <v/>
      </c>
      <c r="P1848" s="33" t="str">
        <f t="shared" si="153"/>
        <v/>
      </c>
      <c r="X1848" s="1"/>
    </row>
    <row r="1849" spans="7:24">
      <c r="G1849" s="21"/>
      <c r="H1849" s="23"/>
      <c r="I1849" s="23" t="str">
        <f>_xlfn.IFNA(VLOOKUP(A1849,A1850:$H$3524,8,0),"")</f>
        <v/>
      </c>
      <c r="J1849" s="40" t="str">
        <f t="shared" si="149"/>
        <v/>
      </c>
      <c r="K1849" s="24" t="str">
        <f t="shared" si="150"/>
        <v/>
      </c>
      <c r="L1849" s="25" t="str">
        <f t="shared" si="151"/>
        <v/>
      </c>
      <c r="M1849" s="37"/>
      <c r="N1849" s="37"/>
      <c r="O1849" s="33" t="str">
        <f t="shared" si="152"/>
        <v/>
      </c>
      <c r="P1849" s="33" t="str">
        <f t="shared" si="153"/>
        <v/>
      </c>
      <c r="X1849" s="1"/>
    </row>
    <row r="1850" spans="7:24">
      <c r="G1850" s="21"/>
      <c r="H1850" s="23"/>
      <c r="I1850" s="23" t="str">
        <f>_xlfn.IFNA(VLOOKUP(A1850,A1851:$H$3524,8,0),"")</f>
        <v/>
      </c>
      <c r="J1850" s="40" t="str">
        <f t="shared" si="149"/>
        <v/>
      </c>
      <c r="K1850" s="24" t="str">
        <f t="shared" si="150"/>
        <v/>
      </c>
      <c r="L1850" s="25" t="str">
        <f t="shared" si="151"/>
        <v/>
      </c>
      <c r="M1850" s="37"/>
      <c r="N1850" s="37"/>
      <c r="O1850" s="33" t="str">
        <f t="shared" si="152"/>
        <v/>
      </c>
      <c r="P1850" s="33" t="str">
        <f t="shared" si="153"/>
        <v/>
      </c>
      <c r="X1850" s="1"/>
    </row>
    <row r="1851" spans="7:24">
      <c r="G1851" s="21"/>
      <c r="H1851" s="23"/>
      <c r="I1851" s="23" t="str">
        <f>_xlfn.IFNA(VLOOKUP(A1851,A1852:$H$3524,8,0),"")</f>
        <v/>
      </c>
      <c r="J1851" s="40" t="str">
        <f t="shared" si="149"/>
        <v/>
      </c>
      <c r="K1851" s="24" t="str">
        <f t="shared" si="150"/>
        <v/>
      </c>
      <c r="L1851" s="25" t="str">
        <f t="shared" si="151"/>
        <v/>
      </c>
      <c r="M1851" s="37"/>
      <c r="N1851" s="37"/>
      <c r="O1851" s="33" t="str">
        <f t="shared" si="152"/>
        <v/>
      </c>
      <c r="P1851" s="33" t="str">
        <f t="shared" si="153"/>
        <v/>
      </c>
      <c r="X1851" s="1"/>
    </row>
    <row r="1852" spans="7:24">
      <c r="G1852" s="21"/>
      <c r="H1852" s="23"/>
      <c r="I1852" s="23" t="str">
        <f>_xlfn.IFNA(VLOOKUP(A1852,A1853:$H$3524,8,0),"")</f>
        <v/>
      </c>
      <c r="J1852" s="40" t="str">
        <f t="shared" si="149"/>
        <v/>
      </c>
      <c r="K1852" s="24" t="str">
        <f t="shared" si="150"/>
        <v/>
      </c>
      <c r="L1852" s="25" t="str">
        <f t="shared" si="151"/>
        <v/>
      </c>
      <c r="M1852" s="37"/>
      <c r="N1852" s="37"/>
      <c r="O1852" s="33" t="str">
        <f t="shared" si="152"/>
        <v/>
      </c>
      <c r="P1852" s="33" t="str">
        <f t="shared" si="153"/>
        <v/>
      </c>
      <c r="X1852" s="1"/>
    </row>
    <row r="1853" spans="7:24">
      <c r="G1853" s="21"/>
      <c r="H1853" s="23"/>
      <c r="I1853" s="23" t="str">
        <f>_xlfn.IFNA(VLOOKUP(A1853,A1854:$H$3524,8,0),"")</f>
        <v/>
      </c>
      <c r="J1853" s="40" t="str">
        <f t="shared" si="149"/>
        <v/>
      </c>
      <c r="K1853" s="24" t="str">
        <f t="shared" si="150"/>
        <v/>
      </c>
      <c r="L1853" s="25" t="str">
        <f t="shared" si="151"/>
        <v/>
      </c>
      <c r="M1853" s="37"/>
      <c r="N1853" s="37"/>
      <c r="O1853" s="33" t="str">
        <f t="shared" si="152"/>
        <v/>
      </c>
      <c r="P1853" s="33" t="str">
        <f t="shared" si="153"/>
        <v/>
      </c>
      <c r="X1853" s="1"/>
    </row>
    <row r="1854" spans="7:24">
      <c r="G1854" s="21"/>
      <c r="H1854" s="23"/>
      <c r="I1854" s="23" t="str">
        <f>_xlfn.IFNA(VLOOKUP(A1854,A1855:$H$3524,8,0),"")</f>
        <v/>
      </c>
      <c r="J1854" s="40" t="str">
        <f t="shared" si="149"/>
        <v/>
      </c>
      <c r="K1854" s="24" t="str">
        <f t="shared" si="150"/>
        <v/>
      </c>
      <c r="L1854" s="25" t="str">
        <f t="shared" si="151"/>
        <v/>
      </c>
      <c r="M1854" s="37"/>
      <c r="N1854" s="37"/>
      <c r="O1854" s="33" t="str">
        <f t="shared" si="152"/>
        <v/>
      </c>
      <c r="P1854" s="33" t="str">
        <f t="shared" si="153"/>
        <v/>
      </c>
      <c r="X1854" s="1"/>
    </row>
    <row r="1855" spans="7:24">
      <c r="G1855" s="21"/>
      <c r="H1855" s="23"/>
      <c r="I1855" s="23" t="str">
        <f>_xlfn.IFNA(VLOOKUP(A1855,A1856:$H$3524,8,0),"")</f>
        <v/>
      </c>
      <c r="J1855" s="40" t="str">
        <f t="shared" si="149"/>
        <v/>
      </c>
      <c r="K1855" s="24" t="str">
        <f t="shared" si="150"/>
        <v/>
      </c>
      <c r="L1855" s="25" t="str">
        <f t="shared" si="151"/>
        <v/>
      </c>
      <c r="M1855" s="37"/>
      <c r="N1855" s="37"/>
      <c r="O1855" s="33" t="str">
        <f t="shared" si="152"/>
        <v/>
      </c>
      <c r="P1855" s="33" t="str">
        <f t="shared" si="153"/>
        <v/>
      </c>
      <c r="X1855" s="1"/>
    </row>
    <row r="1856" spans="7:24">
      <c r="G1856" s="21"/>
      <c r="H1856" s="23"/>
      <c r="I1856" s="23" t="str">
        <f>_xlfn.IFNA(VLOOKUP(A1856,A1857:$H$3524,8,0),"")</f>
        <v/>
      </c>
      <c r="J1856" s="40" t="str">
        <f t="shared" si="149"/>
        <v/>
      </c>
      <c r="K1856" s="24" t="str">
        <f t="shared" si="150"/>
        <v/>
      </c>
      <c r="L1856" s="25" t="str">
        <f t="shared" si="151"/>
        <v/>
      </c>
      <c r="M1856" s="37"/>
      <c r="N1856" s="37"/>
      <c r="O1856" s="33" t="str">
        <f t="shared" si="152"/>
        <v/>
      </c>
      <c r="P1856" s="33" t="str">
        <f t="shared" si="153"/>
        <v/>
      </c>
      <c r="X1856" s="1"/>
    </row>
    <row r="1857" spans="7:24">
      <c r="G1857" s="21"/>
      <c r="H1857" s="23"/>
      <c r="I1857" s="23" t="str">
        <f>_xlfn.IFNA(VLOOKUP(A1857,A1858:$H$3524,8,0),"")</f>
        <v/>
      </c>
      <c r="J1857" s="40" t="str">
        <f t="shared" si="149"/>
        <v/>
      </c>
      <c r="K1857" s="24" t="str">
        <f t="shared" si="150"/>
        <v/>
      </c>
      <c r="L1857" s="25" t="str">
        <f t="shared" si="151"/>
        <v/>
      </c>
      <c r="M1857" s="37"/>
      <c r="N1857" s="37"/>
      <c r="O1857" s="33" t="str">
        <f t="shared" si="152"/>
        <v/>
      </c>
      <c r="P1857" s="33" t="str">
        <f t="shared" si="153"/>
        <v/>
      </c>
      <c r="X1857" s="1"/>
    </row>
    <row r="1858" spans="7:24">
      <c r="G1858" s="21"/>
      <c r="H1858" s="23"/>
      <c r="I1858" s="23" t="str">
        <f>_xlfn.IFNA(VLOOKUP(A1858,A1859:$H$3524,8,0),"")</f>
        <v/>
      </c>
      <c r="J1858" s="40" t="str">
        <f t="shared" si="149"/>
        <v/>
      </c>
      <c r="K1858" s="24" t="str">
        <f t="shared" si="150"/>
        <v/>
      </c>
      <c r="L1858" s="25" t="str">
        <f t="shared" si="151"/>
        <v/>
      </c>
      <c r="M1858" s="37"/>
      <c r="N1858" s="37"/>
      <c r="O1858" s="33" t="str">
        <f t="shared" si="152"/>
        <v/>
      </c>
      <c r="P1858" s="33" t="str">
        <f t="shared" si="153"/>
        <v/>
      </c>
      <c r="X1858" s="1"/>
    </row>
    <row r="1859" spans="7:24">
      <c r="G1859" s="21"/>
      <c r="H1859" s="23"/>
      <c r="I1859" s="23" t="str">
        <f>_xlfn.IFNA(VLOOKUP(A1859,A1860:$H$3524,8,0),"")</f>
        <v/>
      </c>
      <c r="J1859" s="40" t="str">
        <f t="shared" si="149"/>
        <v/>
      </c>
      <c r="K1859" s="24" t="str">
        <f t="shared" si="150"/>
        <v/>
      </c>
      <c r="L1859" s="25" t="str">
        <f t="shared" si="151"/>
        <v/>
      </c>
      <c r="M1859" s="37"/>
      <c r="N1859" s="37"/>
      <c r="O1859" s="33" t="str">
        <f t="shared" si="152"/>
        <v/>
      </c>
      <c r="P1859" s="33" t="str">
        <f t="shared" si="153"/>
        <v/>
      </c>
      <c r="X1859" s="1"/>
    </row>
    <row r="1860" spans="7:24">
      <c r="G1860" s="21"/>
      <c r="H1860" s="23"/>
      <c r="I1860" s="23" t="str">
        <f>_xlfn.IFNA(VLOOKUP(A1860,A1861:$H$3524,8,0),"")</f>
        <v/>
      </c>
      <c r="J1860" s="40" t="str">
        <f t="shared" si="149"/>
        <v/>
      </c>
      <c r="K1860" s="24" t="str">
        <f t="shared" si="150"/>
        <v/>
      </c>
      <c r="L1860" s="25" t="str">
        <f t="shared" si="151"/>
        <v/>
      </c>
      <c r="M1860" s="37"/>
      <c r="N1860" s="37"/>
      <c r="O1860" s="33" t="str">
        <f t="shared" si="152"/>
        <v/>
      </c>
      <c r="P1860" s="33" t="str">
        <f t="shared" si="153"/>
        <v/>
      </c>
      <c r="X1860" s="1"/>
    </row>
    <row r="1861" spans="7:24">
      <c r="G1861" s="21"/>
      <c r="H1861" s="23"/>
      <c r="I1861" s="23" t="str">
        <f>_xlfn.IFNA(VLOOKUP(A1861,A1862:$H$3524,8,0),"")</f>
        <v/>
      </c>
      <c r="J1861" s="40" t="str">
        <f t="shared" si="149"/>
        <v/>
      </c>
      <c r="K1861" s="24" t="str">
        <f t="shared" si="150"/>
        <v/>
      </c>
      <c r="L1861" s="25" t="str">
        <f t="shared" si="151"/>
        <v/>
      </c>
      <c r="M1861" s="37"/>
      <c r="N1861" s="37"/>
      <c r="O1861" s="33" t="str">
        <f t="shared" si="152"/>
        <v/>
      </c>
      <c r="P1861" s="33" t="str">
        <f t="shared" si="153"/>
        <v/>
      </c>
      <c r="X1861" s="1"/>
    </row>
    <row r="1862" spans="7:24">
      <c r="G1862" s="21"/>
      <c r="H1862" s="23"/>
      <c r="I1862" s="23" t="str">
        <f>_xlfn.IFNA(VLOOKUP(A1862,A1863:$H$3524,8,0),"")</f>
        <v/>
      </c>
      <c r="J1862" s="40" t="str">
        <f t="shared" ref="J1862:J1925" si="154">IF(B1862="OFF",0,IF(AND(D1862&lt;&gt;"",E1862&lt;&gt;""),E1862-D1862+1,""))</f>
        <v/>
      </c>
      <c r="K1862" s="24" t="str">
        <f t="shared" si="150"/>
        <v/>
      </c>
      <c r="L1862" s="25" t="str">
        <f t="shared" si="151"/>
        <v/>
      </c>
      <c r="M1862" s="37"/>
      <c r="N1862" s="37"/>
      <c r="O1862" s="33" t="str">
        <f t="shared" si="152"/>
        <v/>
      </c>
      <c r="P1862" s="33" t="str">
        <f t="shared" si="153"/>
        <v/>
      </c>
      <c r="X1862" s="1"/>
    </row>
    <row r="1863" spans="7:24">
      <c r="G1863" s="21"/>
      <c r="H1863" s="23"/>
      <c r="I1863" s="23" t="str">
        <f>_xlfn.IFNA(VLOOKUP(A1863,A1864:$H$3524,8,0),"")</f>
        <v/>
      </c>
      <c r="J1863" s="40" t="str">
        <f t="shared" si="154"/>
        <v/>
      </c>
      <c r="K1863" s="24" t="str">
        <f t="shared" si="150"/>
        <v/>
      </c>
      <c r="L1863" s="25" t="str">
        <f t="shared" si="151"/>
        <v/>
      </c>
      <c r="M1863" s="37"/>
      <c r="N1863" s="37"/>
      <c r="O1863" s="33" t="str">
        <f t="shared" si="152"/>
        <v/>
      </c>
      <c r="P1863" s="33" t="str">
        <f t="shared" si="153"/>
        <v/>
      </c>
      <c r="X1863" s="1"/>
    </row>
    <row r="1864" spans="7:24">
      <c r="G1864" s="21"/>
      <c r="H1864" s="23"/>
      <c r="I1864" s="23" t="str">
        <f>_xlfn.IFNA(VLOOKUP(A1864,A1865:$H$3524,8,0),"")</f>
        <v/>
      </c>
      <c r="J1864" s="40" t="str">
        <f t="shared" si="154"/>
        <v/>
      </c>
      <c r="K1864" s="24" t="str">
        <f t="shared" si="150"/>
        <v/>
      </c>
      <c r="L1864" s="25" t="str">
        <f t="shared" si="151"/>
        <v/>
      </c>
      <c r="M1864" s="37"/>
      <c r="N1864" s="37"/>
      <c r="O1864" s="33" t="str">
        <f t="shared" si="152"/>
        <v/>
      </c>
      <c r="P1864" s="33" t="str">
        <f t="shared" si="153"/>
        <v/>
      </c>
      <c r="X1864" s="1"/>
    </row>
    <row r="1865" spans="7:24">
      <c r="G1865" s="21"/>
      <c r="H1865" s="23"/>
      <c r="I1865" s="23" t="str">
        <f>_xlfn.IFNA(VLOOKUP(A1865,A1866:$H$3524,8,0),"")</f>
        <v/>
      </c>
      <c r="J1865" s="40" t="str">
        <f t="shared" si="154"/>
        <v/>
      </c>
      <c r="K1865" s="24" t="str">
        <f t="shared" si="150"/>
        <v/>
      </c>
      <c r="L1865" s="25" t="str">
        <f t="shared" si="151"/>
        <v/>
      </c>
      <c r="M1865" s="37"/>
      <c r="N1865" s="37"/>
      <c r="O1865" s="33" t="str">
        <f t="shared" si="152"/>
        <v/>
      </c>
      <c r="P1865" s="33" t="str">
        <f t="shared" si="153"/>
        <v/>
      </c>
      <c r="X1865" s="1"/>
    </row>
    <row r="1866" spans="7:24">
      <c r="G1866" s="21"/>
      <c r="H1866" s="23"/>
      <c r="I1866" s="23" t="str">
        <f>_xlfn.IFNA(VLOOKUP(A1866,A1867:$H$3524,8,0),"")</f>
        <v/>
      </c>
      <c r="J1866" s="40" t="str">
        <f t="shared" si="154"/>
        <v/>
      </c>
      <c r="K1866" s="24" t="str">
        <f t="shared" si="150"/>
        <v/>
      </c>
      <c r="L1866" s="25" t="str">
        <f t="shared" si="151"/>
        <v/>
      </c>
      <c r="M1866" s="37"/>
      <c r="N1866" s="37"/>
      <c r="O1866" s="33" t="str">
        <f t="shared" si="152"/>
        <v/>
      </c>
      <c r="P1866" s="33" t="str">
        <f t="shared" si="153"/>
        <v/>
      </c>
      <c r="X1866" s="1"/>
    </row>
    <row r="1867" spans="7:24">
      <c r="G1867" s="21"/>
      <c r="H1867" s="23"/>
      <c r="I1867" s="23" t="str">
        <f>_xlfn.IFNA(VLOOKUP(A1867,A1868:$H$3524,8,0),"")</f>
        <v/>
      </c>
      <c r="J1867" s="40" t="str">
        <f t="shared" si="154"/>
        <v/>
      </c>
      <c r="K1867" s="24" t="str">
        <f t="shared" si="150"/>
        <v/>
      </c>
      <c r="L1867" s="25" t="str">
        <f t="shared" si="151"/>
        <v/>
      </c>
      <c r="M1867" s="37"/>
      <c r="N1867" s="37"/>
      <c r="O1867" s="33" t="str">
        <f t="shared" si="152"/>
        <v/>
      </c>
      <c r="P1867" s="33" t="str">
        <f t="shared" si="153"/>
        <v/>
      </c>
      <c r="X1867" s="1"/>
    </row>
    <row r="1868" spans="7:24">
      <c r="G1868" s="21"/>
      <c r="H1868" s="23"/>
      <c r="I1868" s="23" t="str">
        <f>_xlfn.IFNA(VLOOKUP(A1868,A1869:$H$3524,8,0),"")</f>
        <v/>
      </c>
      <c r="J1868" s="40" t="str">
        <f t="shared" si="154"/>
        <v/>
      </c>
      <c r="K1868" s="24" t="str">
        <f t="shared" si="150"/>
        <v/>
      </c>
      <c r="L1868" s="25" t="str">
        <f t="shared" si="151"/>
        <v/>
      </c>
      <c r="M1868" s="37"/>
      <c r="N1868" s="37"/>
      <c r="O1868" s="33" t="str">
        <f t="shared" si="152"/>
        <v/>
      </c>
      <c r="P1868" s="33" t="str">
        <f t="shared" si="153"/>
        <v/>
      </c>
      <c r="X1868" s="1"/>
    </row>
    <row r="1869" spans="7:24">
      <c r="G1869" s="21"/>
      <c r="H1869" s="23"/>
      <c r="I1869" s="23" t="str">
        <f>_xlfn.IFNA(VLOOKUP(A1869,A1870:$H$3524,8,0),"")</f>
        <v/>
      </c>
      <c r="J1869" s="40" t="str">
        <f t="shared" si="154"/>
        <v/>
      </c>
      <c r="K1869" s="24" t="str">
        <f t="shared" si="150"/>
        <v/>
      </c>
      <c r="L1869" s="25" t="str">
        <f t="shared" si="151"/>
        <v/>
      </c>
      <c r="M1869" s="37"/>
      <c r="N1869" s="37"/>
      <c r="O1869" s="33" t="str">
        <f t="shared" si="152"/>
        <v/>
      </c>
      <c r="P1869" s="33" t="str">
        <f t="shared" si="153"/>
        <v/>
      </c>
      <c r="X1869" s="1"/>
    </row>
    <row r="1870" spans="7:24">
      <c r="G1870" s="21"/>
      <c r="H1870" s="23"/>
      <c r="I1870" s="23" t="str">
        <f>_xlfn.IFNA(VLOOKUP(A1870,A1871:$H$3524,8,0),"")</f>
        <v/>
      </c>
      <c r="J1870" s="40" t="str">
        <f t="shared" si="154"/>
        <v/>
      </c>
      <c r="K1870" s="24" t="str">
        <f t="shared" si="150"/>
        <v/>
      </c>
      <c r="L1870" s="25" t="str">
        <f t="shared" si="151"/>
        <v/>
      </c>
      <c r="M1870" s="37"/>
      <c r="N1870" s="37"/>
      <c r="O1870" s="33" t="str">
        <f t="shared" si="152"/>
        <v/>
      </c>
      <c r="P1870" s="33" t="str">
        <f t="shared" si="153"/>
        <v/>
      </c>
      <c r="X1870" s="1"/>
    </row>
    <row r="1871" spans="7:24">
      <c r="G1871" s="21"/>
      <c r="H1871" s="23"/>
      <c r="I1871" s="23" t="str">
        <f>_xlfn.IFNA(VLOOKUP(A1871,A1872:$H$3524,8,0),"")</f>
        <v/>
      </c>
      <c r="J1871" s="40" t="str">
        <f t="shared" si="154"/>
        <v/>
      </c>
      <c r="K1871" s="24" t="str">
        <f t="shared" si="150"/>
        <v/>
      </c>
      <c r="L1871" s="25" t="str">
        <f t="shared" si="151"/>
        <v/>
      </c>
      <c r="M1871" s="37"/>
      <c r="N1871" s="37"/>
      <c r="O1871" s="33" t="str">
        <f t="shared" si="152"/>
        <v/>
      </c>
      <c r="P1871" s="33" t="str">
        <f t="shared" si="153"/>
        <v/>
      </c>
      <c r="X1871" s="1"/>
    </row>
    <row r="1872" spans="7:24">
      <c r="G1872" s="21"/>
      <c r="H1872" s="23"/>
      <c r="I1872" s="23" t="str">
        <f>_xlfn.IFNA(VLOOKUP(A1872,A1873:$H$3524,8,0),"")</f>
        <v/>
      </c>
      <c r="J1872" s="40" t="str">
        <f t="shared" si="154"/>
        <v/>
      </c>
      <c r="K1872" s="24" t="str">
        <f t="shared" si="150"/>
        <v/>
      </c>
      <c r="L1872" s="25" t="str">
        <f t="shared" si="151"/>
        <v/>
      </c>
      <c r="M1872" s="37"/>
      <c r="N1872" s="37"/>
      <c r="O1872" s="33" t="str">
        <f t="shared" si="152"/>
        <v/>
      </c>
      <c r="P1872" s="33" t="str">
        <f t="shared" si="153"/>
        <v/>
      </c>
      <c r="X1872" s="1"/>
    </row>
    <row r="1873" spans="7:24">
      <c r="G1873" s="21"/>
      <c r="H1873" s="23"/>
      <c r="I1873" s="23" t="str">
        <f>_xlfn.IFNA(VLOOKUP(A1873,A1874:$H$3524,8,0),"")</f>
        <v/>
      </c>
      <c r="J1873" s="40" t="str">
        <f t="shared" si="154"/>
        <v/>
      </c>
      <c r="K1873" s="24" t="str">
        <f t="shared" si="150"/>
        <v/>
      </c>
      <c r="L1873" s="25" t="str">
        <f t="shared" si="151"/>
        <v/>
      </c>
      <c r="M1873" s="37"/>
      <c r="N1873" s="37"/>
      <c r="O1873" s="33" t="str">
        <f t="shared" si="152"/>
        <v/>
      </c>
      <c r="P1873" s="33" t="str">
        <f t="shared" si="153"/>
        <v/>
      </c>
      <c r="X1873" s="1"/>
    </row>
    <row r="1874" spans="7:24">
      <c r="G1874" s="21"/>
      <c r="H1874" s="23"/>
      <c r="I1874" s="23" t="str">
        <f>_xlfn.IFNA(VLOOKUP(A1874,A1875:$H$3524,8,0),"")</f>
        <v/>
      </c>
      <c r="J1874" s="40" t="str">
        <f t="shared" si="154"/>
        <v/>
      </c>
      <c r="K1874" s="24" t="str">
        <f t="shared" si="150"/>
        <v/>
      </c>
      <c r="L1874" s="25" t="str">
        <f t="shared" si="151"/>
        <v/>
      </c>
      <c r="M1874" s="37"/>
      <c r="N1874" s="37"/>
      <c r="O1874" s="33" t="str">
        <f t="shared" si="152"/>
        <v/>
      </c>
      <c r="P1874" s="33" t="str">
        <f t="shared" si="153"/>
        <v/>
      </c>
      <c r="X1874" s="1"/>
    </row>
    <row r="1875" spans="7:24">
      <c r="G1875" s="21"/>
      <c r="H1875" s="23"/>
      <c r="I1875" s="23" t="str">
        <f>_xlfn.IFNA(VLOOKUP(A1875,A1876:$H$3524,8,0),"")</f>
        <v/>
      </c>
      <c r="J1875" s="40" t="str">
        <f t="shared" si="154"/>
        <v/>
      </c>
      <c r="K1875" s="24" t="str">
        <f t="shared" si="150"/>
        <v/>
      </c>
      <c r="L1875" s="25" t="str">
        <f t="shared" si="151"/>
        <v/>
      </c>
      <c r="M1875" s="37"/>
      <c r="N1875" s="37"/>
      <c r="O1875" s="33" t="str">
        <f t="shared" si="152"/>
        <v/>
      </c>
      <c r="P1875" s="33" t="str">
        <f t="shared" si="153"/>
        <v/>
      </c>
      <c r="X1875" s="1"/>
    </row>
    <row r="1876" spans="7:24">
      <c r="G1876" s="21"/>
      <c r="H1876" s="23"/>
      <c r="I1876" s="23" t="str">
        <f>_xlfn.IFNA(VLOOKUP(A1876,A1877:$H$3524,8,0),"")</f>
        <v/>
      </c>
      <c r="J1876" s="40" t="str">
        <f t="shared" si="154"/>
        <v/>
      </c>
      <c r="K1876" s="24" t="str">
        <f t="shared" si="150"/>
        <v/>
      </c>
      <c r="L1876" s="25" t="str">
        <f t="shared" si="151"/>
        <v/>
      </c>
      <c r="M1876" s="37"/>
      <c r="N1876" s="37"/>
      <c r="O1876" s="33" t="str">
        <f t="shared" si="152"/>
        <v/>
      </c>
      <c r="P1876" s="33" t="str">
        <f t="shared" si="153"/>
        <v/>
      </c>
      <c r="X1876" s="1"/>
    </row>
    <row r="1877" spans="7:24">
      <c r="G1877" s="21"/>
      <c r="H1877" s="23"/>
      <c r="I1877" s="23" t="str">
        <f>_xlfn.IFNA(VLOOKUP(A1877,A1878:$H$3524,8,0),"")</f>
        <v/>
      </c>
      <c r="J1877" s="40" t="str">
        <f t="shared" si="154"/>
        <v/>
      </c>
      <c r="K1877" s="24" t="str">
        <f t="shared" si="150"/>
        <v/>
      </c>
      <c r="L1877" s="25" t="str">
        <f t="shared" si="151"/>
        <v/>
      </c>
      <c r="M1877" s="37"/>
      <c r="N1877" s="37"/>
      <c r="O1877" s="33" t="str">
        <f t="shared" si="152"/>
        <v/>
      </c>
      <c r="P1877" s="33" t="str">
        <f t="shared" si="153"/>
        <v/>
      </c>
      <c r="X1877" s="1"/>
    </row>
    <row r="1878" spans="7:24">
      <c r="G1878" s="21"/>
      <c r="H1878" s="23"/>
      <c r="I1878" s="23" t="str">
        <f>_xlfn.IFNA(VLOOKUP(A1878,A1879:$H$3524,8,0),"")</f>
        <v/>
      </c>
      <c r="J1878" s="40" t="str">
        <f t="shared" si="154"/>
        <v/>
      </c>
      <c r="K1878" s="24" t="str">
        <f t="shared" ref="K1878:K1941" si="155">IF(H1878="","",IFERROR((I1878-H1878)*24,0))</f>
        <v/>
      </c>
      <c r="L1878" s="25" t="str">
        <f t="shared" si="151"/>
        <v/>
      </c>
      <c r="M1878" s="37"/>
      <c r="N1878" s="37"/>
      <c r="O1878" s="33" t="str">
        <f t="shared" si="152"/>
        <v/>
      </c>
      <c r="P1878" s="33" t="str">
        <f t="shared" si="153"/>
        <v/>
      </c>
      <c r="X1878" s="1"/>
    </row>
    <row r="1879" spans="7:24">
      <c r="G1879" s="21"/>
      <c r="H1879" s="23"/>
      <c r="I1879" s="23" t="str">
        <f>_xlfn.IFNA(VLOOKUP(A1879,A1880:$H$3524,8,0),"")</f>
        <v/>
      </c>
      <c r="J1879" s="40" t="str">
        <f t="shared" si="154"/>
        <v/>
      </c>
      <c r="K1879" s="24" t="str">
        <f t="shared" si="155"/>
        <v/>
      </c>
      <c r="L1879" s="25" t="str">
        <f t="shared" si="151"/>
        <v/>
      </c>
      <c r="M1879" s="37"/>
      <c r="N1879" s="37"/>
      <c r="O1879" s="33" t="str">
        <f t="shared" si="152"/>
        <v/>
      </c>
      <c r="P1879" s="33" t="str">
        <f t="shared" si="153"/>
        <v/>
      </c>
      <c r="X1879" s="1"/>
    </row>
    <row r="1880" spans="7:24">
      <c r="G1880" s="21"/>
      <c r="H1880" s="23"/>
      <c r="I1880" s="23" t="str">
        <f>_xlfn.IFNA(VLOOKUP(A1880,A1881:$H$3524,8,0),"")</f>
        <v/>
      </c>
      <c r="J1880" s="40" t="str">
        <f t="shared" si="154"/>
        <v/>
      </c>
      <c r="K1880" s="24" t="str">
        <f t="shared" si="155"/>
        <v/>
      </c>
      <c r="L1880" s="25" t="str">
        <f t="shared" si="151"/>
        <v/>
      </c>
      <c r="M1880" s="37"/>
      <c r="N1880" s="37"/>
      <c r="O1880" s="33" t="str">
        <f t="shared" si="152"/>
        <v/>
      </c>
      <c r="P1880" s="33" t="str">
        <f t="shared" si="153"/>
        <v/>
      </c>
      <c r="X1880" s="1"/>
    </row>
    <row r="1881" spans="7:24">
      <c r="G1881" s="21"/>
      <c r="H1881" s="23"/>
      <c r="I1881" s="23" t="str">
        <f>_xlfn.IFNA(VLOOKUP(A1881,A1882:$H$3524,8,0),"")</f>
        <v/>
      </c>
      <c r="J1881" s="40" t="str">
        <f t="shared" si="154"/>
        <v/>
      </c>
      <c r="K1881" s="24" t="str">
        <f t="shared" si="155"/>
        <v/>
      </c>
      <c r="L1881" s="25" t="str">
        <f t="shared" si="151"/>
        <v/>
      </c>
      <c r="M1881" s="37"/>
      <c r="N1881" s="37"/>
      <c r="O1881" s="33" t="str">
        <f t="shared" si="152"/>
        <v/>
      </c>
      <c r="P1881" s="33" t="str">
        <f t="shared" si="153"/>
        <v/>
      </c>
      <c r="X1881" s="1"/>
    </row>
    <row r="1882" spans="7:24">
      <c r="G1882" s="21"/>
      <c r="H1882" s="23"/>
      <c r="I1882" s="23" t="str">
        <f>_xlfn.IFNA(VLOOKUP(A1882,A1883:$H$3524,8,0),"")</f>
        <v/>
      </c>
      <c r="J1882" s="40" t="str">
        <f t="shared" si="154"/>
        <v/>
      </c>
      <c r="K1882" s="24" t="str">
        <f t="shared" si="155"/>
        <v/>
      </c>
      <c r="L1882" s="25" t="str">
        <f t="shared" si="151"/>
        <v/>
      </c>
      <c r="M1882" s="37"/>
      <c r="N1882" s="37"/>
      <c r="O1882" s="33" t="str">
        <f t="shared" si="152"/>
        <v/>
      </c>
      <c r="P1882" s="33" t="str">
        <f t="shared" si="153"/>
        <v/>
      </c>
      <c r="X1882" s="1"/>
    </row>
    <row r="1883" spans="7:24">
      <c r="G1883" s="21"/>
      <c r="H1883" s="23"/>
      <c r="I1883" s="23" t="str">
        <f>_xlfn.IFNA(VLOOKUP(A1883,A1884:$H$3524,8,0),"")</f>
        <v/>
      </c>
      <c r="J1883" s="40" t="str">
        <f t="shared" si="154"/>
        <v/>
      </c>
      <c r="K1883" s="24" t="str">
        <f t="shared" si="155"/>
        <v/>
      </c>
      <c r="L1883" s="25" t="str">
        <f t="shared" si="151"/>
        <v/>
      </c>
      <c r="M1883" s="37"/>
      <c r="N1883" s="37"/>
      <c r="O1883" s="33" t="str">
        <f t="shared" si="152"/>
        <v/>
      </c>
      <c r="P1883" s="33" t="str">
        <f t="shared" si="153"/>
        <v/>
      </c>
      <c r="X1883" s="1"/>
    </row>
    <row r="1884" spans="7:24">
      <c r="G1884" s="21"/>
      <c r="H1884" s="23"/>
      <c r="I1884" s="23" t="str">
        <f>_xlfn.IFNA(VLOOKUP(A1884,A1885:$H$3524,8,0),"")</f>
        <v/>
      </c>
      <c r="J1884" s="40" t="str">
        <f t="shared" si="154"/>
        <v/>
      </c>
      <c r="K1884" s="24" t="str">
        <f t="shared" si="155"/>
        <v/>
      </c>
      <c r="L1884" s="25" t="str">
        <f t="shared" si="151"/>
        <v/>
      </c>
      <c r="M1884" s="37"/>
      <c r="N1884" s="37"/>
      <c r="O1884" s="33" t="str">
        <f t="shared" si="152"/>
        <v/>
      </c>
      <c r="P1884" s="33" t="str">
        <f t="shared" si="153"/>
        <v/>
      </c>
      <c r="X1884" s="1"/>
    </row>
    <row r="1885" spans="7:24">
      <c r="G1885" s="21"/>
      <c r="H1885" s="23"/>
      <c r="I1885" s="23" t="str">
        <f>_xlfn.IFNA(VLOOKUP(A1885,A1886:$H$3524,8,0),"")</f>
        <v/>
      </c>
      <c r="J1885" s="40" t="str">
        <f t="shared" si="154"/>
        <v/>
      </c>
      <c r="K1885" s="24" t="str">
        <f t="shared" si="155"/>
        <v/>
      </c>
      <c r="L1885" s="25" t="str">
        <f t="shared" si="151"/>
        <v/>
      </c>
      <c r="M1885" s="37"/>
      <c r="N1885" s="37"/>
      <c r="O1885" s="33" t="str">
        <f t="shared" si="152"/>
        <v/>
      </c>
      <c r="P1885" s="33" t="str">
        <f t="shared" si="153"/>
        <v/>
      </c>
      <c r="X1885" s="1"/>
    </row>
    <row r="1886" spans="7:24">
      <c r="G1886" s="21"/>
      <c r="H1886" s="23"/>
      <c r="I1886" s="23" t="str">
        <f>_xlfn.IFNA(VLOOKUP(A1886,A1887:$H$3524,8,0),"")</f>
        <v/>
      </c>
      <c r="J1886" s="40" t="str">
        <f t="shared" si="154"/>
        <v/>
      </c>
      <c r="K1886" s="24" t="str">
        <f t="shared" si="155"/>
        <v/>
      </c>
      <c r="L1886" s="25" t="str">
        <f t="shared" si="151"/>
        <v/>
      </c>
      <c r="M1886" s="37"/>
      <c r="N1886" s="37"/>
      <c r="O1886" s="33" t="str">
        <f t="shared" si="152"/>
        <v/>
      </c>
      <c r="P1886" s="33" t="str">
        <f t="shared" si="153"/>
        <v/>
      </c>
      <c r="X1886" s="1"/>
    </row>
    <row r="1887" spans="7:24">
      <c r="G1887" s="21"/>
      <c r="H1887" s="23"/>
      <c r="I1887" s="23" t="str">
        <f>_xlfn.IFNA(VLOOKUP(A1887,A1888:$H$3524,8,0),"")</f>
        <v/>
      </c>
      <c r="J1887" s="40" t="str">
        <f t="shared" si="154"/>
        <v/>
      </c>
      <c r="K1887" s="24" t="str">
        <f t="shared" si="155"/>
        <v/>
      </c>
      <c r="L1887" s="25" t="str">
        <f t="shared" si="151"/>
        <v/>
      </c>
      <c r="M1887" s="37"/>
      <c r="N1887" s="37"/>
      <c r="O1887" s="33" t="str">
        <f t="shared" si="152"/>
        <v/>
      </c>
      <c r="P1887" s="33" t="str">
        <f t="shared" si="153"/>
        <v/>
      </c>
      <c r="X1887" s="1"/>
    </row>
    <row r="1888" spans="7:24">
      <c r="G1888" s="21"/>
      <c r="H1888" s="23"/>
      <c r="I1888" s="23" t="str">
        <f>_xlfn.IFNA(VLOOKUP(A1888,A1889:$H$3524,8,0),"")</f>
        <v/>
      </c>
      <c r="J1888" s="40" t="str">
        <f t="shared" si="154"/>
        <v/>
      </c>
      <c r="K1888" s="24" t="str">
        <f t="shared" si="155"/>
        <v/>
      </c>
      <c r="L1888" s="25" t="str">
        <f t="shared" si="151"/>
        <v/>
      </c>
      <c r="M1888" s="37"/>
      <c r="N1888" s="37"/>
      <c r="O1888" s="33" t="str">
        <f t="shared" si="152"/>
        <v/>
      </c>
      <c r="P1888" s="33" t="str">
        <f t="shared" si="153"/>
        <v/>
      </c>
      <c r="X1888" s="1"/>
    </row>
    <row r="1889" spans="7:24">
      <c r="G1889" s="21"/>
      <c r="H1889" s="23"/>
      <c r="I1889" s="23" t="str">
        <f>_xlfn.IFNA(VLOOKUP(A1889,A1890:$H$3524,8,0),"")</f>
        <v/>
      </c>
      <c r="J1889" s="40" t="str">
        <f t="shared" si="154"/>
        <v/>
      </c>
      <c r="K1889" s="24" t="str">
        <f t="shared" si="155"/>
        <v/>
      </c>
      <c r="L1889" s="25" t="str">
        <f t="shared" si="151"/>
        <v/>
      </c>
      <c r="M1889" s="37"/>
      <c r="N1889" s="37"/>
      <c r="O1889" s="33" t="str">
        <f t="shared" si="152"/>
        <v/>
      </c>
      <c r="P1889" s="33" t="str">
        <f t="shared" si="153"/>
        <v/>
      </c>
      <c r="X1889" s="1"/>
    </row>
    <row r="1890" spans="7:24">
      <c r="G1890" s="21"/>
      <c r="H1890" s="23"/>
      <c r="I1890" s="23" t="str">
        <f>_xlfn.IFNA(VLOOKUP(A1890,A1891:$H$3524,8,0),"")</f>
        <v/>
      </c>
      <c r="J1890" s="40" t="str">
        <f t="shared" si="154"/>
        <v/>
      </c>
      <c r="K1890" s="24" t="str">
        <f t="shared" si="155"/>
        <v/>
      </c>
      <c r="L1890" s="25" t="str">
        <f t="shared" si="151"/>
        <v/>
      </c>
      <c r="M1890" s="37"/>
      <c r="N1890" s="37"/>
      <c r="O1890" s="33" t="str">
        <f t="shared" si="152"/>
        <v/>
      </c>
      <c r="P1890" s="33" t="str">
        <f t="shared" si="153"/>
        <v/>
      </c>
      <c r="X1890" s="1"/>
    </row>
    <row r="1891" spans="7:24">
      <c r="G1891" s="21"/>
      <c r="H1891" s="23"/>
      <c r="I1891" s="23" t="str">
        <f>_xlfn.IFNA(VLOOKUP(A1891,A1892:$H$3524,8,0),"")</f>
        <v/>
      </c>
      <c r="J1891" s="40" t="str">
        <f t="shared" si="154"/>
        <v/>
      </c>
      <c r="K1891" s="24" t="str">
        <f t="shared" si="155"/>
        <v/>
      </c>
      <c r="L1891" s="25" t="str">
        <f t="shared" si="151"/>
        <v/>
      </c>
      <c r="M1891" s="37"/>
      <c r="N1891" s="37"/>
      <c r="O1891" s="33" t="str">
        <f t="shared" si="152"/>
        <v/>
      </c>
      <c r="P1891" s="33" t="str">
        <f t="shared" si="153"/>
        <v/>
      </c>
      <c r="X1891" s="1"/>
    </row>
    <row r="1892" spans="7:24">
      <c r="G1892" s="21"/>
      <c r="H1892" s="23"/>
      <c r="I1892" s="23" t="str">
        <f>_xlfn.IFNA(VLOOKUP(A1892,A1893:$H$3524,8,0),"")</f>
        <v/>
      </c>
      <c r="J1892" s="40" t="str">
        <f t="shared" si="154"/>
        <v/>
      </c>
      <c r="K1892" s="24" t="str">
        <f t="shared" si="155"/>
        <v/>
      </c>
      <c r="L1892" s="25" t="str">
        <f t="shared" si="151"/>
        <v/>
      </c>
      <c r="M1892" s="37"/>
      <c r="N1892" s="37"/>
      <c r="O1892" s="33" t="str">
        <f t="shared" si="152"/>
        <v/>
      </c>
      <c r="P1892" s="33" t="str">
        <f t="shared" si="153"/>
        <v/>
      </c>
      <c r="X1892" s="1"/>
    </row>
    <row r="1893" spans="7:24">
      <c r="G1893" s="21"/>
      <c r="H1893" s="23"/>
      <c r="I1893" s="23" t="str">
        <f>_xlfn.IFNA(VLOOKUP(A1893,A1894:$H$3524,8,0),"")</f>
        <v/>
      </c>
      <c r="J1893" s="40" t="str">
        <f t="shared" si="154"/>
        <v/>
      </c>
      <c r="K1893" s="24" t="str">
        <f t="shared" si="155"/>
        <v/>
      </c>
      <c r="L1893" s="25" t="str">
        <f t="shared" si="151"/>
        <v/>
      </c>
      <c r="M1893" s="37"/>
      <c r="N1893" s="37"/>
      <c r="O1893" s="33" t="str">
        <f t="shared" si="152"/>
        <v/>
      </c>
      <c r="P1893" s="33" t="str">
        <f t="shared" si="153"/>
        <v/>
      </c>
      <c r="X1893" s="1"/>
    </row>
    <row r="1894" spans="7:24">
      <c r="G1894" s="21"/>
      <c r="H1894" s="23"/>
      <c r="I1894" s="23" t="str">
        <f>_xlfn.IFNA(VLOOKUP(A1894,A1895:$H$3524,8,0),"")</f>
        <v/>
      </c>
      <c r="J1894" s="40" t="str">
        <f t="shared" si="154"/>
        <v/>
      </c>
      <c r="K1894" s="24" t="str">
        <f t="shared" si="155"/>
        <v/>
      </c>
      <c r="L1894" s="25" t="str">
        <f t="shared" si="151"/>
        <v/>
      </c>
      <c r="M1894" s="37"/>
      <c r="N1894" s="37"/>
      <c r="O1894" s="33" t="str">
        <f t="shared" si="152"/>
        <v/>
      </c>
      <c r="P1894" s="33" t="str">
        <f t="shared" si="153"/>
        <v/>
      </c>
      <c r="X1894" s="1"/>
    </row>
    <row r="1895" spans="7:24">
      <c r="G1895" s="21"/>
      <c r="H1895" s="23"/>
      <c r="I1895" s="23" t="str">
        <f>_xlfn.IFNA(VLOOKUP(A1895,A1896:$H$3524,8,0),"")</f>
        <v/>
      </c>
      <c r="J1895" s="40" t="str">
        <f t="shared" si="154"/>
        <v/>
      </c>
      <c r="K1895" s="24" t="str">
        <f t="shared" si="155"/>
        <v/>
      </c>
      <c r="L1895" s="25" t="str">
        <f t="shared" si="151"/>
        <v/>
      </c>
      <c r="M1895" s="37"/>
      <c r="N1895" s="37"/>
      <c r="O1895" s="33" t="str">
        <f t="shared" si="152"/>
        <v/>
      </c>
      <c r="P1895" s="33" t="str">
        <f t="shared" si="153"/>
        <v/>
      </c>
      <c r="X1895" s="1"/>
    </row>
    <row r="1896" spans="7:24">
      <c r="G1896" s="21"/>
      <c r="H1896" s="23"/>
      <c r="I1896" s="23" t="str">
        <f>_xlfn.IFNA(VLOOKUP(A1896,A1897:$H$3524,8,0),"")</f>
        <v/>
      </c>
      <c r="J1896" s="40" t="str">
        <f t="shared" si="154"/>
        <v/>
      </c>
      <c r="K1896" s="24" t="str">
        <f t="shared" si="155"/>
        <v/>
      </c>
      <c r="L1896" s="25" t="str">
        <f t="shared" si="151"/>
        <v/>
      </c>
      <c r="M1896" s="37"/>
      <c r="N1896" s="37"/>
      <c r="O1896" s="33" t="str">
        <f t="shared" si="152"/>
        <v/>
      </c>
      <c r="P1896" s="33" t="str">
        <f t="shared" si="153"/>
        <v/>
      </c>
      <c r="X1896" s="1"/>
    </row>
    <row r="1897" spans="7:24">
      <c r="G1897" s="21"/>
      <c r="H1897" s="23"/>
      <c r="I1897" s="23" t="str">
        <f>_xlfn.IFNA(VLOOKUP(A1897,A1898:$H$3524,8,0),"")</f>
        <v/>
      </c>
      <c r="J1897" s="40" t="str">
        <f t="shared" si="154"/>
        <v/>
      </c>
      <c r="K1897" s="24" t="str">
        <f t="shared" si="155"/>
        <v/>
      </c>
      <c r="L1897" s="25" t="str">
        <f t="shared" si="151"/>
        <v/>
      </c>
      <c r="M1897" s="37"/>
      <c r="N1897" s="37"/>
      <c r="O1897" s="33" t="str">
        <f t="shared" si="152"/>
        <v/>
      </c>
      <c r="P1897" s="33" t="str">
        <f t="shared" si="153"/>
        <v/>
      </c>
      <c r="X1897" s="1"/>
    </row>
    <row r="1898" spans="7:24">
      <c r="G1898" s="21"/>
      <c r="H1898" s="23"/>
      <c r="I1898" s="23" t="str">
        <f>_xlfn.IFNA(VLOOKUP(A1898,A1899:$H$3524,8,0),"")</f>
        <v/>
      </c>
      <c r="J1898" s="40" t="str">
        <f t="shared" si="154"/>
        <v/>
      </c>
      <c r="K1898" s="24" t="str">
        <f t="shared" si="155"/>
        <v/>
      </c>
      <c r="L1898" s="25" t="str">
        <f t="shared" si="151"/>
        <v/>
      </c>
      <c r="M1898" s="37"/>
      <c r="N1898" s="37"/>
      <c r="O1898" s="33" t="str">
        <f t="shared" si="152"/>
        <v/>
      </c>
      <c r="P1898" s="33" t="str">
        <f t="shared" si="153"/>
        <v/>
      </c>
      <c r="X1898" s="1"/>
    </row>
    <row r="1899" spans="7:24">
      <c r="G1899" s="21"/>
      <c r="H1899" s="23"/>
      <c r="I1899" s="23" t="str">
        <f>_xlfn.IFNA(VLOOKUP(A1899,A1900:$H$3524,8,0),"")</f>
        <v/>
      </c>
      <c r="J1899" s="40" t="str">
        <f t="shared" si="154"/>
        <v/>
      </c>
      <c r="K1899" s="24" t="str">
        <f t="shared" si="155"/>
        <v/>
      </c>
      <c r="L1899" s="25" t="str">
        <f t="shared" si="151"/>
        <v/>
      </c>
      <c r="M1899" s="37"/>
      <c r="N1899" s="37"/>
      <c r="O1899" s="33" t="str">
        <f t="shared" si="152"/>
        <v/>
      </c>
      <c r="P1899" s="33" t="str">
        <f t="shared" si="153"/>
        <v/>
      </c>
      <c r="X1899" s="1"/>
    </row>
    <row r="1900" spans="7:24">
      <c r="G1900" s="21"/>
      <c r="H1900" s="23"/>
      <c r="I1900" s="23" t="str">
        <f>_xlfn.IFNA(VLOOKUP(A1900,A1901:$H$3524,8,0),"")</f>
        <v/>
      </c>
      <c r="J1900" s="40" t="str">
        <f t="shared" si="154"/>
        <v/>
      </c>
      <c r="K1900" s="24" t="str">
        <f t="shared" si="155"/>
        <v/>
      </c>
      <c r="L1900" s="25" t="str">
        <f t="shared" si="151"/>
        <v/>
      </c>
      <c r="M1900" s="37"/>
      <c r="N1900" s="37"/>
      <c r="O1900" s="33" t="str">
        <f t="shared" si="152"/>
        <v/>
      </c>
      <c r="P1900" s="33" t="str">
        <f t="shared" si="153"/>
        <v/>
      </c>
      <c r="X1900" s="1"/>
    </row>
    <row r="1901" spans="7:24">
      <c r="G1901" s="21"/>
      <c r="H1901" s="23"/>
      <c r="I1901" s="23" t="str">
        <f>_xlfn.IFNA(VLOOKUP(A1901,A1902:$H$3524,8,0),"")</f>
        <v/>
      </c>
      <c r="J1901" s="40" t="str">
        <f t="shared" si="154"/>
        <v/>
      </c>
      <c r="K1901" s="24" t="str">
        <f t="shared" si="155"/>
        <v/>
      </c>
      <c r="L1901" s="25" t="str">
        <f t="shared" si="151"/>
        <v/>
      </c>
      <c r="M1901" s="37"/>
      <c r="N1901" s="37"/>
      <c r="O1901" s="33" t="str">
        <f t="shared" si="152"/>
        <v/>
      </c>
      <c r="P1901" s="33" t="str">
        <f t="shared" si="153"/>
        <v/>
      </c>
      <c r="X1901" s="1"/>
    </row>
    <row r="1902" spans="7:24">
      <c r="G1902" s="21"/>
      <c r="H1902" s="23"/>
      <c r="I1902" s="23" t="str">
        <f>_xlfn.IFNA(VLOOKUP(A1902,A1903:$H$3524,8,0),"")</f>
        <v/>
      </c>
      <c r="J1902" s="40" t="str">
        <f t="shared" si="154"/>
        <v/>
      </c>
      <c r="K1902" s="24" t="str">
        <f t="shared" si="155"/>
        <v/>
      </c>
      <c r="L1902" s="25" t="str">
        <f t="shared" si="151"/>
        <v/>
      </c>
      <c r="M1902" s="37"/>
      <c r="N1902" s="37"/>
      <c r="O1902" s="33" t="str">
        <f t="shared" si="152"/>
        <v/>
      </c>
      <c r="P1902" s="33" t="str">
        <f t="shared" si="153"/>
        <v/>
      </c>
      <c r="X1902" s="1"/>
    </row>
    <row r="1903" spans="7:24">
      <c r="G1903" s="21"/>
      <c r="H1903" s="23"/>
      <c r="I1903" s="23" t="str">
        <f>_xlfn.IFNA(VLOOKUP(A1903,A1904:$H$3524,8,0),"")</f>
        <v/>
      </c>
      <c r="J1903" s="40" t="str">
        <f t="shared" si="154"/>
        <v/>
      </c>
      <c r="K1903" s="24" t="str">
        <f t="shared" si="155"/>
        <v/>
      </c>
      <c r="L1903" s="25" t="str">
        <f t="shared" si="151"/>
        <v/>
      </c>
      <c r="M1903" s="37"/>
      <c r="N1903" s="37"/>
      <c r="O1903" s="33" t="str">
        <f t="shared" si="152"/>
        <v/>
      </c>
      <c r="P1903" s="33" t="str">
        <f t="shared" si="153"/>
        <v/>
      </c>
      <c r="X1903" s="1"/>
    </row>
    <row r="1904" spans="7:24">
      <c r="G1904" s="21"/>
      <c r="H1904" s="23"/>
      <c r="I1904" s="23" t="str">
        <f>_xlfn.IFNA(VLOOKUP(A1904,A1905:$H$3524,8,0),"")</f>
        <v/>
      </c>
      <c r="J1904" s="40" t="str">
        <f t="shared" si="154"/>
        <v/>
      </c>
      <c r="K1904" s="24" t="str">
        <f t="shared" si="155"/>
        <v/>
      </c>
      <c r="L1904" s="25" t="str">
        <f t="shared" si="151"/>
        <v/>
      </c>
      <c r="M1904" s="37"/>
      <c r="N1904" s="37"/>
      <c r="O1904" s="33" t="str">
        <f t="shared" si="152"/>
        <v/>
      </c>
      <c r="P1904" s="33" t="str">
        <f t="shared" si="153"/>
        <v/>
      </c>
      <c r="X1904" s="1"/>
    </row>
    <row r="1905" spans="7:24">
      <c r="G1905" s="21"/>
      <c r="H1905" s="23"/>
      <c r="I1905" s="23" t="str">
        <f>_xlfn.IFNA(VLOOKUP(A1905,A1906:$H$3524,8,0),"")</f>
        <v/>
      </c>
      <c r="J1905" s="40" t="str">
        <f t="shared" si="154"/>
        <v/>
      </c>
      <c r="K1905" s="24" t="str">
        <f t="shared" si="155"/>
        <v/>
      </c>
      <c r="L1905" s="25" t="str">
        <f t="shared" si="151"/>
        <v/>
      </c>
      <c r="M1905" s="37"/>
      <c r="N1905" s="37"/>
      <c r="O1905" s="33" t="str">
        <f t="shared" si="152"/>
        <v/>
      </c>
      <c r="P1905" s="33" t="str">
        <f t="shared" si="153"/>
        <v/>
      </c>
      <c r="X1905" s="1"/>
    </row>
    <row r="1906" spans="7:24">
      <c r="G1906" s="21"/>
      <c r="H1906" s="23"/>
      <c r="I1906" s="23" t="str">
        <f>_xlfn.IFNA(VLOOKUP(A1906,A1907:$H$3524,8,0),"")</f>
        <v/>
      </c>
      <c r="J1906" s="40" t="str">
        <f t="shared" si="154"/>
        <v/>
      </c>
      <c r="K1906" s="24" t="str">
        <f t="shared" si="155"/>
        <v/>
      </c>
      <c r="L1906" s="25" t="str">
        <f t="shared" si="151"/>
        <v/>
      </c>
      <c r="M1906" s="37"/>
      <c r="N1906" s="37"/>
      <c r="O1906" s="33" t="str">
        <f t="shared" si="152"/>
        <v/>
      </c>
      <c r="P1906" s="33" t="str">
        <f t="shared" si="153"/>
        <v/>
      </c>
      <c r="X1906" s="1"/>
    </row>
    <row r="1907" spans="7:24">
      <c r="G1907" s="21"/>
      <c r="H1907" s="23"/>
      <c r="I1907" s="23" t="str">
        <f>_xlfn.IFNA(VLOOKUP(A1907,A1908:$H$3524,8,0),"")</f>
        <v/>
      </c>
      <c r="J1907" s="40" t="str">
        <f t="shared" si="154"/>
        <v/>
      </c>
      <c r="K1907" s="24" t="str">
        <f t="shared" si="155"/>
        <v/>
      </c>
      <c r="L1907" s="25" t="str">
        <f t="shared" si="151"/>
        <v/>
      </c>
      <c r="M1907" s="37"/>
      <c r="N1907" s="37"/>
      <c r="O1907" s="33" t="str">
        <f t="shared" si="152"/>
        <v/>
      </c>
      <c r="P1907" s="33" t="str">
        <f t="shared" si="153"/>
        <v/>
      </c>
      <c r="X1907" s="1"/>
    </row>
    <row r="1908" spans="7:24">
      <c r="G1908" s="21"/>
      <c r="H1908" s="23"/>
      <c r="I1908" s="23" t="str">
        <f>_xlfn.IFNA(VLOOKUP(A1908,A1909:$H$3524,8,0),"")</f>
        <v/>
      </c>
      <c r="J1908" s="40" t="str">
        <f t="shared" si="154"/>
        <v/>
      </c>
      <c r="K1908" s="24" t="str">
        <f t="shared" si="155"/>
        <v/>
      </c>
      <c r="L1908" s="25" t="str">
        <f t="shared" si="151"/>
        <v/>
      </c>
      <c r="M1908" s="37"/>
      <c r="N1908" s="37"/>
      <c r="O1908" s="33" t="str">
        <f t="shared" si="152"/>
        <v/>
      </c>
      <c r="P1908" s="33" t="str">
        <f t="shared" si="153"/>
        <v/>
      </c>
      <c r="X1908" s="1"/>
    </row>
    <row r="1909" spans="7:24">
      <c r="G1909" s="21"/>
      <c r="H1909" s="23"/>
      <c r="I1909" s="23" t="str">
        <f>_xlfn.IFNA(VLOOKUP(A1909,A1910:$H$3524,8,0),"")</f>
        <v/>
      </c>
      <c r="J1909" s="40" t="str">
        <f t="shared" si="154"/>
        <v/>
      </c>
      <c r="K1909" s="24" t="str">
        <f t="shared" si="155"/>
        <v/>
      </c>
      <c r="L1909" s="25" t="str">
        <f t="shared" si="151"/>
        <v/>
      </c>
      <c r="M1909" s="37"/>
      <c r="N1909" s="37"/>
      <c r="O1909" s="33" t="str">
        <f t="shared" si="152"/>
        <v/>
      </c>
      <c r="P1909" s="33" t="str">
        <f t="shared" si="153"/>
        <v/>
      </c>
      <c r="X1909" s="1"/>
    </row>
    <row r="1910" spans="7:24">
      <c r="G1910" s="21"/>
      <c r="H1910" s="23"/>
      <c r="I1910" s="23" t="str">
        <f>_xlfn.IFNA(VLOOKUP(A1910,A1911:$H$3524,8,0),"")</f>
        <v/>
      </c>
      <c r="J1910" s="40" t="str">
        <f t="shared" si="154"/>
        <v/>
      </c>
      <c r="K1910" s="24" t="str">
        <f t="shared" si="155"/>
        <v/>
      </c>
      <c r="L1910" s="25" t="str">
        <f t="shared" si="151"/>
        <v/>
      </c>
      <c r="M1910" s="37"/>
      <c r="N1910" s="37"/>
      <c r="O1910" s="33" t="str">
        <f t="shared" si="152"/>
        <v/>
      </c>
      <c r="P1910" s="33" t="str">
        <f t="shared" si="153"/>
        <v/>
      </c>
      <c r="X1910" s="1"/>
    </row>
    <row r="1911" spans="7:24">
      <c r="G1911" s="21"/>
      <c r="H1911" s="23"/>
      <c r="I1911" s="23" t="str">
        <f>_xlfn.IFNA(VLOOKUP(A1911,A1912:$H$3524,8,0),"")</f>
        <v/>
      </c>
      <c r="J1911" s="40" t="str">
        <f t="shared" si="154"/>
        <v/>
      </c>
      <c r="K1911" s="24" t="str">
        <f t="shared" si="155"/>
        <v/>
      </c>
      <c r="L1911" s="25" t="str">
        <f t="shared" ref="L1911:L1974" si="156">IF(K1911="","",IF(B1911="Break","Break",IF(K1911&lt;&gt;0,"Work Finished",IF(B1911="OFF","Work Finished",IF(I1911="","Working","Work Finished")))))</f>
        <v/>
      </c>
      <c r="M1911" s="37"/>
      <c r="N1911" s="37"/>
      <c r="O1911" s="33" t="str">
        <f t="shared" ref="O1911:O1974" si="157">IF(AND(J1911="",M1911="",N1911=""),"",J1911-M1911-N1911)</f>
        <v/>
      </c>
      <c r="P1911" s="33" t="str">
        <f t="shared" ref="P1911:P1974" si="158">IF(HOUR(H1911)=0,"",HOUR(H1911))</f>
        <v/>
      </c>
      <c r="X1911" s="1"/>
    </row>
    <row r="1912" spans="7:24">
      <c r="G1912" s="21"/>
      <c r="H1912" s="23"/>
      <c r="I1912" s="23" t="str">
        <f>_xlfn.IFNA(VLOOKUP(A1912,A1913:$H$3524,8,0),"")</f>
        <v/>
      </c>
      <c r="J1912" s="40" t="str">
        <f t="shared" si="154"/>
        <v/>
      </c>
      <c r="K1912" s="24" t="str">
        <f t="shared" si="155"/>
        <v/>
      </c>
      <c r="L1912" s="25" t="str">
        <f t="shared" si="156"/>
        <v/>
      </c>
      <c r="M1912" s="37"/>
      <c r="N1912" s="37"/>
      <c r="O1912" s="33" t="str">
        <f t="shared" si="157"/>
        <v/>
      </c>
      <c r="P1912" s="33" t="str">
        <f t="shared" si="158"/>
        <v/>
      </c>
      <c r="X1912" s="1"/>
    </row>
    <row r="1913" spans="7:24">
      <c r="G1913" s="21"/>
      <c r="H1913" s="23"/>
      <c r="I1913" s="23" t="str">
        <f>_xlfn.IFNA(VLOOKUP(A1913,A1914:$H$3524,8,0),"")</f>
        <v/>
      </c>
      <c r="J1913" s="40" t="str">
        <f t="shared" si="154"/>
        <v/>
      </c>
      <c r="K1913" s="24" t="str">
        <f t="shared" si="155"/>
        <v/>
      </c>
      <c r="L1913" s="25" t="str">
        <f t="shared" si="156"/>
        <v/>
      </c>
      <c r="M1913" s="37"/>
      <c r="N1913" s="37"/>
      <c r="O1913" s="33" t="str">
        <f t="shared" si="157"/>
        <v/>
      </c>
      <c r="P1913" s="33" t="str">
        <f t="shared" si="158"/>
        <v/>
      </c>
      <c r="X1913" s="1"/>
    </row>
    <row r="1914" spans="7:24">
      <c r="G1914" s="21"/>
      <c r="H1914" s="23"/>
      <c r="I1914" s="23" t="str">
        <f>_xlfn.IFNA(VLOOKUP(A1914,A1915:$H$3524,8,0),"")</f>
        <v/>
      </c>
      <c r="J1914" s="40" t="str">
        <f t="shared" si="154"/>
        <v/>
      </c>
      <c r="K1914" s="24" t="str">
        <f t="shared" si="155"/>
        <v/>
      </c>
      <c r="L1914" s="25" t="str">
        <f t="shared" si="156"/>
        <v/>
      </c>
      <c r="M1914" s="37"/>
      <c r="N1914" s="37"/>
      <c r="O1914" s="33" t="str">
        <f t="shared" si="157"/>
        <v/>
      </c>
      <c r="P1914" s="33" t="str">
        <f t="shared" si="158"/>
        <v/>
      </c>
      <c r="X1914" s="1"/>
    </row>
    <row r="1915" spans="7:24">
      <c r="G1915" s="21"/>
      <c r="H1915" s="23"/>
      <c r="I1915" s="23" t="str">
        <f>_xlfn.IFNA(VLOOKUP(A1915,A1916:$H$3524,8,0),"")</f>
        <v/>
      </c>
      <c r="J1915" s="40" t="str">
        <f t="shared" si="154"/>
        <v/>
      </c>
      <c r="K1915" s="24" t="str">
        <f t="shared" si="155"/>
        <v/>
      </c>
      <c r="L1915" s="25" t="str">
        <f t="shared" si="156"/>
        <v/>
      </c>
      <c r="M1915" s="37"/>
      <c r="N1915" s="37"/>
      <c r="O1915" s="33" t="str">
        <f t="shared" si="157"/>
        <v/>
      </c>
      <c r="P1915" s="33" t="str">
        <f t="shared" si="158"/>
        <v/>
      </c>
      <c r="X1915" s="1"/>
    </row>
    <row r="1916" spans="7:24">
      <c r="G1916" s="21"/>
      <c r="H1916" s="23"/>
      <c r="I1916" s="23" t="str">
        <f>_xlfn.IFNA(VLOOKUP(A1916,A1917:$H$3524,8,0),"")</f>
        <v/>
      </c>
      <c r="J1916" s="40" t="str">
        <f t="shared" si="154"/>
        <v/>
      </c>
      <c r="K1916" s="24" t="str">
        <f t="shared" si="155"/>
        <v/>
      </c>
      <c r="L1916" s="25" t="str">
        <f t="shared" si="156"/>
        <v/>
      </c>
      <c r="M1916" s="37"/>
      <c r="N1916" s="37"/>
      <c r="O1916" s="33" t="str">
        <f t="shared" si="157"/>
        <v/>
      </c>
      <c r="P1916" s="33" t="str">
        <f t="shared" si="158"/>
        <v/>
      </c>
      <c r="X1916" s="1"/>
    </row>
    <row r="1917" spans="7:24">
      <c r="G1917" s="21"/>
      <c r="H1917" s="23"/>
      <c r="I1917" s="23" t="str">
        <f>_xlfn.IFNA(VLOOKUP(A1917,A1918:$H$3524,8,0),"")</f>
        <v/>
      </c>
      <c r="J1917" s="40" t="str">
        <f t="shared" si="154"/>
        <v/>
      </c>
      <c r="K1917" s="24" t="str">
        <f t="shared" si="155"/>
        <v/>
      </c>
      <c r="L1917" s="25" t="str">
        <f t="shared" si="156"/>
        <v/>
      </c>
      <c r="M1917" s="37"/>
      <c r="N1917" s="37"/>
      <c r="O1917" s="33" t="str">
        <f t="shared" si="157"/>
        <v/>
      </c>
      <c r="P1917" s="33" t="str">
        <f t="shared" si="158"/>
        <v/>
      </c>
      <c r="X1917" s="1"/>
    </row>
    <row r="1918" spans="7:24">
      <c r="G1918" s="21"/>
      <c r="H1918" s="23"/>
      <c r="I1918" s="23" t="str">
        <f>_xlfn.IFNA(VLOOKUP(A1918,A1919:$H$3524,8,0),"")</f>
        <v/>
      </c>
      <c r="J1918" s="40" t="str">
        <f t="shared" si="154"/>
        <v/>
      </c>
      <c r="K1918" s="24" t="str">
        <f t="shared" si="155"/>
        <v/>
      </c>
      <c r="L1918" s="25" t="str">
        <f t="shared" si="156"/>
        <v/>
      </c>
      <c r="M1918" s="37"/>
      <c r="N1918" s="37"/>
      <c r="O1918" s="33" t="str">
        <f t="shared" si="157"/>
        <v/>
      </c>
      <c r="P1918" s="33" t="str">
        <f t="shared" si="158"/>
        <v/>
      </c>
      <c r="X1918" s="1"/>
    </row>
    <row r="1919" spans="7:24">
      <c r="G1919" s="21"/>
      <c r="H1919" s="23"/>
      <c r="I1919" s="23" t="str">
        <f>_xlfn.IFNA(VLOOKUP(A1919,A1920:$H$3524,8,0),"")</f>
        <v/>
      </c>
      <c r="J1919" s="40" t="str">
        <f t="shared" si="154"/>
        <v/>
      </c>
      <c r="K1919" s="24" t="str">
        <f t="shared" si="155"/>
        <v/>
      </c>
      <c r="L1919" s="25" t="str">
        <f t="shared" si="156"/>
        <v/>
      </c>
      <c r="M1919" s="37"/>
      <c r="N1919" s="37"/>
      <c r="O1919" s="33" t="str">
        <f t="shared" si="157"/>
        <v/>
      </c>
      <c r="P1919" s="33" t="str">
        <f t="shared" si="158"/>
        <v/>
      </c>
      <c r="X1919" s="1"/>
    </row>
    <row r="1920" spans="7:24">
      <c r="G1920" s="21"/>
      <c r="H1920" s="23"/>
      <c r="I1920" s="23" t="str">
        <f>_xlfn.IFNA(VLOOKUP(A1920,A1921:$H$3524,8,0),"")</f>
        <v/>
      </c>
      <c r="J1920" s="40" t="str">
        <f t="shared" si="154"/>
        <v/>
      </c>
      <c r="K1920" s="24" t="str">
        <f t="shared" si="155"/>
        <v/>
      </c>
      <c r="L1920" s="25" t="str">
        <f t="shared" si="156"/>
        <v/>
      </c>
      <c r="M1920" s="37"/>
      <c r="N1920" s="37"/>
      <c r="O1920" s="33" t="str">
        <f t="shared" si="157"/>
        <v/>
      </c>
      <c r="P1920" s="33" t="str">
        <f t="shared" si="158"/>
        <v/>
      </c>
      <c r="X1920" s="1"/>
    </row>
    <row r="1921" spans="7:24">
      <c r="G1921" s="21"/>
      <c r="H1921" s="23"/>
      <c r="I1921" s="23" t="str">
        <f>_xlfn.IFNA(VLOOKUP(A1921,A1922:$H$3524,8,0),"")</f>
        <v/>
      </c>
      <c r="J1921" s="40" t="str">
        <f t="shared" si="154"/>
        <v/>
      </c>
      <c r="K1921" s="24" t="str">
        <f t="shared" si="155"/>
        <v/>
      </c>
      <c r="L1921" s="25" t="str">
        <f t="shared" si="156"/>
        <v/>
      </c>
      <c r="M1921" s="37"/>
      <c r="N1921" s="37"/>
      <c r="O1921" s="33" t="str">
        <f t="shared" si="157"/>
        <v/>
      </c>
      <c r="P1921" s="33" t="str">
        <f t="shared" si="158"/>
        <v/>
      </c>
      <c r="X1921" s="1"/>
    </row>
    <row r="1922" spans="7:24">
      <c r="G1922" s="21"/>
      <c r="H1922" s="23"/>
      <c r="I1922" s="23" t="str">
        <f>_xlfn.IFNA(VLOOKUP(A1922,A1923:$H$3524,8,0),"")</f>
        <v/>
      </c>
      <c r="J1922" s="40" t="str">
        <f t="shared" si="154"/>
        <v/>
      </c>
      <c r="K1922" s="24" t="str">
        <f t="shared" si="155"/>
        <v/>
      </c>
      <c r="L1922" s="25" t="str">
        <f t="shared" si="156"/>
        <v/>
      </c>
      <c r="M1922" s="37"/>
      <c r="N1922" s="37"/>
      <c r="O1922" s="33" t="str">
        <f t="shared" si="157"/>
        <v/>
      </c>
      <c r="P1922" s="33" t="str">
        <f t="shared" si="158"/>
        <v/>
      </c>
      <c r="X1922" s="1"/>
    </row>
    <row r="1923" spans="7:24">
      <c r="G1923" s="21"/>
      <c r="H1923" s="23"/>
      <c r="I1923" s="23" t="str">
        <f>_xlfn.IFNA(VLOOKUP(A1923,A1924:$H$3524,8,0),"")</f>
        <v/>
      </c>
      <c r="J1923" s="40" t="str">
        <f t="shared" si="154"/>
        <v/>
      </c>
      <c r="K1923" s="24" t="str">
        <f t="shared" si="155"/>
        <v/>
      </c>
      <c r="L1923" s="25" t="str">
        <f t="shared" si="156"/>
        <v/>
      </c>
      <c r="M1923" s="37"/>
      <c r="N1923" s="37"/>
      <c r="O1923" s="33" t="str">
        <f t="shared" si="157"/>
        <v/>
      </c>
      <c r="P1923" s="33" t="str">
        <f t="shared" si="158"/>
        <v/>
      </c>
      <c r="X1923" s="1"/>
    </row>
    <row r="1924" spans="7:24">
      <c r="G1924" s="21"/>
      <c r="H1924" s="23"/>
      <c r="I1924" s="23" t="str">
        <f>_xlfn.IFNA(VLOOKUP(A1924,A1925:$H$3524,8,0),"")</f>
        <v/>
      </c>
      <c r="J1924" s="40" t="str">
        <f t="shared" si="154"/>
        <v/>
      </c>
      <c r="K1924" s="24" t="str">
        <f t="shared" si="155"/>
        <v/>
      </c>
      <c r="L1924" s="25" t="str">
        <f t="shared" si="156"/>
        <v/>
      </c>
      <c r="M1924" s="37"/>
      <c r="N1924" s="37"/>
      <c r="O1924" s="33" t="str">
        <f t="shared" si="157"/>
        <v/>
      </c>
      <c r="P1924" s="33" t="str">
        <f t="shared" si="158"/>
        <v/>
      </c>
      <c r="X1924" s="1"/>
    </row>
    <row r="1925" spans="7:24">
      <c r="G1925" s="21"/>
      <c r="H1925" s="23"/>
      <c r="I1925" s="23" t="str">
        <f>_xlfn.IFNA(VLOOKUP(A1925,A1926:$H$3524,8,0),"")</f>
        <v/>
      </c>
      <c r="J1925" s="40" t="str">
        <f t="shared" si="154"/>
        <v/>
      </c>
      <c r="K1925" s="24" t="str">
        <f t="shared" si="155"/>
        <v/>
      </c>
      <c r="L1925" s="25" t="str">
        <f t="shared" si="156"/>
        <v/>
      </c>
      <c r="M1925" s="37"/>
      <c r="N1925" s="37"/>
      <c r="O1925" s="33" t="str">
        <f t="shared" si="157"/>
        <v/>
      </c>
      <c r="P1925" s="33" t="str">
        <f t="shared" si="158"/>
        <v/>
      </c>
      <c r="X1925" s="1"/>
    </row>
    <row r="1926" spans="7:24">
      <c r="G1926" s="21"/>
      <c r="H1926" s="23"/>
      <c r="I1926" s="23" t="str">
        <f>_xlfn.IFNA(VLOOKUP(A1926,A1927:$H$3524,8,0),"")</f>
        <v/>
      </c>
      <c r="J1926" s="40" t="str">
        <f t="shared" ref="J1926:J1989" si="159">IF(B1926="OFF",0,IF(AND(D1926&lt;&gt;"",E1926&lt;&gt;""),E1926-D1926+1,""))</f>
        <v/>
      </c>
      <c r="K1926" s="24" t="str">
        <f t="shared" si="155"/>
        <v/>
      </c>
      <c r="L1926" s="25" t="str">
        <f t="shared" si="156"/>
        <v/>
      </c>
      <c r="M1926" s="37"/>
      <c r="N1926" s="37"/>
      <c r="O1926" s="33" t="str">
        <f t="shared" si="157"/>
        <v/>
      </c>
      <c r="P1926" s="33" t="str">
        <f t="shared" si="158"/>
        <v/>
      </c>
      <c r="X1926" s="1"/>
    </row>
    <row r="1927" spans="7:24">
      <c r="G1927" s="21"/>
      <c r="H1927" s="23"/>
      <c r="I1927" s="23" t="str">
        <f>_xlfn.IFNA(VLOOKUP(A1927,A1928:$H$3524,8,0),"")</f>
        <v/>
      </c>
      <c r="J1927" s="40" t="str">
        <f t="shared" si="159"/>
        <v/>
      </c>
      <c r="K1927" s="24" t="str">
        <f t="shared" si="155"/>
        <v/>
      </c>
      <c r="L1927" s="25" t="str">
        <f t="shared" si="156"/>
        <v/>
      </c>
      <c r="M1927" s="37"/>
      <c r="N1927" s="37"/>
      <c r="O1927" s="33" t="str">
        <f t="shared" si="157"/>
        <v/>
      </c>
      <c r="P1927" s="33" t="str">
        <f t="shared" si="158"/>
        <v/>
      </c>
      <c r="X1927" s="1"/>
    </row>
    <row r="1928" spans="7:24">
      <c r="G1928" s="21"/>
      <c r="H1928" s="23"/>
      <c r="I1928" s="23" t="str">
        <f>_xlfn.IFNA(VLOOKUP(A1928,A1929:$H$3524,8,0),"")</f>
        <v/>
      </c>
      <c r="J1928" s="40" t="str">
        <f t="shared" si="159"/>
        <v/>
      </c>
      <c r="K1928" s="24" t="str">
        <f t="shared" si="155"/>
        <v/>
      </c>
      <c r="L1928" s="25" t="str">
        <f t="shared" si="156"/>
        <v/>
      </c>
      <c r="M1928" s="37"/>
      <c r="N1928" s="37"/>
      <c r="O1928" s="33" t="str">
        <f t="shared" si="157"/>
        <v/>
      </c>
      <c r="P1928" s="33" t="str">
        <f t="shared" si="158"/>
        <v/>
      </c>
      <c r="X1928" s="1"/>
    </row>
    <row r="1929" spans="7:24">
      <c r="G1929" s="21"/>
      <c r="H1929" s="23"/>
      <c r="I1929" s="23" t="str">
        <f>_xlfn.IFNA(VLOOKUP(A1929,A1930:$H$3524,8,0),"")</f>
        <v/>
      </c>
      <c r="J1929" s="40" t="str">
        <f t="shared" si="159"/>
        <v/>
      </c>
      <c r="K1929" s="24" t="str">
        <f t="shared" si="155"/>
        <v/>
      </c>
      <c r="L1929" s="25" t="str">
        <f t="shared" si="156"/>
        <v/>
      </c>
      <c r="M1929" s="37"/>
      <c r="N1929" s="37"/>
      <c r="O1929" s="33" t="str">
        <f t="shared" si="157"/>
        <v/>
      </c>
      <c r="P1929" s="33" t="str">
        <f t="shared" si="158"/>
        <v/>
      </c>
      <c r="X1929" s="1"/>
    </row>
    <row r="1930" spans="7:24">
      <c r="G1930" s="21"/>
      <c r="H1930" s="23"/>
      <c r="I1930" s="23" t="str">
        <f>_xlfn.IFNA(VLOOKUP(A1930,A1931:$H$3524,8,0),"")</f>
        <v/>
      </c>
      <c r="J1930" s="40" t="str">
        <f t="shared" si="159"/>
        <v/>
      </c>
      <c r="K1930" s="24" t="str">
        <f t="shared" si="155"/>
        <v/>
      </c>
      <c r="L1930" s="25" t="str">
        <f t="shared" si="156"/>
        <v/>
      </c>
      <c r="M1930" s="37"/>
      <c r="N1930" s="37"/>
      <c r="O1930" s="33" t="str">
        <f t="shared" si="157"/>
        <v/>
      </c>
      <c r="P1930" s="33" t="str">
        <f t="shared" si="158"/>
        <v/>
      </c>
      <c r="X1930" s="1"/>
    </row>
    <row r="1931" spans="7:24">
      <c r="G1931" s="21"/>
      <c r="H1931" s="23"/>
      <c r="I1931" s="23" t="str">
        <f>_xlfn.IFNA(VLOOKUP(A1931,A1932:$H$3524,8,0),"")</f>
        <v/>
      </c>
      <c r="J1931" s="40" t="str">
        <f t="shared" si="159"/>
        <v/>
      </c>
      <c r="K1931" s="24" t="str">
        <f t="shared" si="155"/>
        <v/>
      </c>
      <c r="L1931" s="25" t="str">
        <f t="shared" si="156"/>
        <v/>
      </c>
      <c r="M1931" s="37"/>
      <c r="N1931" s="37"/>
      <c r="O1931" s="33" t="str">
        <f t="shared" si="157"/>
        <v/>
      </c>
      <c r="P1931" s="33" t="str">
        <f t="shared" si="158"/>
        <v/>
      </c>
      <c r="X1931" s="1"/>
    </row>
    <row r="1932" spans="7:24">
      <c r="G1932" s="21"/>
      <c r="H1932" s="23"/>
      <c r="I1932" s="23" t="str">
        <f>_xlfn.IFNA(VLOOKUP(A1932,A1933:$H$3524,8,0),"")</f>
        <v/>
      </c>
      <c r="J1932" s="40" t="str">
        <f t="shared" si="159"/>
        <v/>
      </c>
      <c r="K1932" s="24" t="str">
        <f t="shared" si="155"/>
        <v/>
      </c>
      <c r="L1932" s="25" t="str">
        <f t="shared" si="156"/>
        <v/>
      </c>
      <c r="M1932" s="37"/>
      <c r="N1932" s="37"/>
      <c r="O1932" s="33" t="str">
        <f t="shared" si="157"/>
        <v/>
      </c>
      <c r="P1932" s="33" t="str">
        <f t="shared" si="158"/>
        <v/>
      </c>
      <c r="X1932" s="1"/>
    </row>
    <row r="1933" spans="7:24">
      <c r="G1933" s="21"/>
      <c r="H1933" s="23"/>
      <c r="I1933" s="23" t="str">
        <f>_xlfn.IFNA(VLOOKUP(A1933,A1934:$H$3524,8,0),"")</f>
        <v/>
      </c>
      <c r="J1933" s="40" t="str">
        <f t="shared" si="159"/>
        <v/>
      </c>
      <c r="K1933" s="24" t="str">
        <f t="shared" si="155"/>
        <v/>
      </c>
      <c r="L1933" s="25" t="str">
        <f t="shared" si="156"/>
        <v/>
      </c>
      <c r="M1933" s="37"/>
      <c r="N1933" s="37"/>
      <c r="O1933" s="33" t="str">
        <f t="shared" si="157"/>
        <v/>
      </c>
      <c r="P1933" s="33" t="str">
        <f t="shared" si="158"/>
        <v/>
      </c>
      <c r="X1933" s="1"/>
    </row>
    <row r="1934" spans="7:24">
      <c r="G1934" s="21"/>
      <c r="H1934" s="23"/>
      <c r="I1934" s="23" t="str">
        <f>_xlfn.IFNA(VLOOKUP(A1934,A1935:$H$3524,8,0),"")</f>
        <v/>
      </c>
      <c r="J1934" s="40" t="str">
        <f t="shared" si="159"/>
        <v/>
      </c>
      <c r="K1934" s="24" t="str">
        <f t="shared" si="155"/>
        <v/>
      </c>
      <c r="L1934" s="25" t="str">
        <f t="shared" si="156"/>
        <v/>
      </c>
      <c r="M1934" s="37"/>
      <c r="N1934" s="37"/>
      <c r="O1934" s="33" t="str">
        <f t="shared" si="157"/>
        <v/>
      </c>
      <c r="P1934" s="33" t="str">
        <f t="shared" si="158"/>
        <v/>
      </c>
      <c r="X1934" s="1"/>
    </row>
    <row r="1935" spans="7:24">
      <c r="G1935" s="21"/>
      <c r="H1935" s="23"/>
      <c r="I1935" s="23" t="str">
        <f>_xlfn.IFNA(VLOOKUP(A1935,A1936:$H$3524,8,0),"")</f>
        <v/>
      </c>
      <c r="J1935" s="40" t="str">
        <f t="shared" si="159"/>
        <v/>
      </c>
      <c r="K1935" s="24" t="str">
        <f t="shared" si="155"/>
        <v/>
      </c>
      <c r="L1935" s="25" t="str">
        <f t="shared" si="156"/>
        <v/>
      </c>
      <c r="M1935" s="37"/>
      <c r="N1935" s="37"/>
      <c r="O1935" s="33" t="str">
        <f t="shared" si="157"/>
        <v/>
      </c>
      <c r="P1935" s="33" t="str">
        <f t="shared" si="158"/>
        <v/>
      </c>
      <c r="X1935" s="1"/>
    </row>
    <row r="1936" spans="7:24">
      <c r="G1936" s="21"/>
      <c r="H1936" s="23"/>
      <c r="I1936" s="23" t="str">
        <f>_xlfn.IFNA(VLOOKUP(A1936,A1937:$H$3524,8,0),"")</f>
        <v/>
      </c>
      <c r="J1936" s="40" t="str">
        <f t="shared" si="159"/>
        <v/>
      </c>
      <c r="K1936" s="24" t="str">
        <f t="shared" si="155"/>
        <v/>
      </c>
      <c r="L1936" s="25" t="str">
        <f t="shared" si="156"/>
        <v/>
      </c>
      <c r="M1936" s="37"/>
      <c r="N1936" s="37"/>
      <c r="O1936" s="33" t="str">
        <f t="shared" si="157"/>
        <v/>
      </c>
      <c r="P1936" s="33" t="str">
        <f t="shared" si="158"/>
        <v/>
      </c>
      <c r="X1936" s="1"/>
    </row>
    <row r="1937" spans="7:24">
      <c r="G1937" s="21"/>
      <c r="H1937" s="23"/>
      <c r="I1937" s="23" t="str">
        <f>_xlfn.IFNA(VLOOKUP(A1937,A1938:$H$3524,8,0),"")</f>
        <v/>
      </c>
      <c r="J1937" s="40" t="str">
        <f t="shared" si="159"/>
        <v/>
      </c>
      <c r="K1937" s="24" t="str">
        <f t="shared" si="155"/>
        <v/>
      </c>
      <c r="L1937" s="25" t="str">
        <f t="shared" si="156"/>
        <v/>
      </c>
      <c r="M1937" s="37"/>
      <c r="N1937" s="37"/>
      <c r="O1937" s="33" t="str">
        <f t="shared" si="157"/>
        <v/>
      </c>
      <c r="P1937" s="33" t="str">
        <f t="shared" si="158"/>
        <v/>
      </c>
      <c r="X1937" s="1"/>
    </row>
    <row r="1938" spans="7:24">
      <c r="G1938" s="21"/>
      <c r="H1938" s="23"/>
      <c r="I1938" s="23" t="str">
        <f>_xlfn.IFNA(VLOOKUP(A1938,A1939:$H$3524,8,0),"")</f>
        <v/>
      </c>
      <c r="J1938" s="40" t="str">
        <f t="shared" si="159"/>
        <v/>
      </c>
      <c r="K1938" s="24" t="str">
        <f t="shared" si="155"/>
        <v/>
      </c>
      <c r="L1938" s="25" t="str">
        <f t="shared" si="156"/>
        <v/>
      </c>
      <c r="M1938" s="37"/>
      <c r="N1938" s="37"/>
      <c r="O1938" s="33" t="str">
        <f t="shared" si="157"/>
        <v/>
      </c>
      <c r="P1938" s="33" t="str">
        <f t="shared" si="158"/>
        <v/>
      </c>
      <c r="X1938" s="1"/>
    </row>
    <row r="1939" spans="7:24">
      <c r="G1939" s="21"/>
      <c r="H1939" s="23"/>
      <c r="I1939" s="23" t="str">
        <f>_xlfn.IFNA(VLOOKUP(A1939,A1940:$H$3524,8,0),"")</f>
        <v/>
      </c>
      <c r="J1939" s="40" t="str">
        <f t="shared" si="159"/>
        <v/>
      </c>
      <c r="K1939" s="24" t="str">
        <f t="shared" si="155"/>
        <v/>
      </c>
      <c r="L1939" s="25" t="str">
        <f t="shared" si="156"/>
        <v/>
      </c>
      <c r="M1939" s="37"/>
      <c r="N1939" s="37"/>
      <c r="O1939" s="33" t="str">
        <f t="shared" si="157"/>
        <v/>
      </c>
      <c r="P1939" s="33" t="str">
        <f t="shared" si="158"/>
        <v/>
      </c>
      <c r="X1939" s="1"/>
    </row>
    <row r="1940" spans="7:24">
      <c r="G1940" s="21"/>
      <c r="H1940" s="23"/>
      <c r="I1940" s="23" t="str">
        <f>_xlfn.IFNA(VLOOKUP(A1940,A1941:$H$3524,8,0),"")</f>
        <v/>
      </c>
      <c r="J1940" s="40" t="str">
        <f t="shared" si="159"/>
        <v/>
      </c>
      <c r="K1940" s="24" t="str">
        <f t="shared" si="155"/>
        <v/>
      </c>
      <c r="L1940" s="25" t="str">
        <f t="shared" si="156"/>
        <v/>
      </c>
      <c r="M1940" s="37"/>
      <c r="N1940" s="37"/>
      <c r="O1940" s="33" t="str">
        <f t="shared" si="157"/>
        <v/>
      </c>
      <c r="P1940" s="33" t="str">
        <f t="shared" si="158"/>
        <v/>
      </c>
      <c r="X1940" s="1"/>
    </row>
    <row r="1941" spans="7:24">
      <c r="G1941" s="21"/>
      <c r="H1941" s="23"/>
      <c r="I1941" s="23" t="str">
        <f>_xlfn.IFNA(VLOOKUP(A1941,A1942:$H$3524,8,0),"")</f>
        <v/>
      </c>
      <c r="J1941" s="40" t="str">
        <f t="shared" si="159"/>
        <v/>
      </c>
      <c r="K1941" s="24" t="str">
        <f t="shared" si="155"/>
        <v/>
      </c>
      <c r="L1941" s="25" t="str">
        <f t="shared" si="156"/>
        <v/>
      </c>
      <c r="M1941" s="37"/>
      <c r="N1941" s="37"/>
      <c r="O1941" s="33" t="str">
        <f t="shared" si="157"/>
        <v/>
      </c>
      <c r="P1941" s="33" t="str">
        <f t="shared" si="158"/>
        <v/>
      </c>
      <c r="X1941" s="1"/>
    </row>
    <row r="1942" spans="7:24">
      <c r="G1942" s="21"/>
      <c r="H1942" s="23"/>
      <c r="I1942" s="23" t="str">
        <f>_xlfn.IFNA(VLOOKUP(A1942,A1943:$H$3524,8,0),"")</f>
        <v/>
      </c>
      <c r="J1942" s="40" t="str">
        <f t="shared" si="159"/>
        <v/>
      </c>
      <c r="K1942" s="24" t="str">
        <f t="shared" ref="K1942:K2005" si="160">IF(H1942="","",IFERROR((I1942-H1942)*24,0))</f>
        <v/>
      </c>
      <c r="L1942" s="25" t="str">
        <f t="shared" si="156"/>
        <v/>
      </c>
      <c r="M1942" s="37"/>
      <c r="N1942" s="37"/>
      <c r="O1942" s="33" t="str">
        <f t="shared" si="157"/>
        <v/>
      </c>
      <c r="P1942" s="33" t="str">
        <f t="shared" si="158"/>
        <v/>
      </c>
      <c r="X1942" s="1"/>
    </row>
    <row r="1943" spans="7:24">
      <c r="G1943" s="21"/>
      <c r="H1943" s="23"/>
      <c r="I1943" s="23" t="str">
        <f>_xlfn.IFNA(VLOOKUP(A1943,A1944:$H$3524,8,0),"")</f>
        <v/>
      </c>
      <c r="J1943" s="40" t="str">
        <f t="shared" si="159"/>
        <v/>
      </c>
      <c r="K1943" s="24" t="str">
        <f t="shared" si="160"/>
        <v/>
      </c>
      <c r="L1943" s="25" t="str">
        <f t="shared" si="156"/>
        <v/>
      </c>
      <c r="M1943" s="37"/>
      <c r="N1943" s="37"/>
      <c r="O1943" s="33" t="str">
        <f t="shared" si="157"/>
        <v/>
      </c>
      <c r="P1943" s="33" t="str">
        <f t="shared" si="158"/>
        <v/>
      </c>
      <c r="X1943" s="1"/>
    </row>
    <row r="1944" spans="7:24">
      <c r="G1944" s="21"/>
      <c r="H1944" s="23"/>
      <c r="I1944" s="23" t="str">
        <f>_xlfn.IFNA(VLOOKUP(A1944,A1945:$H$3524,8,0),"")</f>
        <v/>
      </c>
      <c r="J1944" s="40" t="str">
        <f t="shared" si="159"/>
        <v/>
      </c>
      <c r="K1944" s="24" t="str">
        <f t="shared" si="160"/>
        <v/>
      </c>
      <c r="L1944" s="25" t="str">
        <f t="shared" si="156"/>
        <v/>
      </c>
      <c r="M1944" s="37"/>
      <c r="N1944" s="37"/>
      <c r="O1944" s="33" t="str">
        <f t="shared" si="157"/>
        <v/>
      </c>
      <c r="P1944" s="33" t="str">
        <f t="shared" si="158"/>
        <v/>
      </c>
      <c r="X1944" s="1"/>
    </row>
    <row r="1945" spans="7:24">
      <c r="G1945" s="21"/>
      <c r="H1945" s="23"/>
      <c r="I1945" s="23" t="str">
        <f>_xlfn.IFNA(VLOOKUP(A1945,A1946:$H$3524,8,0),"")</f>
        <v/>
      </c>
      <c r="J1945" s="40" t="str">
        <f t="shared" si="159"/>
        <v/>
      </c>
      <c r="K1945" s="24" t="str">
        <f t="shared" si="160"/>
        <v/>
      </c>
      <c r="L1945" s="25" t="str">
        <f t="shared" si="156"/>
        <v/>
      </c>
      <c r="M1945" s="37"/>
      <c r="N1945" s="37"/>
      <c r="O1945" s="33" t="str">
        <f t="shared" si="157"/>
        <v/>
      </c>
      <c r="P1945" s="33" t="str">
        <f t="shared" si="158"/>
        <v/>
      </c>
      <c r="X1945" s="1"/>
    </row>
    <row r="1946" spans="7:24">
      <c r="G1946" s="21"/>
      <c r="H1946" s="23"/>
      <c r="I1946" s="23" t="str">
        <f>_xlfn.IFNA(VLOOKUP(A1946,A1947:$H$3524,8,0),"")</f>
        <v/>
      </c>
      <c r="J1946" s="40" t="str">
        <f t="shared" si="159"/>
        <v/>
      </c>
      <c r="K1946" s="24" t="str">
        <f t="shared" si="160"/>
        <v/>
      </c>
      <c r="L1946" s="25" t="str">
        <f t="shared" si="156"/>
        <v/>
      </c>
      <c r="M1946" s="37"/>
      <c r="N1946" s="37"/>
      <c r="O1946" s="33" t="str">
        <f t="shared" si="157"/>
        <v/>
      </c>
      <c r="P1946" s="33" t="str">
        <f t="shared" si="158"/>
        <v/>
      </c>
      <c r="X1946" s="1"/>
    </row>
    <row r="1947" spans="7:24">
      <c r="G1947" s="21"/>
      <c r="H1947" s="23"/>
      <c r="I1947" s="23" t="str">
        <f>_xlfn.IFNA(VLOOKUP(A1947,A1948:$H$3524,8,0),"")</f>
        <v/>
      </c>
      <c r="J1947" s="40" t="str">
        <f t="shared" si="159"/>
        <v/>
      </c>
      <c r="K1947" s="24" t="str">
        <f t="shared" si="160"/>
        <v/>
      </c>
      <c r="L1947" s="25" t="str">
        <f t="shared" si="156"/>
        <v/>
      </c>
      <c r="M1947" s="37"/>
      <c r="N1947" s="37"/>
      <c r="O1947" s="33" t="str">
        <f t="shared" si="157"/>
        <v/>
      </c>
      <c r="P1947" s="33" t="str">
        <f t="shared" si="158"/>
        <v/>
      </c>
      <c r="X1947" s="1"/>
    </row>
    <row r="1948" spans="7:24">
      <c r="G1948" s="21"/>
      <c r="H1948" s="23"/>
      <c r="I1948" s="23" t="str">
        <f>_xlfn.IFNA(VLOOKUP(A1948,A1949:$H$3524,8,0),"")</f>
        <v/>
      </c>
      <c r="J1948" s="40" t="str">
        <f t="shared" si="159"/>
        <v/>
      </c>
      <c r="K1948" s="24" t="str">
        <f t="shared" si="160"/>
        <v/>
      </c>
      <c r="L1948" s="25" t="str">
        <f t="shared" si="156"/>
        <v/>
      </c>
      <c r="M1948" s="37"/>
      <c r="N1948" s="37"/>
      <c r="O1948" s="33" t="str">
        <f t="shared" si="157"/>
        <v/>
      </c>
      <c r="P1948" s="33" t="str">
        <f t="shared" si="158"/>
        <v/>
      </c>
      <c r="X1948" s="1"/>
    </row>
    <row r="1949" spans="7:24">
      <c r="G1949" s="21"/>
      <c r="H1949" s="23"/>
      <c r="I1949" s="23" t="str">
        <f>_xlfn.IFNA(VLOOKUP(A1949,A1950:$H$3524,8,0),"")</f>
        <v/>
      </c>
      <c r="J1949" s="40" t="str">
        <f t="shared" si="159"/>
        <v/>
      </c>
      <c r="K1949" s="24" t="str">
        <f t="shared" si="160"/>
        <v/>
      </c>
      <c r="L1949" s="25" t="str">
        <f t="shared" si="156"/>
        <v/>
      </c>
      <c r="M1949" s="37"/>
      <c r="N1949" s="37"/>
      <c r="O1949" s="33" t="str">
        <f t="shared" si="157"/>
        <v/>
      </c>
      <c r="P1949" s="33" t="str">
        <f t="shared" si="158"/>
        <v/>
      </c>
      <c r="X1949" s="1"/>
    </row>
    <row r="1950" spans="7:24">
      <c r="G1950" s="21"/>
      <c r="H1950" s="23"/>
      <c r="I1950" s="23" t="str">
        <f>_xlfn.IFNA(VLOOKUP(A1950,A1951:$H$3524,8,0),"")</f>
        <v/>
      </c>
      <c r="J1950" s="40" t="str">
        <f t="shared" si="159"/>
        <v/>
      </c>
      <c r="K1950" s="24" t="str">
        <f t="shared" si="160"/>
        <v/>
      </c>
      <c r="L1950" s="25" t="str">
        <f t="shared" si="156"/>
        <v/>
      </c>
      <c r="M1950" s="37"/>
      <c r="N1950" s="37"/>
      <c r="O1950" s="33" t="str">
        <f t="shared" si="157"/>
        <v/>
      </c>
      <c r="P1950" s="33" t="str">
        <f t="shared" si="158"/>
        <v/>
      </c>
      <c r="X1950" s="1"/>
    </row>
    <row r="1951" spans="7:24">
      <c r="G1951" s="21"/>
      <c r="H1951" s="23"/>
      <c r="I1951" s="23" t="str">
        <f>_xlfn.IFNA(VLOOKUP(A1951,A1952:$H$3524,8,0),"")</f>
        <v/>
      </c>
      <c r="J1951" s="40" t="str">
        <f t="shared" si="159"/>
        <v/>
      </c>
      <c r="K1951" s="24" t="str">
        <f t="shared" si="160"/>
        <v/>
      </c>
      <c r="L1951" s="25" t="str">
        <f t="shared" si="156"/>
        <v/>
      </c>
      <c r="M1951" s="37"/>
      <c r="N1951" s="37"/>
      <c r="O1951" s="33" t="str">
        <f t="shared" si="157"/>
        <v/>
      </c>
      <c r="P1951" s="33" t="str">
        <f t="shared" si="158"/>
        <v/>
      </c>
      <c r="X1951" s="1"/>
    </row>
    <row r="1952" spans="7:24">
      <c r="G1952" s="21"/>
      <c r="H1952" s="23"/>
      <c r="I1952" s="23" t="str">
        <f>_xlfn.IFNA(VLOOKUP(A1952,A1953:$H$3524,8,0),"")</f>
        <v/>
      </c>
      <c r="J1952" s="40" t="str">
        <f t="shared" si="159"/>
        <v/>
      </c>
      <c r="K1952" s="24" t="str">
        <f t="shared" si="160"/>
        <v/>
      </c>
      <c r="L1952" s="25" t="str">
        <f t="shared" si="156"/>
        <v/>
      </c>
      <c r="M1952" s="37"/>
      <c r="N1952" s="37"/>
      <c r="O1952" s="33" t="str">
        <f t="shared" si="157"/>
        <v/>
      </c>
      <c r="P1952" s="33" t="str">
        <f t="shared" si="158"/>
        <v/>
      </c>
      <c r="X1952" s="1"/>
    </row>
    <row r="1953" spans="7:24">
      <c r="G1953" s="21"/>
      <c r="H1953" s="23"/>
      <c r="I1953" s="23" t="str">
        <f>_xlfn.IFNA(VLOOKUP(A1953,A1954:$H$3524,8,0),"")</f>
        <v/>
      </c>
      <c r="J1953" s="40" t="str">
        <f t="shared" si="159"/>
        <v/>
      </c>
      <c r="K1953" s="24" t="str">
        <f t="shared" si="160"/>
        <v/>
      </c>
      <c r="L1953" s="25" t="str">
        <f t="shared" si="156"/>
        <v/>
      </c>
      <c r="M1953" s="37"/>
      <c r="N1953" s="37"/>
      <c r="O1953" s="33" t="str">
        <f t="shared" si="157"/>
        <v/>
      </c>
      <c r="P1953" s="33" t="str">
        <f t="shared" si="158"/>
        <v/>
      </c>
      <c r="X1953" s="1"/>
    </row>
    <row r="1954" spans="7:24">
      <c r="G1954" s="21"/>
      <c r="H1954" s="23"/>
      <c r="I1954" s="23" t="str">
        <f>_xlfn.IFNA(VLOOKUP(A1954,A1955:$H$3524,8,0),"")</f>
        <v/>
      </c>
      <c r="J1954" s="40" t="str">
        <f t="shared" si="159"/>
        <v/>
      </c>
      <c r="K1954" s="24" t="str">
        <f t="shared" si="160"/>
        <v/>
      </c>
      <c r="L1954" s="25" t="str">
        <f t="shared" si="156"/>
        <v/>
      </c>
      <c r="M1954" s="37"/>
      <c r="N1954" s="37"/>
      <c r="O1954" s="33" t="str">
        <f t="shared" si="157"/>
        <v/>
      </c>
      <c r="P1954" s="33" t="str">
        <f t="shared" si="158"/>
        <v/>
      </c>
      <c r="X1954" s="1"/>
    </row>
    <row r="1955" spans="7:24">
      <c r="G1955" s="21"/>
      <c r="H1955" s="23"/>
      <c r="I1955" s="23" t="str">
        <f>_xlfn.IFNA(VLOOKUP(A1955,A1956:$H$3524,8,0),"")</f>
        <v/>
      </c>
      <c r="J1955" s="40" t="str">
        <f t="shared" si="159"/>
        <v/>
      </c>
      <c r="K1955" s="24" t="str">
        <f t="shared" si="160"/>
        <v/>
      </c>
      <c r="L1955" s="25" t="str">
        <f t="shared" si="156"/>
        <v/>
      </c>
      <c r="M1955" s="37"/>
      <c r="N1955" s="37"/>
      <c r="O1955" s="33" t="str">
        <f t="shared" si="157"/>
        <v/>
      </c>
      <c r="P1955" s="33" t="str">
        <f t="shared" si="158"/>
        <v/>
      </c>
      <c r="X1955" s="1"/>
    </row>
    <row r="1956" spans="7:24">
      <c r="G1956" s="21"/>
      <c r="H1956" s="23"/>
      <c r="I1956" s="23" t="str">
        <f>_xlfn.IFNA(VLOOKUP(A1956,A1957:$H$3524,8,0),"")</f>
        <v/>
      </c>
      <c r="J1956" s="40" t="str">
        <f t="shared" si="159"/>
        <v/>
      </c>
      <c r="K1956" s="24" t="str">
        <f t="shared" si="160"/>
        <v/>
      </c>
      <c r="L1956" s="25" t="str">
        <f t="shared" si="156"/>
        <v/>
      </c>
      <c r="M1956" s="37"/>
      <c r="N1956" s="37"/>
      <c r="O1956" s="33" t="str">
        <f t="shared" si="157"/>
        <v/>
      </c>
      <c r="P1956" s="33" t="str">
        <f t="shared" si="158"/>
        <v/>
      </c>
      <c r="X1956" s="1"/>
    </row>
    <row r="1957" spans="7:24">
      <c r="G1957" s="21"/>
      <c r="H1957" s="23"/>
      <c r="I1957" s="23" t="str">
        <f>_xlfn.IFNA(VLOOKUP(A1957,A1958:$H$3524,8,0),"")</f>
        <v/>
      </c>
      <c r="J1957" s="40" t="str">
        <f t="shared" si="159"/>
        <v/>
      </c>
      <c r="K1957" s="24" t="str">
        <f t="shared" si="160"/>
        <v/>
      </c>
      <c r="L1957" s="25" t="str">
        <f t="shared" si="156"/>
        <v/>
      </c>
      <c r="M1957" s="37"/>
      <c r="N1957" s="37"/>
      <c r="O1957" s="33" t="str">
        <f t="shared" si="157"/>
        <v/>
      </c>
      <c r="P1957" s="33" t="str">
        <f t="shared" si="158"/>
        <v/>
      </c>
      <c r="X1957" s="1"/>
    </row>
    <row r="1958" spans="7:24">
      <c r="G1958" s="21"/>
      <c r="H1958" s="23"/>
      <c r="I1958" s="23" t="str">
        <f>_xlfn.IFNA(VLOOKUP(A1958,A1959:$H$3524,8,0),"")</f>
        <v/>
      </c>
      <c r="J1958" s="40" t="str">
        <f t="shared" si="159"/>
        <v/>
      </c>
      <c r="K1958" s="24" t="str">
        <f t="shared" si="160"/>
        <v/>
      </c>
      <c r="L1958" s="25" t="str">
        <f t="shared" si="156"/>
        <v/>
      </c>
      <c r="M1958" s="37"/>
      <c r="N1958" s="37"/>
      <c r="O1958" s="33" t="str">
        <f t="shared" si="157"/>
        <v/>
      </c>
      <c r="P1958" s="33" t="str">
        <f t="shared" si="158"/>
        <v/>
      </c>
      <c r="X1958" s="1"/>
    </row>
    <row r="1959" spans="7:24">
      <c r="G1959" s="21"/>
      <c r="H1959" s="23"/>
      <c r="I1959" s="23" t="str">
        <f>_xlfn.IFNA(VLOOKUP(A1959,A1960:$H$3524,8,0),"")</f>
        <v/>
      </c>
      <c r="J1959" s="40" t="str">
        <f t="shared" si="159"/>
        <v/>
      </c>
      <c r="K1959" s="24" t="str">
        <f t="shared" si="160"/>
        <v/>
      </c>
      <c r="L1959" s="25" t="str">
        <f t="shared" si="156"/>
        <v/>
      </c>
      <c r="M1959" s="37"/>
      <c r="N1959" s="37"/>
      <c r="O1959" s="33" t="str">
        <f t="shared" si="157"/>
        <v/>
      </c>
      <c r="P1959" s="33" t="str">
        <f t="shared" si="158"/>
        <v/>
      </c>
      <c r="X1959" s="1"/>
    </row>
    <row r="1960" spans="7:24">
      <c r="G1960" s="21"/>
      <c r="H1960" s="23"/>
      <c r="I1960" s="23" t="str">
        <f>_xlfn.IFNA(VLOOKUP(A1960,A1961:$H$3524,8,0),"")</f>
        <v/>
      </c>
      <c r="J1960" s="40" t="str">
        <f t="shared" si="159"/>
        <v/>
      </c>
      <c r="K1960" s="24" t="str">
        <f t="shared" si="160"/>
        <v/>
      </c>
      <c r="L1960" s="25" t="str">
        <f t="shared" si="156"/>
        <v/>
      </c>
      <c r="M1960" s="37"/>
      <c r="N1960" s="37"/>
      <c r="O1960" s="33" t="str">
        <f t="shared" si="157"/>
        <v/>
      </c>
      <c r="P1960" s="33" t="str">
        <f t="shared" si="158"/>
        <v/>
      </c>
      <c r="X1960" s="1"/>
    </row>
    <row r="1961" spans="7:24">
      <c r="G1961" s="21"/>
      <c r="H1961" s="23"/>
      <c r="I1961" s="23" t="str">
        <f>_xlfn.IFNA(VLOOKUP(A1961,A1962:$H$3524,8,0),"")</f>
        <v/>
      </c>
      <c r="J1961" s="40" t="str">
        <f t="shared" si="159"/>
        <v/>
      </c>
      <c r="K1961" s="24" t="str">
        <f t="shared" si="160"/>
        <v/>
      </c>
      <c r="L1961" s="25" t="str">
        <f t="shared" si="156"/>
        <v/>
      </c>
      <c r="M1961" s="37"/>
      <c r="N1961" s="37"/>
      <c r="O1961" s="33" t="str">
        <f t="shared" si="157"/>
        <v/>
      </c>
      <c r="P1961" s="33" t="str">
        <f t="shared" si="158"/>
        <v/>
      </c>
      <c r="X1961" s="1"/>
    </row>
    <row r="1962" spans="7:24">
      <c r="G1962" s="21"/>
      <c r="H1962" s="23"/>
      <c r="I1962" s="23" t="str">
        <f>_xlfn.IFNA(VLOOKUP(A1962,A1963:$H$3524,8,0),"")</f>
        <v/>
      </c>
      <c r="J1962" s="40" t="str">
        <f t="shared" si="159"/>
        <v/>
      </c>
      <c r="K1962" s="24" t="str">
        <f t="shared" si="160"/>
        <v/>
      </c>
      <c r="L1962" s="25" t="str">
        <f t="shared" si="156"/>
        <v/>
      </c>
      <c r="M1962" s="37"/>
      <c r="N1962" s="37"/>
      <c r="O1962" s="33" t="str">
        <f t="shared" si="157"/>
        <v/>
      </c>
      <c r="P1962" s="33" t="str">
        <f t="shared" si="158"/>
        <v/>
      </c>
      <c r="X1962" s="1"/>
    </row>
    <row r="1963" spans="7:24">
      <c r="G1963" s="21"/>
      <c r="H1963" s="23"/>
      <c r="I1963" s="23" t="str">
        <f>_xlfn.IFNA(VLOOKUP(A1963,A1964:$H$3524,8,0),"")</f>
        <v/>
      </c>
      <c r="J1963" s="40" t="str">
        <f t="shared" si="159"/>
        <v/>
      </c>
      <c r="K1963" s="24" t="str">
        <f t="shared" si="160"/>
        <v/>
      </c>
      <c r="L1963" s="25" t="str">
        <f t="shared" si="156"/>
        <v/>
      </c>
      <c r="M1963" s="37"/>
      <c r="N1963" s="37"/>
      <c r="O1963" s="33" t="str">
        <f t="shared" si="157"/>
        <v/>
      </c>
      <c r="P1963" s="33" t="str">
        <f t="shared" si="158"/>
        <v/>
      </c>
      <c r="X1963" s="1"/>
    </row>
    <row r="1964" spans="7:24">
      <c r="G1964" s="21"/>
      <c r="H1964" s="23"/>
      <c r="I1964" s="23" t="str">
        <f>_xlfn.IFNA(VLOOKUP(A1964,A1965:$H$3524,8,0),"")</f>
        <v/>
      </c>
      <c r="J1964" s="40" t="str">
        <f t="shared" si="159"/>
        <v/>
      </c>
      <c r="K1964" s="24" t="str">
        <f t="shared" si="160"/>
        <v/>
      </c>
      <c r="L1964" s="25" t="str">
        <f t="shared" si="156"/>
        <v/>
      </c>
      <c r="M1964" s="37"/>
      <c r="N1964" s="37"/>
      <c r="O1964" s="33" t="str">
        <f t="shared" si="157"/>
        <v/>
      </c>
      <c r="P1964" s="33" t="str">
        <f t="shared" si="158"/>
        <v/>
      </c>
      <c r="X1964" s="1"/>
    </row>
    <row r="1965" spans="7:24">
      <c r="G1965" s="21"/>
      <c r="H1965" s="23"/>
      <c r="I1965" s="23" t="str">
        <f>_xlfn.IFNA(VLOOKUP(A1965,A1966:$H$3524,8,0),"")</f>
        <v/>
      </c>
      <c r="J1965" s="40" t="str">
        <f t="shared" si="159"/>
        <v/>
      </c>
      <c r="K1965" s="24" t="str">
        <f t="shared" si="160"/>
        <v/>
      </c>
      <c r="L1965" s="25" t="str">
        <f t="shared" si="156"/>
        <v/>
      </c>
      <c r="M1965" s="37"/>
      <c r="N1965" s="37"/>
      <c r="O1965" s="33" t="str">
        <f t="shared" si="157"/>
        <v/>
      </c>
      <c r="P1965" s="33" t="str">
        <f t="shared" si="158"/>
        <v/>
      </c>
      <c r="X1965" s="1"/>
    </row>
    <row r="1966" spans="7:24">
      <c r="G1966" s="21"/>
      <c r="H1966" s="23"/>
      <c r="I1966" s="23" t="str">
        <f>_xlfn.IFNA(VLOOKUP(A1966,A1967:$H$3524,8,0),"")</f>
        <v/>
      </c>
      <c r="J1966" s="40" t="str">
        <f t="shared" si="159"/>
        <v/>
      </c>
      <c r="K1966" s="24" t="str">
        <f t="shared" si="160"/>
        <v/>
      </c>
      <c r="L1966" s="25" t="str">
        <f t="shared" si="156"/>
        <v/>
      </c>
      <c r="M1966" s="37"/>
      <c r="N1966" s="37"/>
      <c r="O1966" s="33" t="str">
        <f t="shared" si="157"/>
        <v/>
      </c>
      <c r="P1966" s="33" t="str">
        <f t="shared" si="158"/>
        <v/>
      </c>
      <c r="X1966" s="1"/>
    </row>
    <row r="1967" spans="7:24">
      <c r="G1967" s="21"/>
      <c r="H1967" s="23"/>
      <c r="I1967" s="23" t="str">
        <f>_xlfn.IFNA(VLOOKUP(A1967,A1968:$H$3524,8,0),"")</f>
        <v/>
      </c>
      <c r="J1967" s="40" t="str">
        <f t="shared" si="159"/>
        <v/>
      </c>
      <c r="K1967" s="24" t="str">
        <f t="shared" si="160"/>
        <v/>
      </c>
      <c r="L1967" s="25" t="str">
        <f t="shared" si="156"/>
        <v/>
      </c>
      <c r="M1967" s="37"/>
      <c r="N1967" s="37"/>
      <c r="O1967" s="33" t="str">
        <f t="shared" si="157"/>
        <v/>
      </c>
      <c r="P1967" s="33" t="str">
        <f t="shared" si="158"/>
        <v/>
      </c>
      <c r="X1967" s="1"/>
    </row>
    <row r="1968" spans="7:24">
      <c r="G1968" s="21"/>
      <c r="H1968" s="23"/>
      <c r="I1968" s="23" t="str">
        <f>_xlfn.IFNA(VLOOKUP(A1968,A1969:$H$3524,8,0),"")</f>
        <v/>
      </c>
      <c r="J1968" s="40" t="str">
        <f t="shared" si="159"/>
        <v/>
      </c>
      <c r="K1968" s="24" t="str">
        <f t="shared" si="160"/>
        <v/>
      </c>
      <c r="L1968" s="25" t="str">
        <f t="shared" si="156"/>
        <v/>
      </c>
      <c r="M1968" s="37"/>
      <c r="N1968" s="37"/>
      <c r="O1968" s="33" t="str">
        <f t="shared" si="157"/>
        <v/>
      </c>
      <c r="P1968" s="33" t="str">
        <f t="shared" si="158"/>
        <v/>
      </c>
      <c r="X1968" s="1"/>
    </row>
    <row r="1969" spans="7:24">
      <c r="G1969" s="21"/>
      <c r="H1969" s="23"/>
      <c r="I1969" s="23" t="str">
        <f>_xlfn.IFNA(VLOOKUP(A1969,A1970:$H$3524,8,0),"")</f>
        <v/>
      </c>
      <c r="J1969" s="40" t="str">
        <f t="shared" si="159"/>
        <v/>
      </c>
      <c r="K1969" s="24" t="str">
        <f t="shared" si="160"/>
        <v/>
      </c>
      <c r="L1969" s="25" t="str">
        <f t="shared" si="156"/>
        <v/>
      </c>
      <c r="M1969" s="37"/>
      <c r="N1969" s="37"/>
      <c r="O1969" s="33" t="str">
        <f t="shared" si="157"/>
        <v/>
      </c>
      <c r="P1969" s="33" t="str">
        <f t="shared" si="158"/>
        <v/>
      </c>
      <c r="X1969" s="1"/>
    </row>
    <row r="1970" spans="7:24">
      <c r="G1970" s="21"/>
      <c r="H1970" s="23"/>
      <c r="I1970" s="23" t="str">
        <f>_xlfn.IFNA(VLOOKUP(A1970,A1971:$H$3524,8,0),"")</f>
        <v/>
      </c>
      <c r="J1970" s="40" t="str">
        <f t="shared" si="159"/>
        <v/>
      </c>
      <c r="K1970" s="24" t="str">
        <f t="shared" si="160"/>
        <v/>
      </c>
      <c r="L1970" s="25" t="str">
        <f t="shared" si="156"/>
        <v/>
      </c>
      <c r="M1970" s="37"/>
      <c r="N1970" s="37"/>
      <c r="O1970" s="33" t="str">
        <f t="shared" si="157"/>
        <v/>
      </c>
      <c r="P1970" s="33" t="str">
        <f t="shared" si="158"/>
        <v/>
      </c>
      <c r="X1970" s="1"/>
    </row>
    <row r="1971" spans="7:24">
      <c r="G1971" s="21"/>
      <c r="H1971" s="23"/>
      <c r="I1971" s="23" t="str">
        <f>_xlfn.IFNA(VLOOKUP(A1971,A1972:$H$3524,8,0),"")</f>
        <v/>
      </c>
      <c r="J1971" s="40" t="str">
        <f t="shared" si="159"/>
        <v/>
      </c>
      <c r="K1971" s="24" t="str">
        <f t="shared" si="160"/>
        <v/>
      </c>
      <c r="L1971" s="25" t="str">
        <f t="shared" si="156"/>
        <v/>
      </c>
      <c r="M1971" s="37"/>
      <c r="N1971" s="37"/>
      <c r="O1971" s="33" t="str">
        <f t="shared" si="157"/>
        <v/>
      </c>
      <c r="P1971" s="33" t="str">
        <f t="shared" si="158"/>
        <v/>
      </c>
      <c r="X1971" s="1"/>
    </row>
    <row r="1972" spans="7:24">
      <c r="G1972" s="21"/>
      <c r="H1972" s="23"/>
      <c r="I1972" s="23" t="str">
        <f>_xlfn.IFNA(VLOOKUP(A1972,A1973:$H$3524,8,0),"")</f>
        <v/>
      </c>
      <c r="J1972" s="40" t="str">
        <f t="shared" si="159"/>
        <v/>
      </c>
      <c r="K1972" s="24" t="str">
        <f t="shared" si="160"/>
        <v/>
      </c>
      <c r="L1972" s="25" t="str">
        <f t="shared" si="156"/>
        <v/>
      </c>
      <c r="M1972" s="37"/>
      <c r="N1972" s="37"/>
      <c r="O1972" s="33" t="str">
        <f t="shared" si="157"/>
        <v/>
      </c>
      <c r="P1972" s="33" t="str">
        <f t="shared" si="158"/>
        <v/>
      </c>
      <c r="X1972" s="1"/>
    </row>
    <row r="1973" spans="7:24">
      <c r="G1973" s="21"/>
      <c r="H1973" s="23"/>
      <c r="I1973" s="23" t="str">
        <f>_xlfn.IFNA(VLOOKUP(A1973,A1974:$H$3524,8,0),"")</f>
        <v/>
      </c>
      <c r="J1973" s="40" t="str">
        <f t="shared" si="159"/>
        <v/>
      </c>
      <c r="K1973" s="24" t="str">
        <f t="shared" si="160"/>
        <v/>
      </c>
      <c r="L1973" s="25" t="str">
        <f t="shared" si="156"/>
        <v/>
      </c>
      <c r="M1973" s="37"/>
      <c r="N1973" s="37"/>
      <c r="O1973" s="33" t="str">
        <f t="shared" si="157"/>
        <v/>
      </c>
      <c r="P1973" s="33" t="str">
        <f t="shared" si="158"/>
        <v/>
      </c>
      <c r="X1973" s="1"/>
    </row>
    <row r="1974" spans="7:24">
      <c r="G1974" s="21"/>
      <c r="H1974" s="23"/>
      <c r="I1974" s="23" t="str">
        <f>_xlfn.IFNA(VLOOKUP(A1974,A1975:$H$3524,8,0),"")</f>
        <v/>
      </c>
      <c r="J1974" s="40" t="str">
        <f t="shared" si="159"/>
        <v/>
      </c>
      <c r="K1974" s="24" t="str">
        <f t="shared" si="160"/>
        <v/>
      </c>
      <c r="L1974" s="25" t="str">
        <f t="shared" si="156"/>
        <v/>
      </c>
      <c r="M1974" s="37"/>
      <c r="N1974" s="37"/>
      <c r="O1974" s="33" t="str">
        <f t="shared" si="157"/>
        <v/>
      </c>
      <c r="P1974" s="33" t="str">
        <f t="shared" si="158"/>
        <v/>
      </c>
      <c r="X1974" s="1"/>
    </row>
    <row r="1975" spans="7:24">
      <c r="G1975" s="21"/>
      <c r="H1975" s="23"/>
      <c r="I1975" s="23" t="str">
        <f>_xlfn.IFNA(VLOOKUP(A1975,A1976:$H$3524,8,0),"")</f>
        <v/>
      </c>
      <c r="J1975" s="40" t="str">
        <f t="shared" si="159"/>
        <v/>
      </c>
      <c r="K1975" s="24" t="str">
        <f t="shared" si="160"/>
        <v/>
      </c>
      <c r="L1975" s="25" t="str">
        <f t="shared" ref="L1975:L2038" si="161">IF(K1975="","",IF(B1975="Break","Break",IF(K1975&lt;&gt;0,"Work Finished",IF(B1975="OFF","Work Finished",IF(I1975="","Working","Work Finished")))))</f>
        <v/>
      </c>
      <c r="M1975" s="37"/>
      <c r="N1975" s="37"/>
      <c r="O1975" s="33" t="str">
        <f t="shared" ref="O1975:O2038" si="162">IF(AND(J1975="",M1975="",N1975=""),"",J1975-M1975-N1975)</f>
        <v/>
      </c>
      <c r="P1975" s="33" t="str">
        <f t="shared" ref="P1975:P2038" si="163">IF(HOUR(H1975)=0,"",HOUR(H1975))</f>
        <v/>
      </c>
      <c r="X1975" s="1"/>
    </row>
    <row r="1976" spans="7:24">
      <c r="G1976" s="21"/>
      <c r="H1976" s="23"/>
      <c r="I1976" s="23" t="str">
        <f>_xlfn.IFNA(VLOOKUP(A1976,A1977:$H$3524,8,0),"")</f>
        <v/>
      </c>
      <c r="J1976" s="40" t="str">
        <f t="shared" si="159"/>
        <v/>
      </c>
      <c r="K1976" s="24" t="str">
        <f t="shared" si="160"/>
        <v/>
      </c>
      <c r="L1976" s="25" t="str">
        <f t="shared" si="161"/>
        <v/>
      </c>
      <c r="M1976" s="37"/>
      <c r="N1976" s="37"/>
      <c r="O1976" s="33" t="str">
        <f t="shared" si="162"/>
        <v/>
      </c>
      <c r="P1976" s="33" t="str">
        <f t="shared" si="163"/>
        <v/>
      </c>
      <c r="X1976" s="1"/>
    </row>
    <row r="1977" spans="7:24">
      <c r="G1977" s="21"/>
      <c r="H1977" s="23"/>
      <c r="I1977" s="23" t="str">
        <f>_xlfn.IFNA(VLOOKUP(A1977,A1978:$H$3524,8,0),"")</f>
        <v/>
      </c>
      <c r="J1977" s="40" t="str">
        <f t="shared" si="159"/>
        <v/>
      </c>
      <c r="K1977" s="24" t="str">
        <f t="shared" si="160"/>
        <v/>
      </c>
      <c r="L1977" s="25" t="str">
        <f t="shared" si="161"/>
        <v/>
      </c>
      <c r="M1977" s="37"/>
      <c r="N1977" s="37"/>
      <c r="O1977" s="33" t="str">
        <f t="shared" si="162"/>
        <v/>
      </c>
      <c r="P1977" s="33" t="str">
        <f t="shared" si="163"/>
        <v/>
      </c>
      <c r="X1977" s="1"/>
    </row>
    <row r="1978" spans="7:24">
      <c r="G1978" s="21"/>
      <c r="H1978" s="23"/>
      <c r="I1978" s="23" t="str">
        <f>_xlfn.IFNA(VLOOKUP(A1978,A1979:$H$3524,8,0),"")</f>
        <v/>
      </c>
      <c r="J1978" s="40" t="str">
        <f t="shared" si="159"/>
        <v/>
      </c>
      <c r="K1978" s="24" t="str">
        <f t="shared" si="160"/>
        <v/>
      </c>
      <c r="L1978" s="25" t="str">
        <f t="shared" si="161"/>
        <v/>
      </c>
      <c r="M1978" s="37"/>
      <c r="N1978" s="37"/>
      <c r="O1978" s="33" t="str">
        <f t="shared" si="162"/>
        <v/>
      </c>
      <c r="P1978" s="33" t="str">
        <f t="shared" si="163"/>
        <v/>
      </c>
      <c r="X1978" s="1"/>
    </row>
    <row r="1979" spans="7:24">
      <c r="G1979" s="21"/>
      <c r="H1979" s="23"/>
      <c r="I1979" s="23" t="str">
        <f>_xlfn.IFNA(VLOOKUP(A1979,A1980:$H$3524,8,0),"")</f>
        <v/>
      </c>
      <c r="J1979" s="40" t="str">
        <f t="shared" si="159"/>
        <v/>
      </c>
      <c r="K1979" s="24" t="str">
        <f t="shared" si="160"/>
        <v/>
      </c>
      <c r="L1979" s="25" t="str">
        <f t="shared" si="161"/>
        <v/>
      </c>
      <c r="M1979" s="37"/>
      <c r="N1979" s="37"/>
      <c r="O1979" s="33" t="str">
        <f t="shared" si="162"/>
        <v/>
      </c>
      <c r="P1979" s="33" t="str">
        <f t="shared" si="163"/>
        <v/>
      </c>
      <c r="X1979" s="1"/>
    </row>
    <row r="1980" spans="7:24">
      <c r="G1980" s="21"/>
      <c r="H1980" s="23"/>
      <c r="I1980" s="23" t="str">
        <f>_xlfn.IFNA(VLOOKUP(A1980,A1981:$H$3524,8,0),"")</f>
        <v/>
      </c>
      <c r="J1980" s="40" t="str">
        <f t="shared" si="159"/>
        <v/>
      </c>
      <c r="K1980" s="24" t="str">
        <f t="shared" si="160"/>
        <v/>
      </c>
      <c r="L1980" s="25" t="str">
        <f t="shared" si="161"/>
        <v/>
      </c>
      <c r="M1980" s="37"/>
      <c r="N1980" s="37"/>
      <c r="O1980" s="33" t="str">
        <f t="shared" si="162"/>
        <v/>
      </c>
      <c r="P1980" s="33" t="str">
        <f t="shared" si="163"/>
        <v/>
      </c>
      <c r="X1980" s="1"/>
    </row>
    <row r="1981" spans="7:24">
      <c r="G1981" s="21"/>
      <c r="H1981" s="23"/>
      <c r="I1981" s="23" t="str">
        <f>_xlfn.IFNA(VLOOKUP(A1981,A1982:$H$3524,8,0),"")</f>
        <v/>
      </c>
      <c r="J1981" s="40" t="str">
        <f t="shared" si="159"/>
        <v/>
      </c>
      <c r="K1981" s="24" t="str">
        <f t="shared" si="160"/>
        <v/>
      </c>
      <c r="L1981" s="25" t="str">
        <f t="shared" si="161"/>
        <v/>
      </c>
      <c r="M1981" s="37"/>
      <c r="N1981" s="37"/>
      <c r="O1981" s="33" t="str">
        <f t="shared" si="162"/>
        <v/>
      </c>
      <c r="P1981" s="33" t="str">
        <f t="shared" si="163"/>
        <v/>
      </c>
      <c r="X1981" s="1"/>
    </row>
    <row r="1982" spans="7:24">
      <c r="G1982" s="21"/>
      <c r="H1982" s="23"/>
      <c r="I1982" s="23" t="str">
        <f>_xlfn.IFNA(VLOOKUP(A1982,A1983:$H$3524,8,0),"")</f>
        <v/>
      </c>
      <c r="J1982" s="40" t="str">
        <f t="shared" si="159"/>
        <v/>
      </c>
      <c r="K1982" s="24" t="str">
        <f t="shared" si="160"/>
        <v/>
      </c>
      <c r="L1982" s="25" t="str">
        <f t="shared" si="161"/>
        <v/>
      </c>
      <c r="M1982" s="37"/>
      <c r="N1982" s="37"/>
      <c r="O1982" s="33" t="str">
        <f t="shared" si="162"/>
        <v/>
      </c>
      <c r="P1982" s="33" t="str">
        <f t="shared" si="163"/>
        <v/>
      </c>
      <c r="X1982" s="1"/>
    </row>
    <row r="1983" spans="7:24">
      <c r="G1983" s="21"/>
      <c r="H1983" s="23"/>
      <c r="I1983" s="23" t="str">
        <f>_xlfn.IFNA(VLOOKUP(A1983,A1984:$H$3524,8,0),"")</f>
        <v/>
      </c>
      <c r="J1983" s="40" t="str">
        <f t="shared" si="159"/>
        <v/>
      </c>
      <c r="K1983" s="24" t="str">
        <f t="shared" si="160"/>
        <v/>
      </c>
      <c r="L1983" s="25" t="str">
        <f t="shared" si="161"/>
        <v/>
      </c>
      <c r="M1983" s="37"/>
      <c r="N1983" s="37"/>
      <c r="O1983" s="33" t="str">
        <f t="shared" si="162"/>
        <v/>
      </c>
      <c r="P1983" s="33" t="str">
        <f t="shared" si="163"/>
        <v/>
      </c>
      <c r="X1983" s="1"/>
    </row>
    <row r="1984" spans="7:24">
      <c r="G1984" s="21"/>
      <c r="H1984" s="23"/>
      <c r="I1984" s="23" t="str">
        <f>_xlfn.IFNA(VLOOKUP(A1984,A1985:$H$3524,8,0),"")</f>
        <v/>
      </c>
      <c r="J1984" s="40" t="str">
        <f t="shared" si="159"/>
        <v/>
      </c>
      <c r="K1984" s="24" t="str">
        <f t="shared" si="160"/>
        <v/>
      </c>
      <c r="L1984" s="25" t="str">
        <f t="shared" si="161"/>
        <v/>
      </c>
      <c r="M1984" s="37"/>
      <c r="N1984" s="37"/>
      <c r="O1984" s="33" t="str">
        <f t="shared" si="162"/>
        <v/>
      </c>
      <c r="P1984" s="33" t="str">
        <f t="shared" si="163"/>
        <v/>
      </c>
      <c r="X1984" s="1"/>
    </row>
    <row r="1985" spans="7:24">
      <c r="G1985" s="21"/>
      <c r="H1985" s="23"/>
      <c r="I1985" s="23" t="str">
        <f>_xlfn.IFNA(VLOOKUP(A1985,A1986:$H$3524,8,0),"")</f>
        <v/>
      </c>
      <c r="J1985" s="40" t="str">
        <f t="shared" si="159"/>
        <v/>
      </c>
      <c r="K1985" s="24" t="str">
        <f t="shared" si="160"/>
        <v/>
      </c>
      <c r="L1985" s="25" t="str">
        <f t="shared" si="161"/>
        <v/>
      </c>
      <c r="M1985" s="37"/>
      <c r="N1985" s="37"/>
      <c r="O1985" s="33" t="str">
        <f t="shared" si="162"/>
        <v/>
      </c>
      <c r="P1985" s="33" t="str">
        <f t="shared" si="163"/>
        <v/>
      </c>
      <c r="X1985" s="1"/>
    </row>
    <row r="1986" spans="7:24">
      <c r="G1986" s="21"/>
      <c r="H1986" s="23"/>
      <c r="I1986" s="23" t="str">
        <f>_xlfn.IFNA(VLOOKUP(A1986,A1987:$H$3524,8,0),"")</f>
        <v/>
      </c>
      <c r="J1986" s="40" t="str">
        <f t="shared" si="159"/>
        <v/>
      </c>
      <c r="K1986" s="24" t="str">
        <f t="shared" si="160"/>
        <v/>
      </c>
      <c r="L1986" s="25" t="str">
        <f t="shared" si="161"/>
        <v/>
      </c>
      <c r="M1986" s="37"/>
      <c r="N1986" s="37"/>
      <c r="O1986" s="33" t="str">
        <f t="shared" si="162"/>
        <v/>
      </c>
      <c r="P1986" s="33" t="str">
        <f t="shared" si="163"/>
        <v/>
      </c>
      <c r="X1986" s="1"/>
    </row>
    <row r="1987" spans="7:24">
      <c r="G1987" s="21"/>
      <c r="H1987" s="23"/>
      <c r="I1987" s="23" t="str">
        <f>_xlfn.IFNA(VLOOKUP(A1987,A1988:$H$3524,8,0),"")</f>
        <v/>
      </c>
      <c r="J1987" s="40" t="str">
        <f t="shared" si="159"/>
        <v/>
      </c>
      <c r="K1987" s="24" t="str">
        <f t="shared" si="160"/>
        <v/>
      </c>
      <c r="L1987" s="25" t="str">
        <f t="shared" si="161"/>
        <v/>
      </c>
      <c r="M1987" s="37"/>
      <c r="N1987" s="37"/>
      <c r="O1987" s="33" t="str">
        <f t="shared" si="162"/>
        <v/>
      </c>
      <c r="P1987" s="33" t="str">
        <f t="shared" si="163"/>
        <v/>
      </c>
      <c r="X1987" s="1"/>
    </row>
    <row r="1988" spans="7:24">
      <c r="G1988" s="21"/>
      <c r="H1988" s="23"/>
      <c r="I1988" s="23" t="str">
        <f>_xlfn.IFNA(VLOOKUP(A1988,A1989:$H$3524,8,0),"")</f>
        <v/>
      </c>
      <c r="J1988" s="40" t="str">
        <f t="shared" si="159"/>
        <v/>
      </c>
      <c r="K1988" s="24" t="str">
        <f t="shared" si="160"/>
        <v/>
      </c>
      <c r="L1988" s="25" t="str">
        <f t="shared" si="161"/>
        <v/>
      </c>
      <c r="M1988" s="37"/>
      <c r="N1988" s="37"/>
      <c r="O1988" s="33" t="str">
        <f t="shared" si="162"/>
        <v/>
      </c>
      <c r="P1988" s="33" t="str">
        <f t="shared" si="163"/>
        <v/>
      </c>
      <c r="X1988" s="1"/>
    </row>
    <row r="1989" spans="7:24">
      <c r="G1989" s="21"/>
      <c r="H1989" s="23"/>
      <c r="I1989" s="23" t="str">
        <f>_xlfn.IFNA(VLOOKUP(A1989,A1990:$H$3524,8,0),"")</f>
        <v/>
      </c>
      <c r="J1989" s="40" t="str">
        <f t="shared" si="159"/>
        <v/>
      </c>
      <c r="K1989" s="24" t="str">
        <f t="shared" si="160"/>
        <v/>
      </c>
      <c r="L1989" s="25" t="str">
        <f t="shared" si="161"/>
        <v/>
      </c>
      <c r="M1989" s="37"/>
      <c r="N1989" s="37"/>
      <c r="O1989" s="33" t="str">
        <f t="shared" si="162"/>
        <v/>
      </c>
      <c r="P1989" s="33" t="str">
        <f t="shared" si="163"/>
        <v/>
      </c>
      <c r="X1989" s="1"/>
    </row>
    <row r="1990" spans="7:24">
      <c r="G1990" s="21"/>
      <c r="H1990" s="23"/>
      <c r="I1990" s="23" t="str">
        <f>_xlfn.IFNA(VLOOKUP(A1990,A1991:$H$3524,8,0),"")</f>
        <v/>
      </c>
      <c r="J1990" s="40" t="str">
        <f t="shared" ref="J1990:J2053" si="164">IF(B1990="OFF",0,IF(AND(D1990&lt;&gt;"",E1990&lt;&gt;""),E1990-D1990+1,""))</f>
        <v/>
      </c>
      <c r="K1990" s="24" t="str">
        <f t="shared" si="160"/>
        <v/>
      </c>
      <c r="L1990" s="25" t="str">
        <f t="shared" si="161"/>
        <v/>
      </c>
      <c r="M1990" s="37"/>
      <c r="N1990" s="37"/>
      <c r="O1990" s="33" t="str">
        <f t="shared" si="162"/>
        <v/>
      </c>
      <c r="P1990" s="33" t="str">
        <f t="shared" si="163"/>
        <v/>
      </c>
      <c r="X1990" s="1"/>
    </row>
    <row r="1991" spans="7:24">
      <c r="G1991" s="21"/>
      <c r="H1991" s="23"/>
      <c r="I1991" s="23" t="str">
        <f>_xlfn.IFNA(VLOOKUP(A1991,A1992:$H$3524,8,0),"")</f>
        <v/>
      </c>
      <c r="J1991" s="40" t="str">
        <f t="shared" si="164"/>
        <v/>
      </c>
      <c r="K1991" s="24" t="str">
        <f t="shared" si="160"/>
        <v/>
      </c>
      <c r="L1991" s="25" t="str">
        <f t="shared" si="161"/>
        <v/>
      </c>
      <c r="M1991" s="37"/>
      <c r="N1991" s="37"/>
      <c r="O1991" s="33" t="str">
        <f t="shared" si="162"/>
        <v/>
      </c>
      <c r="P1991" s="33" t="str">
        <f t="shared" si="163"/>
        <v/>
      </c>
      <c r="X1991" s="1"/>
    </row>
    <row r="1992" spans="7:24">
      <c r="G1992" s="21"/>
      <c r="H1992" s="23"/>
      <c r="I1992" s="23" t="str">
        <f>_xlfn.IFNA(VLOOKUP(A1992,A1993:$H$3524,8,0),"")</f>
        <v/>
      </c>
      <c r="J1992" s="40" t="str">
        <f t="shared" si="164"/>
        <v/>
      </c>
      <c r="K1992" s="24" t="str">
        <f t="shared" si="160"/>
        <v/>
      </c>
      <c r="L1992" s="25" t="str">
        <f t="shared" si="161"/>
        <v/>
      </c>
      <c r="M1992" s="37"/>
      <c r="N1992" s="37"/>
      <c r="O1992" s="33" t="str">
        <f t="shared" si="162"/>
        <v/>
      </c>
      <c r="P1992" s="33" t="str">
        <f t="shared" si="163"/>
        <v/>
      </c>
      <c r="X1992" s="1"/>
    </row>
    <row r="1993" spans="7:24">
      <c r="G1993" s="21"/>
      <c r="H1993" s="23"/>
      <c r="I1993" s="23" t="str">
        <f>_xlfn.IFNA(VLOOKUP(A1993,A1994:$H$3524,8,0),"")</f>
        <v/>
      </c>
      <c r="J1993" s="40" t="str">
        <f t="shared" si="164"/>
        <v/>
      </c>
      <c r="K1993" s="24" t="str">
        <f t="shared" si="160"/>
        <v/>
      </c>
      <c r="L1993" s="25" t="str">
        <f t="shared" si="161"/>
        <v/>
      </c>
      <c r="M1993" s="37"/>
      <c r="N1993" s="37"/>
      <c r="O1993" s="33" t="str">
        <f t="shared" si="162"/>
        <v/>
      </c>
      <c r="P1993" s="33" t="str">
        <f t="shared" si="163"/>
        <v/>
      </c>
      <c r="X1993" s="1"/>
    </row>
    <row r="1994" spans="7:24">
      <c r="G1994" s="21"/>
      <c r="H1994" s="23"/>
      <c r="I1994" s="23" t="str">
        <f>_xlfn.IFNA(VLOOKUP(A1994,A1995:$H$3524,8,0),"")</f>
        <v/>
      </c>
      <c r="J1994" s="40" t="str">
        <f t="shared" si="164"/>
        <v/>
      </c>
      <c r="K1994" s="24" t="str">
        <f t="shared" si="160"/>
        <v/>
      </c>
      <c r="L1994" s="25" t="str">
        <f t="shared" si="161"/>
        <v/>
      </c>
      <c r="M1994" s="37"/>
      <c r="N1994" s="37"/>
      <c r="O1994" s="33" t="str">
        <f t="shared" si="162"/>
        <v/>
      </c>
      <c r="P1994" s="33" t="str">
        <f t="shared" si="163"/>
        <v/>
      </c>
      <c r="X1994" s="1"/>
    </row>
    <row r="1995" spans="7:24">
      <c r="G1995" s="21"/>
      <c r="H1995" s="23"/>
      <c r="I1995" s="23" t="str">
        <f>_xlfn.IFNA(VLOOKUP(A1995,A1996:$H$3524,8,0),"")</f>
        <v/>
      </c>
      <c r="J1995" s="40" t="str">
        <f t="shared" si="164"/>
        <v/>
      </c>
      <c r="K1995" s="24" t="str">
        <f t="shared" si="160"/>
        <v/>
      </c>
      <c r="L1995" s="25" t="str">
        <f t="shared" si="161"/>
        <v/>
      </c>
      <c r="M1995" s="37"/>
      <c r="N1995" s="37"/>
      <c r="O1995" s="33" t="str">
        <f t="shared" si="162"/>
        <v/>
      </c>
      <c r="P1995" s="33" t="str">
        <f t="shared" si="163"/>
        <v/>
      </c>
      <c r="X1995" s="1"/>
    </row>
    <row r="1996" spans="7:24">
      <c r="G1996" s="21"/>
      <c r="H1996" s="23"/>
      <c r="I1996" s="23" t="str">
        <f>_xlfn.IFNA(VLOOKUP(A1996,A1997:$H$3524,8,0),"")</f>
        <v/>
      </c>
      <c r="J1996" s="40" t="str">
        <f t="shared" si="164"/>
        <v/>
      </c>
      <c r="K1996" s="24" t="str">
        <f t="shared" si="160"/>
        <v/>
      </c>
      <c r="L1996" s="25" t="str">
        <f t="shared" si="161"/>
        <v/>
      </c>
      <c r="M1996" s="37"/>
      <c r="N1996" s="37"/>
      <c r="O1996" s="33" t="str">
        <f t="shared" si="162"/>
        <v/>
      </c>
      <c r="P1996" s="33" t="str">
        <f t="shared" si="163"/>
        <v/>
      </c>
      <c r="X1996" s="1"/>
    </row>
    <row r="1997" spans="7:24">
      <c r="G1997" s="21"/>
      <c r="H1997" s="23"/>
      <c r="I1997" s="23" t="str">
        <f>_xlfn.IFNA(VLOOKUP(A1997,A1998:$H$3524,8,0),"")</f>
        <v/>
      </c>
      <c r="J1997" s="40" t="str">
        <f t="shared" si="164"/>
        <v/>
      </c>
      <c r="K1997" s="24" t="str">
        <f t="shared" si="160"/>
        <v/>
      </c>
      <c r="L1997" s="25" t="str">
        <f t="shared" si="161"/>
        <v/>
      </c>
      <c r="M1997" s="37"/>
      <c r="N1997" s="37"/>
      <c r="O1997" s="33" t="str">
        <f t="shared" si="162"/>
        <v/>
      </c>
      <c r="P1997" s="33" t="str">
        <f t="shared" si="163"/>
        <v/>
      </c>
      <c r="X1997" s="1"/>
    </row>
    <row r="1998" spans="7:24">
      <c r="G1998" s="21"/>
      <c r="H1998" s="23"/>
      <c r="I1998" s="23" t="str">
        <f>_xlfn.IFNA(VLOOKUP(A1998,A1999:$H$3524,8,0),"")</f>
        <v/>
      </c>
      <c r="J1998" s="40" t="str">
        <f t="shared" si="164"/>
        <v/>
      </c>
      <c r="K1998" s="24" t="str">
        <f t="shared" si="160"/>
        <v/>
      </c>
      <c r="L1998" s="25" t="str">
        <f t="shared" si="161"/>
        <v/>
      </c>
      <c r="M1998" s="37"/>
      <c r="N1998" s="37"/>
      <c r="O1998" s="33" t="str">
        <f t="shared" si="162"/>
        <v/>
      </c>
      <c r="P1998" s="33" t="str">
        <f t="shared" si="163"/>
        <v/>
      </c>
      <c r="X1998" s="1"/>
    </row>
    <row r="1999" spans="7:24">
      <c r="G1999" s="21"/>
      <c r="H1999" s="23"/>
      <c r="I1999" s="23" t="str">
        <f>_xlfn.IFNA(VLOOKUP(A1999,A2000:$H$3524,8,0),"")</f>
        <v/>
      </c>
      <c r="J1999" s="40" t="str">
        <f t="shared" si="164"/>
        <v/>
      </c>
      <c r="K1999" s="24" t="str">
        <f t="shared" si="160"/>
        <v/>
      </c>
      <c r="L1999" s="25" t="str">
        <f t="shared" si="161"/>
        <v/>
      </c>
      <c r="M1999" s="37"/>
      <c r="N1999" s="37"/>
      <c r="O1999" s="33" t="str">
        <f t="shared" si="162"/>
        <v/>
      </c>
      <c r="P1999" s="33" t="str">
        <f t="shared" si="163"/>
        <v/>
      </c>
      <c r="X1999" s="1"/>
    </row>
    <row r="2000" spans="7:24">
      <c r="G2000" s="21"/>
      <c r="H2000" s="23"/>
      <c r="I2000" s="23" t="str">
        <f>_xlfn.IFNA(VLOOKUP(A2000,A2001:$H$3524,8,0),"")</f>
        <v/>
      </c>
      <c r="J2000" s="40" t="str">
        <f t="shared" si="164"/>
        <v/>
      </c>
      <c r="K2000" s="24" t="str">
        <f t="shared" si="160"/>
        <v/>
      </c>
      <c r="L2000" s="25" t="str">
        <f t="shared" si="161"/>
        <v/>
      </c>
      <c r="M2000" s="37"/>
      <c r="N2000" s="37"/>
      <c r="O2000" s="33" t="str">
        <f t="shared" si="162"/>
        <v/>
      </c>
      <c r="P2000" s="33" t="str">
        <f t="shared" si="163"/>
        <v/>
      </c>
      <c r="X2000" s="1"/>
    </row>
    <row r="2001" spans="7:24">
      <c r="G2001" s="21"/>
      <c r="H2001" s="23"/>
      <c r="I2001" s="23" t="str">
        <f>_xlfn.IFNA(VLOOKUP(A2001,A2002:$H$3524,8,0),"")</f>
        <v/>
      </c>
      <c r="J2001" s="40" t="str">
        <f t="shared" si="164"/>
        <v/>
      </c>
      <c r="K2001" s="24" t="str">
        <f t="shared" si="160"/>
        <v/>
      </c>
      <c r="L2001" s="25" t="str">
        <f t="shared" si="161"/>
        <v/>
      </c>
      <c r="M2001" s="37"/>
      <c r="N2001" s="37"/>
      <c r="O2001" s="33" t="str">
        <f t="shared" si="162"/>
        <v/>
      </c>
      <c r="P2001" s="33" t="str">
        <f t="shared" si="163"/>
        <v/>
      </c>
      <c r="X2001" s="1"/>
    </row>
    <row r="2002" spans="7:24">
      <c r="G2002" s="21"/>
      <c r="H2002" s="23"/>
      <c r="I2002" s="23" t="str">
        <f>_xlfn.IFNA(VLOOKUP(A2002,A2003:$H$3524,8,0),"")</f>
        <v/>
      </c>
      <c r="J2002" s="40" t="str">
        <f t="shared" si="164"/>
        <v/>
      </c>
      <c r="K2002" s="24" t="str">
        <f t="shared" si="160"/>
        <v/>
      </c>
      <c r="L2002" s="25" t="str">
        <f t="shared" si="161"/>
        <v/>
      </c>
      <c r="M2002" s="37"/>
      <c r="N2002" s="37"/>
      <c r="O2002" s="33" t="str">
        <f t="shared" si="162"/>
        <v/>
      </c>
      <c r="P2002" s="33" t="str">
        <f t="shared" si="163"/>
        <v/>
      </c>
      <c r="X2002" s="1"/>
    </row>
    <row r="2003" spans="7:24">
      <c r="G2003" s="21"/>
      <c r="H2003" s="23"/>
      <c r="I2003" s="23" t="str">
        <f>_xlfn.IFNA(VLOOKUP(A2003,A2004:$H$3524,8,0),"")</f>
        <v/>
      </c>
      <c r="J2003" s="40" t="str">
        <f t="shared" si="164"/>
        <v/>
      </c>
      <c r="K2003" s="24" t="str">
        <f t="shared" si="160"/>
        <v/>
      </c>
      <c r="L2003" s="25" t="str">
        <f t="shared" si="161"/>
        <v/>
      </c>
      <c r="M2003" s="37"/>
      <c r="N2003" s="37"/>
      <c r="O2003" s="33" t="str">
        <f t="shared" si="162"/>
        <v/>
      </c>
      <c r="P2003" s="33" t="str">
        <f t="shared" si="163"/>
        <v/>
      </c>
      <c r="X2003" s="1"/>
    </row>
    <row r="2004" spans="7:24">
      <c r="G2004" s="21"/>
      <c r="H2004" s="23"/>
      <c r="I2004" s="23" t="str">
        <f>_xlfn.IFNA(VLOOKUP(A2004,A2005:$H$3524,8,0),"")</f>
        <v/>
      </c>
      <c r="J2004" s="40" t="str">
        <f t="shared" si="164"/>
        <v/>
      </c>
      <c r="K2004" s="24" t="str">
        <f t="shared" si="160"/>
        <v/>
      </c>
      <c r="L2004" s="25" t="str">
        <f t="shared" si="161"/>
        <v/>
      </c>
      <c r="M2004" s="37"/>
      <c r="N2004" s="37"/>
      <c r="O2004" s="33" t="str">
        <f t="shared" si="162"/>
        <v/>
      </c>
      <c r="P2004" s="33" t="str">
        <f t="shared" si="163"/>
        <v/>
      </c>
      <c r="X2004" s="1"/>
    </row>
    <row r="2005" spans="7:24">
      <c r="G2005" s="21"/>
      <c r="H2005" s="23"/>
      <c r="I2005" s="23" t="str">
        <f>_xlfn.IFNA(VLOOKUP(A2005,A2006:$H$3524,8,0),"")</f>
        <v/>
      </c>
      <c r="J2005" s="40" t="str">
        <f t="shared" si="164"/>
        <v/>
      </c>
      <c r="K2005" s="24" t="str">
        <f t="shared" si="160"/>
        <v/>
      </c>
      <c r="L2005" s="25" t="str">
        <f t="shared" si="161"/>
        <v/>
      </c>
      <c r="M2005" s="37"/>
      <c r="N2005" s="37"/>
      <c r="O2005" s="33" t="str">
        <f t="shared" si="162"/>
        <v/>
      </c>
      <c r="P2005" s="33" t="str">
        <f t="shared" si="163"/>
        <v/>
      </c>
      <c r="X2005" s="1"/>
    </row>
    <row r="2006" spans="7:24">
      <c r="G2006" s="21"/>
      <c r="H2006" s="23"/>
      <c r="I2006" s="23" t="str">
        <f>_xlfn.IFNA(VLOOKUP(A2006,A2007:$H$3524,8,0),"")</f>
        <v/>
      </c>
      <c r="J2006" s="40" t="str">
        <f t="shared" si="164"/>
        <v/>
      </c>
      <c r="K2006" s="24" t="str">
        <f t="shared" ref="K2006:K2069" si="165">IF(H2006="","",IFERROR((I2006-H2006)*24,0))</f>
        <v/>
      </c>
      <c r="L2006" s="25" t="str">
        <f t="shared" si="161"/>
        <v/>
      </c>
      <c r="M2006" s="37"/>
      <c r="N2006" s="37"/>
      <c r="O2006" s="33" t="str">
        <f t="shared" si="162"/>
        <v/>
      </c>
      <c r="P2006" s="33" t="str">
        <f t="shared" si="163"/>
        <v/>
      </c>
      <c r="X2006" s="1"/>
    </row>
    <row r="2007" spans="7:24">
      <c r="G2007" s="21"/>
      <c r="H2007" s="23"/>
      <c r="I2007" s="23" t="str">
        <f>_xlfn.IFNA(VLOOKUP(A2007,A2008:$H$3524,8,0),"")</f>
        <v/>
      </c>
      <c r="J2007" s="40" t="str">
        <f t="shared" si="164"/>
        <v/>
      </c>
      <c r="K2007" s="24" t="str">
        <f t="shared" si="165"/>
        <v/>
      </c>
      <c r="L2007" s="25" t="str">
        <f t="shared" si="161"/>
        <v/>
      </c>
      <c r="M2007" s="37"/>
      <c r="N2007" s="37"/>
      <c r="O2007" s="33" t="str">
        <f t="shared" si="162"/>
        <v/>
      </c>
      <c r="P2007" s="33" t="str">
        <f t="shared" si="163"/>
        <v/>
      </c>
      <c r="X2007" s="1"/>
    </row>
    <row r="2008" spans="7:24">
      <c r="G2008" s="21"/>
      <c r="H2008" s="23"/>
      <c r="I2008" s="23" t="str">
        <f>_xlfn.IFNA(VLOOKUP(A2008,A2009:$H$3524,8,0),"")</f>
        <v/>
      </c>
      <c r="J2008" s="40" t="str">
        <f t="shared" si="164"/>
        <v/>
      </c>
      <c r="K2008" s="24" t="str">
        <f t="shared" si="165"/>
        <v/>
      </c>
      <c r="L2008" s="25" t="str">
        <f t="shared" si="161"/>
        <v/>
      </c>
      <c r="M2008" s="37"/>
      <c r="N2008" s="37"/>
      <c r="O2008" s="33" t="str">
        <f t="shared" si="162"/>
        <v/>
      </c>
      <c r="P2008" s="33" t="str">
        <f t="shared" si="163"/>
        <v/>
      </c>
      <c r="X2008" s="1"/>
    </row>
    <row r="2009" spans="7:24">
      <c r="G2009" s="21"/>
      <c r="H2009" s="23"/>
      <c r="I2009" s="23" t="str">
        <f>_xlfn.IFNA(VLOOKUP(A2009,A2010:$H$3524,8,0),"")</f>
        <v/>
      </c>
      <c r="J2009" s="40" t="str">
        <f t="shared" si="164"/>
        <v/>
      </c>
      <c r="K2009" s="24" t="str">
        <f t="shared" si="165"/>
        <v/>
      </c>
      <c r="L2009" s="25" t="str">
        <f t="shared" si="161"/>
        <v/>
      </c>
      <c r="M2009" s="37"/>
      <c r="N2009" s="37"/>
      <c r="O2009" s="33" t="str">
        <f t="shared" si="162"/>
        <v/>
      </c>
      <c r="P2009" s="33" t="str">
        <f t="shared" si="163"/>
        <v/>
      </c>
      <c r="X2009" s="1"/>
    </row>
    <row r="2010" spans="7:24">
      <c r="G2010" s="21"/>
      <c r="H2010" s="23"/>
      <c r="I2010" s="23" t="str">
        <f>_xlfn.IFNA(VLOOKUP(A2010,A2011:$H$3524,8,0),"")</f>
        <v/>
      </c>
      <c r="J2010" s="40" t="str">
        <f t="shared" si="164"/>
        <v/>
      </c>
      <c r="K2010" s="24" t="str">
        <f t="shared" si="165"/>
        <v/>
      </c>
      <c r="L2010" s="25" t="str">
        <f t="shared" si="161"/>
        <v/>
      </c>
      <c r="M2010" s="37"/>
      <c r="N2010" s="37"/>
      <c r="O2010" s="33" t="str">
        <f t="shared" si="162"/>
        <v/>
      </c>
      <c r="P2010" s="33" t="str">
        <f t="shared" si="163"/>
        <v/>
      </c>
      <c r="X2010" s="1"/>
    </row>
    <row r="2011" spans="7:24">
      <c r="G2011" s="21"/>
      <c r="H2011" s="23"/>
      <c r="I2011" s="23" t="str">
        <f>_xlfn.IFNA(VLOOKUP(A2011,A2012:$H$3524,8,0),"")</f>
        <v/>
      </c>
      <c r="J2011" s="40" t="str">
        <f t="shared" si="164"/>
        <v/>
      </c>
      <c r="K2011" s="24" t="str">
        <f t="shared" si="165"/>
        <v/>
      </c>
      <c r="L2011" s="25" t="str">
        <f t="shared" si="161"/>
        <v/>
      </c>
      <c r="M2011" s="37"/>
      <c r="N2011" s="37"/>
      <c r="O2011" s="33" t="str">
        <f t="shared" si="162"/>
        <v/>
      </c>
      <c r="P2011" s="33" t="str">
        <f t="shared" si="163"/>
        <v/>
      </c>
      <c r="X2011" s="1"/>
    </row>
    <row r="2012" spans="7:24">
      <c r="G2012" s="21"/>
      <c r="H2012" s="23"/>
      <c r="I2012" s="23" t="str">
        <f>_xlfn.IFNA(VLOOKUP(A2012,A2013:$H$3524,8,0),"")</f>
        <v/>
      </c>
      <c r="J2012" s="40" t="str">
        <f t="shared" si="164"/>
        <v/>
      </c>
      <c r="K2012" s="24" t="str">
        <f t="shared" si="165"/>
        <v/>
      </c>
      <c r="L2012" s="25" t="str">
        <f t="shared" si="161"/>
        <v/>
      </c>
      <c r="M2012" s="37"/>
      <c r="N2012" s="37"/>
      <c r="O2012" s="33" t="str">
        <f t="shared" si="162"/>
        <v/>
      </c>
      <c r="P2012" s="33" t="str">
        <f t="shared" si="163"/>
        <v/>
      </c>
      <c r="X2012" s="1"/>
    </row>
    <row r="2013" spans="7:24">
      <c r="G2013" s="21"/>
      <c r="H2013" s="23"/>
      <c r="I2013" s="23" t="str">
        <f>_xlfn.IFNA(VLOOKUP(A2013,A2014:$H$3524,8,0),"")</f>
        <v/>
      </c>
      <c r="J2013" s="40" t="str">
        <f t="shared" si="164"/>
        <v/>
      </c>
      <c r="K2013" s="24" t="str">
        <f t="shared" si="165"/>
        <v/>
      </c>
      <c r="L2013" s="25" t="str">
        <f t="shared" si="161"/>
        <v/>
      </c>
      <c r="M2013" s="37"/>
      <c r="N2013" s="37"/>
      <c r="O2013" s="33" t="str">
        <f t="shared" si="162"/>
        <v/>
      </c>
      <c r="P2013" s="33" t="str">
        <f t="shared" si="163"/>
        <v/>
      </c>
      <c r="X2013" s="1"/>
    </row>
    <row r="2014" spans="7:24">
      <c r="G2014" s="21"/>
      <c r="H2014" s="23"/>
      <c r="I2014" s="23" t="str">
        <f>_xlfn.IFNA(VLOOKUP(A2014,A2015:$H$3524,8,0),"")</f>
        <v/>
      </c>
      <c r="J2014" s="40" t="str">
        <f t="shared" si="164"/>
        <v/>
      </c>
      <c r="K2014" s="24" t="str">
        <f t="shared" si="165"/>
        <v/>
      </c>
      <c r="L2014" s="25" t="str">
        <f t="shared" si="161"/>
        <v/>
      </c>
      <c r="M2014" s="37"/>
      <c r="N2014" s="37"/>
      <c r="O2014" s="33" t="str">
        <f t="shared" si="162"/>
        <v/>
      </c>
      <c r="P2014" s="33" t="str">
        <f t="shared" si="163"/>
        <v/>
      </c>
      <c r="X2014" s="1"/>
    </row>
    <row r="2015" spans="7:24">
      <c r="G2015" s="21"/>
      <c r="H2015" s="23"/>
      <c r="I2015" s="23" t="str">
        <f>_xlfn.IFNA(VLOOKUP(A2015,A2016:$H$3524,8,0),"")</f>
        <v/>
      </c>
      <c r="J2015" s="40" t="str">
        <f t="shared" si="164"/>
        <v/>
      </c>
      <c r="K2015" s="24" t="str">
        <f t="shared" si="165"/>
        <v/>
      </c>
      <c r="L2015" s="25" t="str">
        <f t="shared" si="161"/>
        <v/>
      </c>
      <c r="M2015" s="37"/>
      <c r="N2015" s="37"/>
      <c r="O2015" s="33" t="str">
        <f t="shared" si="162"/>
        <v/>
      </c>
      <c r="P2015" s="33" t="str">
        <f t="shared" si="163"/>
        <v/>
      </c>
      <c r="X2015" s="1"/>
    </row>
    <row r="2016" spans="7:24">
      <c r="G2016" s="21"/>
      <c r="H2016" s="23"/>
      <c r="I2016" s="23" t="str">
        <f>_xlfn.IFNA(VLOOKUP(A2016,A2017:$H$3524,8,0),"")</f>
        <v/>
      </c>
      <c r="J2016" s="40" t="str">
        <f t="shared" si="164"/>
        <v/>
      </c>
      <c r="K2016" s="24" t="str">
        <f t="shared" si="165"/>
        <v/>
      </c>
      <c r="L2016" s="25" t="str">
        <f t="shared" si="161"/>
        <v/>
      </c>
      <c r="M2016" s="37"/>
      <c r="N2016" s="37"/>
      <c r="O2016" s="33" t="str">
        <f t="shared" si="162"/>
        <v/>
      </c>
      <c r="P2016" s="33" t="str">
        <f t="shared" si="163"/>
        <v/>
      </c>
      <c r="X2016" s="1"/>
    </row>
    <row r="2017" spans="7:24">
      <c r="G2017" s="21"/>
      <c r="H2017" s="23"/>
      <c r="I2017" s="23" t="str">
        <f>_xlfn.IFNA(VLOOKUP(A2017,A2018:$H$3524,8,0),"")</f>
        <v/>
      </c>
      <c r="J2017" s="40" t="str">
        <f t="shared" si="164"/>
        <v/>
      </c>
      <c r="K2017" s="24" t="str">
        <f t="shared" si="165"/>
        <v/>
      </c>
      <c r="L2017" s="25" t="str">
        <f t="shared" si="161"/>
        <v/>
      </c>
      <c r="M2017" s="37"/>
      <c r="N2017" s="37"/>
      <c r="O2017" s="33" t="str">
        <f t="shared" si="162"/>
        <v/>
      </c>
      <c r="P2017" s="33" t="str">
        <f t="shared" si="163"/>
        <v/>
      </c>
      <c r="X2017" s="1"/>
    </row>
    <row r="2018" spans="7:24">
      <c r="G2018" s="21"/>
      <c r="H2018" s="23"/>
      <c r="I2018" s="23" t="str">
        <f>_xlfn.IFNA(VLOOKUP(A2018,A2019:$H$3524,8,0),"")</f>
        <v/>
      </c>
      <c r="J2018" s="40" t="str">
        <f t="shared" si="164"/>
        <v/>
      </c>
      <c r="K2018" s="24" t="str">
        <f t="shared" si="165"/>
        <v/>
      </c>
      <c r="L2018" s="25" t="str">
        <f t="shared" si="161"/>
        <v/>
      </c>
      <c r="M2018" s="37"/>
      <c r="N2018" s="37"/>
      <c r="O2018" s="33" t="str">
        <f t="shared" si="162"/>
        <v/>
      </c>
      <c r="P2018" s="33" t="str">
        <f t="shared" si="163"/>
        <v/>
      </c>
      <c r="X2018" s="1"/>
    </row>
    <row r="2019" spans="7:24">
      <c r="G2019" s="21"/>
      <c r="H2019" s="23"/>
      <c r="I2019" s="23" t="str">
        <f>_xlfn.IFNA(VLOOKUP(A2019,A2020:$H$3524,8,0),"")</f>
        <v/>
      </c>
      <c r="J2019" s="40" t="str">
        <f t="shared" si="164"/>
        <v/>
      </c>
      <c r="K2019" s="24" t="str">
        <f t="shared" si="165"/>
        <v/>
      </c>
      <c r="L2019" s="25" t="str">
        <f t="shared" si="161"/>
        <v/>
      </c>
      <c r="M2019" s="37"/>
      <c r="N2019" s="37"/>
      <c r="O2019" s="33" t="str">
        <f t="shared" si="162"/>
        <v/>
      </c>
      <c r="P2019" s="33" t="str">
        <f t="shared" si="163"/>
        <v/>
      </c>
      <c r="X2019" s="1"/>
    </row>
    <row r="2020" spans="7:24">
      <c r="G2020" s="21"/>
      <c r="H2020" s="23"/>
      <c r="I2020" s="23" t="str">
        <f>_xlfn.IFNA(VLOOKUP(A2020,A2021:$H$3524,8,0),"")</f>
        <v/>
      </c>
      <c r="J2020" s="40" t="str">
        <f t="shared" si="164"/>
        <v/>
      </c>
      <c r="K2020" s="24" t="str">
        <f t="shared" si="165"/>
        <v/>
      </c>
      <c r="L2020" s="25" t="str">
        <f t="shared" si="161"/>
        <v/>
      </c>
      <c r="M2020" s="37"/>
      <c r="N2020" s="37"/>
      <c r="O2020" s="33" t="str">
        <f t="shared" si="162"/>
        <v/>
      </c>
      <c r="P2020" s="33" t="str">
        <f t="shared" si="163"/>
        <v/>
      </c>
      <c r="X2020" s="1"/>
    </row>
    <row r="2021" spans="7:24">
      <c r="G2021" s="21"/>
      <c r="H2021" s="23"/>
      <c r="I2021" s="23" t="str">
        <f>_xlfn.IFNA(VLOOKUP(A2021,A2022:$H$3524,8,0),"")</f>
        <v/>
      </c>
      <c r="J2021" s="40" t="str">
        <f t="shared" si="164"/>
        <v/>
      </c>
      <c r="K2021" s="24" t="str">
        <f t="shared" si="165"/>
        <v/>
      </c>
      <c r="L2021" s="25" t="str">
        <f t="shared" si="161"/>
        <v/>
      </c>
      <c r="M2021" s="37"/>
      <c r="N2021" s="37"/>
      <c r="O2021" s="33" t="str">
        <f t="shared" si="162"/>
        <v/>
      </c>
      <c r="P2021" s="33" t="str">
        <f t="shared" si="163"/>
        <v/>
      </c>
      <c r="X2021" s="1"/>
    </row>
    <row r="2022" spans="7:24">
      <c r="G2022" s="21"/>
      <c r="H2022" s="23"/>
      <c r="I2022" s="23" t="str">
        <f>_xlfn.IFNA(VLOOKUP(A2022,A2023:$H$3524,8,0),"")</f>
        <v/>
      </c>
      <c r="J2022" s="40" t="str">
        <f t="shared" si="164"/>
        <v/>
      </c>
      <c r="K2022" s="24" t="str">
        <f t="shared" si="165"/>
        <v/>
      </c>
      <c r="L2022" s="25" t="str">
        <f t="shared" si="161"/>
        <v/>
      </c>
      <c r="M2022" s="37"/>
      <c r="N2022" s="37"/>
      <c r="O2022" s="33" t="str">
        <f t="shared" si="162"/>
        <v/>
      </c>
      <c r="P2022" s="33" t="str">
        <f t="shared" si="163"/>
        <v/>
      </c>
      <c r="X2022" s="1"/>
    </row>
    <row r="2023" spans="7:24">
      <c r="G2023" s="21"/>
      <c r="H2023" s="23"/>
      <c r="I2023" s="23" t="str">
        <f>_xlfn.IFNA(VLOOKUP(A2023,A2024:$H$3524,8,0),"")</f>
        <v/>
      </c>
      <c r="J2023" s="40" t="str">
        <f t="shared" si="164"/>
        <v/>
      </c>
      <c r="K2023" s="24" t="str">
        <f t="shared" si="165"/>
        <v/>
      </c>
      <c r="L2023" s="25" t="str">
        <f t="shared" si="161"/>
        <v/>
      </c>
      <c r="M2023" s="37"/>
      <c r="N2023" s="37"/>
      <c r="O2023" s="33" t="str">
        <f t="shared" si="162"/>
        <v/>
      </c>
      <c r="P2023" s="33" t="str">
        <f t="shared" si="163"/>
        <v/>
      </c>
      <c r="X2023" s="1"/>
    </row>
    <row r="2024" spans="7:24">
      <c r="G2024" s="21"/>
      <c r="H2024" s="23"/>
      <c r="I2024" s="23" t="str">
        <f>_xlfn.IFNA(VLOOKUP(A2024,A2025:$H$3524,8,0),"")</f>
        <v/>
      </c>
      <c r="J2024" s="40" t="str">
        <f t="shared" si="164"/>
        <v/>
      </c>
      <c r="K2024" s="24" t="str">
        <f t="shared" si="165"/>
        <v/>
      </c>
      <c r="L2024" s="25" t="str">
        <f t="shared" si="161"/>
        <v/>
      </c>
      <c r="M2024" s="37"/>
      <c r="N2024" s="37"/>
      <c r="O2024" s="33" t="str">
        <f t="shared" si="162"/>
        <v/>
      </c>
      <c r="P2024" s="33" t="str">
        <f t="shared" si="163"/>
        <v/>
      </c>
      <c r="X2024" s="1"/>
    </row>
    <row r="2025" spans="7:24">
      <c r="G2025" s="21"/>
      <c r="H2025" s="23"/>
      <c r="I2025" s="23" t="str">
        <f>_xlfn.IFNA(VLOOKUP(A2025,A2026:$H$3524,8,0),"")</f>
        <v/>
      </c>
      <c r="J2025" s="40" t="str">
        <f t="shared" si="164"/>
        <v/>
      </c>
      <c r="K2025" s="24" t="str">
        <f t="shared" si="165"/>
        <v/>
      </c>
      <c r="L2025" s="25" t="str">
        <f t="shared" si="161"/>
        <v/>
      </c>
      <c r="M2025" s="37"/>
      <c r="N2025" s="37"/>
      <c r="O2025" s="33" t="str">
        <f t="shared" si="162"/>
        <v/>
      </c>
      <c r="P2025" s="33" t="str">
        <f t="shared" si="163"/>
        <v/>
      </c>
      <c r="X2025" s="1"/>
    </row>
    <row r="2026" spans="7:24">
      <c r="G2026" s="21"/>
      <c r="H2026" s="23"/>
      <c r="I2026" s="23" t="str">
        <f>_xlfn.IFNA(VLOOKUP(A2026,A2027:$H$3524,8,0),"")</f>
        <v/>
      </c>
      <c r="J2026" s="40" t="str">
        <f t="shared" si="164"/>
        <v/>
      </c>
      <c r="K2026" s="24" t="str">
        <f t="shared" si="165"/>
        <v/>
      </c>
      <c r="L2026" s="25" t="str">
        <f t="shared" si="161"/>
        <v/>
      </c>
      <c r="M2026" s="37"/>
      <c r="N2026" s="37"/>
      <c r="O2026" s="33" t="str">
        <f t="shared" si="162"/>
        <v/>
      </c>
      <c r="P2026" s="33" t="str">
        <f t="shared" si="163"/>
        <v/>
      </c>
      <c r="X2026" s="1"/>
    </row>
    <row r="2027" spans="7:24">
      <c r="G2027" s="21"/>
      <c r="H2027" s="23"/>
      <c r="I2027" s="23" t="str">
        <f>_xlfn.IFNA(VLOOKUP(A2027,A2028:$H$3524,8,0),"")</f>
        <v/>
      </c>
      <c r="J2027" s="40" t="str">
        <f t="shared" si="164"/>
        <v/>
      </c>
      <c r="K2027" s="24" t="str">
        <f t="shared" si="165"/>
        <v/>
      </c>
      <c r="L2027" s="25" t="str">
        <f t="shared" si="161"/>
        <v/>
      </c>
      <c r="M2027" s="37"/>
      <c r="N2027" s="37"/>
      <c r="O2027" s="33" t="str">
        <f t="shared" si="162"/>
        <v/>
      </c>
      <c r="P2027" s="33" t="str">
        <f t="shared" si="163"/>
        <v/>
      </c>
      <c r="X2027" s="1"/>
    </row>
    <row r="2028" spans="7:24">
      <c r="G2028" s="21"/>
      <c r="H2028" s="23"/>
      <c r="I2028" s="23" t="str">
        <f>_xlfn.IFNA(VLOOKUP(A2028,A2029:$H$3524,8,0),"")</f>
        <v/>
      </c>
      <c r="J2028" s="40" t="str">
        <f t="shared" si="164"/>
        <v/>
      </c>
      <c r="K2028" s="24" t="str">
        <f t="shared" si="165"/>
        <v/>
      </c>
      <c r="L2028" s="25" t="str">
        <f t="shared" si="161"/>
        <v/>
      </c>
      <c r="M2028" s="37"/>
      <c r="N2028" s="37"/>
      <c r="O2028" s="33" t="str">
        <f t="shared" si="162"/>
        <v/>
      </c>
      <c r="P2028" s="33" t="str">
        <f t="shared" si="163"/>
        <v/>
      </c>
      <c r="X2028" s="1"/>
    </row>
    <row r="2029" spans="7:24">
      <c r="G2029" s="21"/>
      <c r="H2029" s="23"/>
      <c r="I2029" s="23" t="str">
        <f>_xlfn.IFNA(VLOOKUP(A2029,A2030:$H$3524,8,0),"")</f>
        <v/>
      </c>
      <c r="J2029" s="40" t="str">
        <f t="shared" si="164"/>
        <v/>
      </c>
      <c r="K2029" s="24" t="str">
        <f t="shared" si="165"/>
        <v/>
      </c>
      <c r="L2029" s="25" t="str">
        <f t="shared" si="161"/>
        <v/>
      </c>
      <c r="M2029" s="37"/>
      <c r="N2029" s="37"/>
      <c r="O2029" s="33" t="str">
        <f t="shared" si="162"/>
        <v/>
      </c>
      <c r="P2029" s="33" t="str">
        <f t="shared" si="163"/>
        <v/>
      </c>
      <c r="X2029" s="1"/>
    </row>
    <row r="2030" spans="7:24">
      <c r="G2030" s="21"/>
      <c r="H2030" s="23"/>
      <c r="I2030" s="23" t="str">
        <f>_xlfn.IFNA(VLOOKUP(A2030,A2031:$H$3524,8,0),"")</f>
        <v/>
      </c>
      <c r="J2030" s="40" t="str">
        <f t="shared" si="164"/>
        <v/>
      </c>
      <c r="K2030" s="24" t="str">
        <f t="shared" si="165"/>
        <v/>
      </c>
      <c r="L2030" s="25" t="str">
        <f t="shared" si="161"/>
        <v/>
      </c>
      <c r="M2030" s="37"/>
      <c r="N2030" s="37"/>
      <c r="O2030" s="33" t="str">
        <f t="shared" si="162"/>
        <v/>
      </c>
      <c r="P2030" s="33" t="str">
        <f t="shared" si="163"/>
        <v/>
      </c>
      <c r="X2030" s="1"/>
    </row>
    <row r="2031" spans="7:24">
      <c r="G2031" s="21"/>
      <c r="H2031" s="23"/>
      <c r="I2031" s="23" t="str">
        <f>_xlfn.IFNA(VLOOKUP(A2031,A2032:$H$3524,8,0),"")</f>
        <v/>
      </c>
      <c r="J2031" s="40" t="str">
        <f t="shared" si="164"/>
        <v/>
      </c>
      <c r="K2031" s="24" t="str">
        <f t="shared" si="165"/>
        <v/>
      </c>
      <c r="L2031" s="25" t="str">
        <f t="shared" si="161"/>
        <v/>
      </c>
      <c r="M2031" s="37"/>
      <c r="N2031" s="37"/>
      <c r="O2031" s="33" t="str">
        <f t="shared" si="162"/>
        <v/>
      </c>
      <c r="P2031" s="33" t="str">
        <f t="shared" si="163"/>
        <v/>
      </c>
      <c r="X2031" s="1"/>
    </row>
    <row r="2032" spans="7:24">
      <c r="G2032" s="21"/>
      <c r="H2032" s="23"/>
      <c r="I2032" s="23" t="str">
        <f>_xlfn.IFNA(VLOOKUP(A2032,A2033:$H$3524,8,0),"")</f>
        <v/>
      </c>
      <c r="J2032" s="40" t="str">
        <f t="shared" si="164"/>
        <v/>
      </c>
      <c r="K2032" s="24" t="str">
        <f t="shared" si="165"/>
        <v/>
      </c>
      <c r="L2032" s="25" t="str">
        <f t="shared" si="161"/>
        <v/>
      </c>
      <c r="M2032" s="37"/>
      <c r="N2032" s="37"/>
      <c r="O2032" s="33" t="str">
        <f t="shared" si="162"/>
        <v/>
      </c>
      <c r="P2032" s="33" t="str">
        <f t="shared" si="163"/>
        <v/>
      </c>
      <c r="X2032" s="1"/>
    </row>
    <row r="2033" spans="7:24">
      <c r="G2033" s="21"/>
      <c r="H2033" s="23"/>
      <c r="I2033" s="23" t="str">
        <f>_xlfn.IFNA(VLOOKUP(A2033,A2034:$H$3524,8,0),"")</f>
        <v/>
      </c>
      <c r="J2033" s="40" t="str">
        <f t="shared" si="164"/>
        <v/>
      </c>
      <c r="K2033" s="24" t="str">
        <f t="shared" si="165"/>
        <v/>
      </c>
      <c r="L2033" s="25" t="str">
        <f t="shared" si="161"/>
        <v/>
      </c>
      <c r="M2033" s="37"/>
      <c r="N2033" s="37"/>
      <c r="O2033" s="33" t="str">
        <f t="shared" si="162"/>
        <v/>
      </c>
      <c r="P2033" s="33" t="str">
        <f t="shared" si="163"/>
        <v/>
      </c>
      <c r="X2033" s="1"/>
    </row>
    <row r="2034" spans="7:24">
      <c r="G2034" s="21"/>
      <c r="H2034" s="23"/>
      <c r="I2034" s="23" t="str">
        <f>_xlfn.IFNA(VLOOKUP(A2034,A2035:$H$3524,8,0),"")</f>
        <v/>
      </c>
      <c r="J2034" s="40" t="str">
        <f t="shared" si="164"/>
        <v/>
      </c>
      <c r="K2034" s="24" t="str">
        <f t="shared" si="165"/>
        <v/>
      </c>
      <c r="L2034" s="25" t="str">
        <f t="shared" si="161"/>
        <v/>
      </c>
      <c r="M2034" s="37"/>
      <c r="N2034" s="37"/>
      <c r="O2034" s="33" t="str">
        <f t="shared" si="162"/>
        <v/>
      </c>
      <c r="P2034" s="33" t="str">
        <f t="shared" si="163"/>
        <v/>
      </c>
      <c r="X2034" s="1"/>
    </row>
    <row r="2035" spans="7:24">
      <c r="G2035" s="21"/>
      <c r="H2035" s="23"/>
      <c r="I2035" s="23" t="str">
        <f>_xlfn.IFNA(VLOOKUP(A2035,A2036:$H$3524,8,0),"")</f>
        <v/>
      </c>
      <c r="J2035" s="40" t="str">
        <f t="shared" si="164"/>
        <v/>
      </c>
      <c r="K2035" s="24" t="str">
        <f t="shared" si="165"/>
        <v/>
      </c>
      <c r="L2035" s="25" t="str">
        <f t="shared" si="161"/>
        <v/>
      </c>
      <c r="M2035" s="37"/>
      <c r="N2035" s="37"/>
      <c r="O2035" s="33" t="str">
        <f t="shared" si="162"/>
        <v/>
      </c>
      <c r="P2035" s="33" t="str">
        <f t="shared" si="163"/>
        <v/>
      </c>
      <c r="X2035" s="1"/>
    </row>
    <row r="2036" spans="7:24">
      <c r="G2036" s="21"/>
      <c r="H2036" s="23"/>
      <c r="I2036" s="23" t="str">
        <f>_xlfn.IFNA(VLOOKUP(A2036,A2037:$H$3524,8,0),"")</f>
        <v/>
      </c>
      <c r="J2036" s="40" t="str">
        <f t="shared" si="164"/>
        <v/>
      </c>
      <c r="K2036" s="24" t="str">
        <f t="shared" si="165"/>
        <v/>
      </c>
      <c r="L2036" s="25" t="str">
        <f t="shared" si="161"/>
        <v/>
      </c>
      <c r="M2036" s="37"/>
      <c r="N2036" s="37"/>
      <c r="O2036" s="33" t="str">
        <f t="shared" si="162"/>
        <v/>
      </c>
      <c r="P2036" s="33" t="str">
        <f t="shared" si="163"/>
        <v/>
      </c>
      <c r="X2036" s="1"/>
    </row>
    <row r="2037" spans="7:24">
      <c r="G2037" s="21"/>
      <c r="H2037" s="23"/>
      <c r="I2037" s="23" t="str">
        <f>_xlfn.IFNA(VLOOKUP(A2037,A2038:$H$3524,8,0),"")</f>
        <v/>
      </c>
      <c r="J2037" s="40" t="str">
        <f t="shared" si="164"/>
        <v/>
      </c>
      <c r="K2037" s="24" t="str">
        <f t="shared" si="165"/>
        <v/>
      </c>
      <c r="L2037" s="25" t="str">
        <f t="shared" si="161"/>
        <v/>
      </c>
      <c r="M2037" s="37"/>
      <c r="N2037" s="37"/>
      <c r="O2037" s="33" t="str">
        <f t="shared" si="162"/>
        <v/>
      </c>
      <c r="P2037" s="33" t="str">
        <f t="shared" si="163"/>
        <v/>
      </c>
      <c r="X2037" s="1"/>
    </row>
    <row r="2038" spans="7:24">
      <c r="G2038" s="21"/>
      <c r="H2038" s="23"/>
      <c r="I2038" s="23" t="str">
        <f>_xlfn.IFNA(VLOOKUP(A2038,A2039:$H$3524,8,0),"")</f>
        <v/>
      </c>
      <c r="J2038" s="40" t="str">
        <f t="shared" si="164"/>
        <v/>
      </c>
      <c r="K2038" s="24" t="str">
        <f t="shared" si="165"/>
        <v/>
      </c>
      <c r="L2038" s="25" t="str">
        <f t="shared" si="161"/>
        <v/>
      </c>
      <c r="M2038" s="37"/>
      <c r="N2038" s="37"/>
      <c r="O2038" s="33" t="str">
        <f t="shared" si="162"/>
        <v/>
      </c>
      <c r="P2038" s="33" t="str">
        <f t="shared" si="163"/>
        <v/>
      </c>
      <c r="X2038" s="1"/>
    </row>
    <row r="2039" spans="7:24">
      <c r="G2039" s="21"/>
      <c r="H2039" s="23"/>
      <c r="I2039" s="23" t="str">
        <f>_xlfn.IFNA(VLOOKUP(A2039,A2040:$H$3524,8,0),"")</f>
        <v/>
      </c>
      <c r="J2039" s="40" t="str">
        <f t="shared" si="164"/>
        <v/>
      </c>
      <c r="K2039" s="24" t="str">
        <f t="shared" si="165"/>
        <v/>
      </c>
      <c r="L2039" s="25" t="str">
        <f t="shared" ref="L2039:L2102" si="166">IF(K2039="","",IF(B2039="Break","Break",IF(K2039&lt;&gt;0,"Work Finished",IF(B2039="OFF","Work Finished",IF(I2039="","Working","Work Finished")))))</f>
        <v/>
      </c>
      <c r="M2039" s="37"/>
      <c r="N2039" s="37"/>
      <c r="O2039" s="33" t="str">
        <f t="shared" ref="O2039:O2102" si="167">IF(AND(J2039="",M2039="",N2039=""),"",J2039-M2039-N2039)</f>
        <v/>
      </c>
      <c r="P2039" s="33" t="str">
        <f t="shared" ref="P2039:P2102" si="168">IF(HOUR(H2039)=0,"",HOUR(H2039))</f>
        <v/>
      </c>
      <c r="X2039" s="1"/>
    </row>
    <row r="2040" spans="7:24">
      <c r="G2040" s="21"/>
      <c r="H2040" s="23"/>
      <c r="I2040" s="23" t="str">
        <f>_xlfn.IFNA(VLOOKUP(A2040,A2041:$H$3524,8,0),"")</f>
        <v/>
      </c>
      <c r="J2040" s="40" t="str">
        <f t="shared" si="164"/>
        <v/>
      </c>
      <c r="K2040" s="24" t="str">
        <f t="shared" si="165"/>
        <v/>
      </c>
      <c r="L2040" s="25" t="str">
        <f t="shared" si="166"/>
        <v/>
      </c>
      <c r="M2040" s="37"/>
      <c r="N2040" s="37"/>
      <c r="O2040" s="33" t="str">
        <f t="shared" si="167"/>
        <v/>
      </c>
      <c r="P2040" s="33" t="str">
        <f t="shared" si="168"/>
        <v/>
      </c>
      <c r="X2040" s="1"/>
    </row>
    <row r="2041" spans="7:24">
      <c r="G2041" s="21"/>
      <c r="H2041" s="23"/>
      <c r="I2041" s="23" t="str">
        <f>_xlfn.IFNA(VLOOKUP(A2041,A2042:$H$3524,8,0),"")</f>
        <v/>
      </c>
      <c r="J2041" s="40" t="str">
        <f t="shared" si="164"/>
        <v/>
      </c>
      <c r="K2041" s="24" t="str">
        <f t="shared" si="165"/>
        <v/>
      </c>
      <c r="L2041" s="25" t="str">
        <f t="shared" si="166"/>
        <v/>
      </c>
      <c r="M2041" s="37"/>
      <c r="N2041" s="37"/>
      <c r="O2041" s="33" t="str">
        <f t="shared" si="167"/>
        <v/>
      </c>
      <c r="P2041" s="33" t="str">
        <f t="shared" si="168"/>
        <v/>
      </c>
      <c r="X2041" s="1"/>
    </row>
    <row r="2042" spans="7:24">
      <c r="G2042" s="21"/>
      <c r="H2042" s="23"/>
      <c r="I2042" s="23" t="str">
        <f>_xlfn.IFNA(VLOOKUP(A2042,A2043:$H$3524,8,0),"")</f>
        <v/>
      </c>
      <c r="J2042" s="40" t="str">
        <f t="shared" si="164"/>
        <v/>
      </c>
      <c r="K2042" s="24" t="str">
        <f t="shared" si="165"/>
        <v/>
      </c>
      <c r="L2042" s="25" t="str">
        <f t="shared" si="166"/>
        <v/>
      </c>
      <c r="M2042" s="37"/>
      <c r="N2042" s="37"/>
      <c r="O2042" s="33" t="str">
        <f t="shared" si="167"/>
        <v/>
      </c>
      <c r="P2042" s="33" t="str">
        <f t="shared" si="168"/>
        <v/>
      </c>
      <c r="X2042" s="1"/>
    </row>
    <row r="2043" spans="7:24">
      <c r="G2043" s="21"/>
      <c r="H2043" s="23"/>
      <c r="I2043" s="23" t="str">
        <f>_xlfn.IFNA(VLOOKUP(A2043,A2044:$H$3524,8,0),"")</f>
        <v/>
      </c>
      <c r="J2043" s="40" t="str">
        <f t="shared" si="164"/>
        <v/>
      </c>
      <c r="K2043" s="24" t="str">
        <f t="shared" si="165"/>
        <v/>
      </c>
      <c r="L2043" s="25" t="str">
        <f t="shared" si="166"/>
        <v/>
      </c>
      <c r="M2043" s="37"/>
      <c r="N2043" s="37"/>
      <c r="O2043" s="33" t="str">
        <f t="shared" si="167"/>
        <v/>
      </c>
      <c r="P2043" s="33" t="str">
        <f t="shared" si="168"/>
        <v/>
      </c>
      <c r="X2043" s="1"/>
    </row>
    <row r="2044" spans="7:24">
      <c r="G2044" s="21"/>
      <c r="H2044" s="23"/>
      <c r="I2044" s="23" t="str">
        <f>_xlfn.IFNA(VLOOKUP(A2044,A2045:$H$3524,8,0),"")</f>
        <v/>
      </c>
      <c r="J2044" s="40" t="str">
        <f t="shared" si="164"/>
        <v/>
      </c>
      <c r="K2044" s="24" t="str">
        <f t="shared" si="165"/>
        <v/>
      </c>
      <c r="L2044" s="25" t="str">
        <f t="shared" si="166"/>
        <v/>
      </c>
      <c r="M2044" s="37"/>
      <c r="N2044" s="37"/>
      <c r="O2044" s="33" t="str">
        <f t="shared" si="167"/>
        <v/>
      </c>
      <c r="P2044" s="33" t="str">
        <f t="shared" si="168"/>
        <v/>
      </c>
      <c r="X2044" s="1"/>
    </row>
    <row r="2045" spans="7:24">
      <c r="G2045" s="21"/>
      <c r="H2045" s="23"/>
      <c r="I2045" s="23" t="str">
        <f>_xlfn.IFNA(VLOOKUP(A2045,A2046:$H$3524,8,0),"")</f>
        <v/>
      </c>
      <c r="J2045" s="40" t="str">
        <f t="shared" si="164"/>
        <v/>
      </c>
      <c r="K2045" s="24" t="str">
        <f t="shared" si="165"/>
        <v/>
      </c>
      <c r="L2045" s="25" t="str">
        <f t="shared" si="166"/>
        <v/>
      </c>
      <c r="M2045" s="37"/>
      <c r="N2045" s="37"/>
      <c r="O2045" s="33" t="str">
        <f t="shared" si="167"/>
        <v/>
      </c>
      <c r="P2045" s="33" t="str">
        <f t="shared" si="168"/>
        <v/>
      </c>
      <c r="X2045" s="1"/>
    </row>
    <row r="2046" spans="7:24">
      <c r="G2046" s="21"/>
      <c r="H2046" s="23"/>
      <c r="I2046" s="23" t="str">
        <f>_xlfn.IFNA(VLOOKUP(A2046,A2047:$H$3524,8,0),"")</f>
        <v/>
      </c>
      <c r="J2046" s="40" t="str">
        <f t="shared" si="164"/>
        <v/>
      </c>
      <c r="K2046" s="24" t="str">
        <f t="shared" si="165"/>
        <v/>
      </c>
      <c r="L2046" s="25" t="str">
        <f t="shared" si="166"/>
        <v/>
      </c>
      <c r="M2046" s="37"/>
      <c r="N2046" s="37"/>
      <c r="O2046" s="33" t="str">
        <f t="shared" si="167"/>
        <v/>
      </c>
      <c r="P2046" s="33" t="str">
        <f t="shared" si="168"/>
        <v/>
      </c>
      <c r="X2046" s="1"/>
    </row>
    <row r="2047" spans="7:24">
      <c r="G2047" s="21"/>
      <c r="H2047" s="23"/>
      <c r="I2047" s="23" t="str">
        <f>_xlfn.IFNA(VLOOKUP(A2047,A2048:$H$3524,8,0),"")</f>
        <v/>
      </c>
      <c r="J2047" s="40" t="str">
        <f t="shared" si="164"/>
        <v/>
      </c>
      <c r="K2047" s="24" t="str">
        <f t="shared" si="165"/>
        <v/>
      </c>
      <c r="L2047" s="25" t="str">
        <f t="shared" si="166"/>
        <v/>
      </c>
      <c r="M2047" s="37"/>
      <c r="N2047" s="37"/>
      <c r="O2047" s="33" t="str">
        <f t="shared" si="167"/>
        <v/>
      </c>
      <c r="P2047" s="33" t="str">
        <f t="shared" si="168"/>
        <v/>
      </c>
      <c r="X2047" s="1"/>
    </row>
    <row r="2048" spans="7:24">
      <c r="G2048" s="21"/>
      <c r="H2048" s="23"/>
      <c r="I2048" s="23" t="str">
        <f>_xlfn.IFNA(VLOOKUP(A2048,A2049:$H$3524,8,0),"")</f>
        <v/>
      </c>
      <c r="J2048" s="40" t="str">
        <f t="shared" si="164"/>
        <v/>
      </c>
      <c r="K2048" s="24" t="str">
        <f t="shared" si="165"/>
        <v/>
      </c>
      <c r="L2048" s="25" t="str">
        <f t="shared" si="166"/>
        <v/>
      </c>
      <c r="M2048" s="37"/>
      <c r="N2048" s="37"/>
      <c r="O2048" s="33" t="str">
        <f t="shared" si="167"/>
        <v/>
      </c>
      <c r="P2048" s="33" t="str">
        <f t="shared" si="168"/>
        <v/>
      </c>
      <c r="X2048" s="1"/>
    </row>
    <row r="2049" spans="7:24">
      <c r="G2049" s="21"/>
      <c r="H2049" s="23"/>
      <c r="I2049" s="23" t="str">
        <f>_xlfn.IFNA(VLOOKUP(A2049,A2050:$H$3524,8,0),"")</f>
        <v/>
      </c>
      <c r="J2049" s="40" t="str">
        <f t="shared" si="164"/>
        <v/>
      </c>
      <c r="K2049" s="24" t="str">
        <f t="shared" si="165"/>
        <v/>
      </c>
      <c r="L2049" s="25" t="str">
        <f t="shared" si="166"/>
        <v/>
      </c>
      <c r="M2049" s="37"/>
      <c r="N2049" s="37"/>
      <c r="O2049" s="33" t="str">
        <f t="shared" si="167"/>
        <v/>
      </c>
      <c r="P2049" s="33" t="str">
        <f t="shared" si="168"/>
        <v/>
      </c>
      <c r="X2049" s="1"/>
    </row>
    <row r="2050" spans="7:24">
      <c r="G2050" s="21"/>
      <c r="H2050" s="23"/>
      <c r="I2050" s="23" t="str">
        <f>_xlfn.IFNA(VLOOKUP(A2050,A2051:$H$3524,8,0),"")</f>
        <v/>
      </c>
      <c r="J2050" s="40" t="str">
        <f t="shared" si="164"/>
        <v/>
      </c>
      <c r="K2050" s="24" t="str">
        <f t="shared" si="165"/>
        <v/>
      </c>
      <c r="L2050" s="25" t="str">
        <f t="shared" si="166"/>
        <v/>
      </c>
      <c r="M2050" s="37"/>
      <c r="N2050" s="37"/>
      <c r="O2050" s="33" t="str">
        <f t="shared" si="167"/>
        <v/>
      </c>
      <c r="P2050" s="33" t="str">
        <f t="shared" si="168"/>
        <v/>
      </c>
      <c r="X2050" s="1"/>
    </row>
    <row r="2051" spans="7:24">
      <c r="G2051" s="21"/>
      <c r="H2051" s="23"/>
      <c r="I2051" s="23" t="str">
        <f>_xlfn.IFNA(VLOOKUP(A2051,A2052:$H$3524,8,0),"")</f>
        <v/>
      </c>
      <c r="J2051" s="40" t="str">
        <f t="shared" si="164"/>
        <v/>
      </c>
      <c r="K2051" s="24" t="str">
        <f t="shared" si="165"/>
        <v/>
      </c>
      <c r="L2051" s="25" t="str">
        <f t="shared" si="166"/>
        <v/>
      </c>
      <c r="M2051" s="37"/>
      <c r="N2051" s="37"/>
      <c r="O2051" s="33" t="str">
        <f t="shared" si="167"/>
        <v/>
      </c>
      <c r="P2051" s="33" t="str">
        <f t="shared" si="168"/>
        <v/>
      </c>
      <c r="X2051" s="1"/>
    </row>
    <row r="2052" spans="7:24">
      <c r="G2052" s="21"/>
      <c r="H2052" s="23"/>
      <c r="I2052" s="23" t="str">
        <f>_xlfn.IFNA(VLOOKUP(A2052,A2053:$H$3524,8,0),"")</f>
        <v/>
      </c>
      <c r="J2052" s="40" t="str">
        <f t="shared" si="164"/>
        <v/>
      </c>
      <c r="K2052" s="24" t="str">
        <f t="shared" si="165"/>
        <v/>
      </c>
      <c r="L2052" s="25" t="str">
        <f t="shared" si="166"/>
        <v/>
      </c>
      <c r="M2052" s="37"/>
      <c r="N2052" s="37"/>
      <c r="O2052" s="33" t="str">
        <f t="shared" si="167"/>
        <v/>
      </c>
      <c r="P2052" s="33" t="str">
        <f t="shared" si="168"/>
        <v/>
      </c>
      <c r="X2052" s="1"/>
    </row>
    <row r="2053" spans="7:24">
      <c r="G2053" s="21"/>
      <c r="H2053" s="23"/>
      <c r="I2053" s="23" t="str">
        <f>_xlfn.IFNA(VLOOKUP(A2053,A2054:$H$3524,8,0),"")</f>
        <v/>
      </c>
      <c r="J2053" s="40" t="str">
        <f t="shared" si="164"/>
        <v/>
      </c>
      <c r="K2053" s="24" t="str">
        <f t="shared" si="165"/>
        <v/>
      </c>
      <c r="L2053" s="25" t="str">
        <f t="shared" si="166"/>
        <v/>
      </c>
      <c r="M2053" s="37"/>
      <c r="N2053" s="37"/>
      <c r="O2053" s="33" t="str">
        <f t="shared" si="167"/>
        <v/>
      </c>
      <c r="P2053" s="33" t="str">
        <f t="shared" si="168"/>
        <v/>
      </c>
      <c r="X2053" s="1"/>
    </row>
    <row r="2054" spans="7:24">
      <c r="G2054" s="21"/>
      <c r="H2054" s="23"/>
      <c r="I2054" s="23" t="str">
        <f>_xlfn.IFNA(VLOOKUP(A2054,A2055:$H$3524,8,0),"")</f>
        <v/>
      </c>
      <c r="J2054" s="40" t="str">
        <f t="shared" ref="J2054:J2117" si="169">IF(B2054="OFF",0,IF(AND(D2054&lt;&gt;"",E2054&lt;&gt;""),E2054-D2054+1,""))</f>
        <v/>
      </c>
      <c r="K2054" s="24" t="str">
        <f t="shared" si="165"/>
        <v/>
      </c>
      <c r="L2054" s="25" t="str">
        <f t="shared" si="166"/>
        <v/>
      </c>
      <c r="M2054" s="37"/>
      <c r="N2054" s="37"/>
      <c r="O2054" s="33" t="str">
        <f t="shared" si="167"/>
        <v/>
      </c>
      <c r="P2054" s="33" t="str">
        <f t="shared" si="168"/>
        <v/>
      </c>
      <c r="X2054" s="1"/>
    </row>
    <row r="2055" spans="7:24">
      <c r="G2055" s="21"/>
      <c r="H2055" s="23"/>
      <c r="I2055" s="23" t="str">
        <f>_xlfn.IFNA(VLOOKUP(A2055,A2056:$H$3524,8,0),"")</f>
        <v/>
      </c>
      <c r="J2055" s="40" t="str">
        <f t="shared" si="169"/>
        <v/>
      </c>
      <c r="K2055" s="24" t="str">
        <f t="shared" si="165"/>
        <v/>
      </c>
      <c r="L2055" s="25" t="str">
        <f t="shared" si="166"/>
        <v/>
      </c>
      <c r="M2055" s="37"/>
      <c r="N2055" s="37"/>
      <c r="O2055" s="33" t="str">
        <f t="shared" si="167"/>
        <v/>
      </c>
      <c r="P2055" s="33" t="str">
        <f t="shared" si="168"/>
        <v/>
      </c>
      <c r="X2055" s="1"/>
    </row>
    <row r="2056" spans="7:24">
      <c r="G2056" s="21"/>
      <c r="H2056" s="23"/>
      <c r="I2056" s="23" t="str">
        <f>_xlfn.IFNA(VLOOKUP(A2056,A2057:$H$3524,8,0),"")</f>
        <v/>
      </c>
      <c r="J2056" s="40" t="str">
        <f t="shared" si="169"/>
        <v/>
      </c>
      <c r="K2056" s="24" t="str">
        <f t="shared" si="165"/>
        <v/>
      </c>
      <c r="L2056" s="25" t="str">
        <f t="shared" si="166"/>
        <v/>
      </c>
      <c r="M2056" s="37"/>
      <c r="N2056" s="37"/>
      <c r="O2056" s="33" t="str">
        <f t="shared" si="167"/>
        <v/>
      </c>
      <c r="P2056" s="33" t="str">
        <f t="shared" si="168"/>
        <v/>
      </c>
      <c r="X2056" s="1"/>
    </row>
    <row r="2057" spans="7:24">
      <c r="G2057" s="21"/>
      <c r="H2057" s="23"/>
      <c r="I2057" s="23" t="str">
        <f>_xlfn.IFNA(VLOOKUP(A2057,A2058:$H$3524,8,0),"")</f>
        <v/>
      </c>
      <c r="J2057" s="40" t="str">
        <f t="shared" si="169"/>
        <v/>
      </c>
      <c r="K2057" s="24" t="str">
        <f t="shared" si="165"/>
        <v/>
      </c>
      <c r="L2057" s="25" t="str">
        <f t="shared" si="166"/>
        <v/>
      </c>
      <c r="M2057" s="37"/>
      <c r="N2057" s="37"/>
      <c r="O2057" s="33" t="str">
        <f t="shared" si="167"/>
        <v/>
      </c>
      <c r="P2057" s="33" t="str">
        <f t="shared" si="168"/>
        <v/>
      </c>
      <c r="X2057" s="1"/>
    </row>
    <row r="2058" spans="7:24">
      <c r="G2058" s="21"/>
      <c r="H2058" s="23"/>
      <c r="I2058" s="23" t="str">
        <f>_xlfn.IFNA(VLOOKUP(A2058,A2059:$H$3524,8,0),"")</f>
        <v/>
      </c>
      <c r="J2058" s="40" t="str">
        <f t="shared" si="169"/>
        <v/>
      </c>
      <c r="K2058" s="24" t="str">
        <f t="shared" si="165"/>
        <v/>
      </c>
      <c r="L2058" s="25" t="str">
        <f t="shared" si="166"/>
        <v/>
      </c>
      <c r="M2058" s="37"/>
      <c r="N2058" s="37"/>
      <c r="O2058" s="33" t="str">
        <f t="shared" si="167"/>
        <v/>
      </c>
      <c r="P2058" s="33" t="str">
        <f t="shared" si="168"/>
        <v/>
      </c>
      <c r="X2058" s="1"/>
    </row>
    <row r="2059" spans="7:24">
      <c r="G2059" s="21"/>
      <c r="H2059" s="23"/>
      <c r="I2059" s="23" t="str">
        <f>_xlfn.IFNA(VLOOKUP(A2059,A2060:$H$3524,8,0),"")</f>
        <v/>
      </c>
      <c r="J2059" s="40" t="str">
        <f t="shared" si="169"/>
        <v/>
      </c>
      <c r="K2059" s="24" t="str">
        <f t="shared" si="165"/>
        <v/>
      </c>
      <c r="L2059" s="25" t="str">
        <f t="shared" si="166"/>
        <v/>
      </c>
      <c r="M2059" s="37"/>
      <c r="N2059" s="37"/>
      <c r="O2059" s="33" t="str">
        <f t="shared" si="167"/>
        <v/>
      </c>
      <c r="P2059" s="33" t="str">
        <f t="shared" si="168"/>
        <v/>
      </c>
      <c r="X2059" s="1"/>
    </row>
    <row r="2060" spans="7:24">
      <c r="G2060" s="21"/>
      <c r="H2060" s="23"/>
      <c r="I2060" s="23" t="str">
        <f>_xlfn.IFNA(VLOOKUP(A2060,A2061:$H$3524,8,0),"")</f>
        <v/>
      </c>
      <c r="J2060" s="40" t="str">
        <f t="shared" si="169"/>
        <v/>
      </c>
      <c r="K2060" s="24" t="str">
        <f t="shared" si="165"/>
        <v/>
      </c>
      <c r="L2060" s="25" t="str">
        <f t="shared" si="166"/>
        <v/>
      </c>
      <c r="M2060" s="37"/>
      <c r="N2060" s="37"/>
      <c r="O2060" s="33" t="str">
        <f t="shared" si="167"/>
        <v/>
      </c>
      <c r="P2060" s="33" t="str">
        <f t="shared" si="168"/>
        <v/>
      </c>
      <c r="X2060" s="1"/>
    </row>
    <row r="2061" spans="7:24">
      <c r="G2061" s="21"/>
      <c r="H2061" s="23"/>
      <c r="I2061" s="23" t="str">
        <f>_xlfn.IFNA(VLOOKUP(A2061,A2062:$H$3524,8,0),"")</f>
        <v/>
      </c>
      <c r="J2061" s="40" t="str">
        <f t="shared" si="169"/>
        <v/>
      </c>
      <c r="K2061" s="24" t="str">
        <f t="shared" si="165"/>
        <v/>
      </c>
      <c r="L2061" s="25" t="str">
        <f t="shared" si="166"/>
        <v/>
      </c>
      <c r="M2061" s="37"/>
      <c r="N2061" s="37"/>
      <c r="O2061" s="33" t="str">
        <f t="shared" si="167"/>
        <v/>
      </c>
      <c r="P2061" s="33" t="str">
        <f t="shared" si="168"/>
        <v/>
      </c>
      <c r="X2061" s="1"/>
    </row>
    <row r="2062" spans="7:24">
      <c r="G2062" s="21"/>
      <c r="H2062" s="23"/>
      <c r="I2062" s="23" t="str">
        <f>_xlfn.IFNA(VLOOKUP(A2062,A2063:$H$3524,8,0),"")</f>
        <v/>
      </c>
      <c r="J2062" s="40" t="str">
        <f t="shared" si="169"/>
        <v/>
      </c>
      <c r="K2062" s="24" t="str">
        <f t="shared" si="165"/>
        <v/>
      </c>
      <c r="L2062" s="25" t="str">
        <f t="shared" si="166"/>
        <v/>
      </c>
      <c r="M2062" s="37"/>
      <c r="N2062" s="37"/>
      <c r="O2062" s="33" t="str">
        <f t="shared" si="167"/>
        <v/>
      </c>
      <c r="P2062" s="33" t="str">
        <f t="shared" si="168"/>
        <v/>
      </c>
      <c r="X2062" s="1"/>
    </row>
    <row r="2063" spans="7:24">
      <c r="G2063" s="21"/>
      <c r="H2063" s="23"/>
      <c r="I2063" s="23" t="str">
        <f>_xlfn.IFNA(VLOOKUP(A2063,A2064:$H$3524,8,0),"")</f>
        <v/>
      </c>
      <c r="J2063" s="40" t="str">
        <f t="shared" si="169"/>
        <v/>
      </c>
      <c r="K2063" s="24" t="str">
        <f t="shared" si="165"/>
        <v/>
      </c>
      <c r="L2063" s="25" t="str">
        <f t="shared" si="166"/>
        <v/>
      </c>
      <c r="M2063" s="37"/>
      <c r="N2063" s="37"/>
      <c r="O2063" s="33" t="str">
        <f t="shared" si="167"/>
        <v/>
      </c>
      <c r="P2063" s="33" t="str">
        <f t="shared" si="168"/>
        <v/>
      </c>
      <c r="X2063" s="1"/>
    </row>
    <row r="2064" spans="7:24">
      <c r="G2064" s="21"/>
      <c r="H2064" s="23"/>
      <c r="I2064" s="23" t="str">
        <f>_xlfn.IFNA(VLOOKUP(A2064,A2065:$H$3524,8,0),"")</f>
        <v/>
      </c>
      <c r="J2064" s="40" t="str">
        <f t="shared" si="169"/>
        <v/>
      </c>
      <c r="K2064" s="24" t="str">
        <f t="shared" si="165"/>
        <v/>
      </c>
      <c r="L2064" s="25" t="str">
        <f t="shared" si="166"/>
        <v/>
      </c>
      <c r="M2064" s="37"/>
      <c r="N2064" s="37"/>
      <c r="O2064" s="33" t="str">
        <f t="shared" si="167"/>
        <v/>
      </c>
      <c r="P2064" s="33" t="str">
        <f t="shared" si="168"/>
        <v/>
      </c>
      <c r="X2064" s="1"/>
    </row>
    <row r="2065" spans="7:24">
      <c r="G2065" s="21"/>
      <c r="H2065" s="23"/>
      <c r="I2065" s="23" t="str">
        <f>_xlfn.IFNA(VLOOKUP(A2065,A2066:$H$3524,8,0),"")</f>
        <v/>
      </c>
      <c r="J2065" s="40" t="str">
        <f t="shared" si="169"/>
        <v/>
      </c>
      <c r="K2065" s="24" t="str">
        <f t="shared" si="165"/>
        <v/>
      </c>
      <c r="L2065" s="25" t="str">
        <f t="shared" si="166"/>
        <v/>
      </c>
      <c r="M2065" s="37"/>
      <c r="N2065" s="37"/>
      <c r="O2065" s="33" t="str">
        <f t="shared" si="167"/>
        <v/>
      </c>
      <c r="P2065" s="33" t="str">
        <f t="shared" si="168"/>
        <v/>
      </c>
      <c r="X2065" s="1"/>
    </row>
    <row r="2066" spans="7:24">
      <c r="G2066" s="21"/>
      <c r="H2066" s="23"/>
      <c r="I2066" s="23" t="str">
        <f>_xlfn.IFNA(VLOOKUP(A2066,A2067:$H$3524,8,0),"")</f>
        <v/>
      </c>
      <c r="J2066" s="40" t="str">
        <f t="shared" si="169"/>
        <v/>
      </c>
      <c r="K2066" s="24" t="str">
        <f t="shared" si="165"/>
        <v/>
      </c>
      <c r="L2066" s="25" t="str">
        <f t="shared" si="166"/>
        <v/>
      </c>
      <c r="M2066" s="37"/>
      <c r="N2066" s="37"/>
      <c r="O2066" s="33" t="str">
        <f t="shared" si="167"/>
        <v/>
      </c>
      <c r="P2066" s="33" t="str">
        <f t="shared" si="168"/>
        <v/>
      </c>
      <c r="X2066" s="1"/>
    </row>
    <row r="2067" spans="7:24">
      <c r="G2067" s="21"/>
      <c r="H2067" s="23"/>
      <c r="I2067" s="23" t="str">
        <f>_xlfn.IFNA(VLOOKUP(A2067,A2068:$H$3524,8,0),"")</f>
        <v/>
      </c>
      <c r="J2067" s="40" t="str">
        <f t="shared" si="169"/>
        <v/>
      </c>
      <c r="K2067" s="24" t="str">
        <f t="shared" si="165"/>
        <v/>
      </c>
      <c r="L2067" s="25" t="str">
        <f t="shared" si="166"/>
        <v/>
      </c>
      <c r="M2067" s="37"/>
      <c r="N2067" s="37"/>
      <c r="O2067" s="33" t="str">
        <f t="shared" si="167"/>
        <v/>
      </c>
      <c r="P2067" s="33" t="str">
        <f t="shared" si="168"/>
        <v/>
      </c>
      <c r="X2067" s="1"/>
    </row>
    <row r="2068" spans="7:24">
      <c r="G2068" s="21"/>
      <c r="H2068" s="23"/>
      <c r="I2068" s="23" t="str">
        <f>_xlfn.IFNA(VLOOKUP(A2068,A2069:$H$3524,8,0),"")</f>
        <v/>
      </c>
      <c r="J2068" s="40" t="str">
        <f t="shared" si="169"/>
        <v/>
      </c>
      <c r="K2068" s="24" t="str">
        <f t="shared" si="165"/>
        <v/>
      </c>
      <c r="L2068" s="25" t="str">
        <f t="shared" si="166"/>
        <v/>
      </c>
      <c r="M2068" s="37"/>
      <c r="N2068" s="37"/>
      <c r="O2068" s="33" t="str">
        <f t="shared" si="167"/>
        <v/>
      </c>
      <c r="P2068" s="33" t="str">
        <f t="shared" si="168"/>
        <v/>
      </c>
      <c r="X2068" s="1"/>
    </row>
    <row r="2069" spans="7:24">
      <c r="G2069" s="21"/>
      <c r="H2069" s="23"/>
      <c r="I2069" s="23" t="str">
        <f>_xlfn.IFNA(VLOOKUP(A2069,A2070:$H$3524,8,0),"")</f>
        <v/>
      </c>
      <c r="J2069" s="40" t="str">
        <f t="shared" si="169"/>
        <v/>
      </c>
      <c r="K2069" s="24" t="str">
        <f t="shared" si="165"/>
        <v/>
      </c>
      <c r="L2069" s="25" t="str">
        <f t="shared" si="166"/>
        <v/>
      </c>
      <c r="M2069" s="37"/>
      <c r="N2069" s="37"/>
      <c r="O2069" s="33" t="str">
        <f t="shared" si="167"/>
        <v/>
      </c>
      <c r="P2069" s="33" t="str">
        <f t="shared" si="168"/>
        <v/>
      </c>
      <c r="X2069" s="1"/>
    </row>
    <row r="2070" spans="7:24">
      <c r="G2070" s="21"/>
      <c r="H2070" s="23"/>
      <c r="I2070" s="23" t="str">
        <f>_xlfn.IFNA(VLOOKUP(A2070,A2071:$H$3524,8,0),"")</f>
        <v/>
      </c>
      <c r="J2070" s="40" t="str">
        <f t="shared" si="169"/>
        <v/>
      </c>
      <c r="K2070" s="24" t="str">
        <f t="shared" ref="K2070:K2133" si="170">IF(H2070="","",IFERROR((I2070-H2070)*24,0))</f>
        <v/>
      </c>
      <c r="L2070" s="25" t="str">
        <f t="shared" si="166"/>
        <v/>
      </c>
      <c r="M2070" s="37"/>
      <c r="N2070" s="37"/>
      <c r="O2070" s="33" t="str">
        <f t="shared" si="167"/>
        <v/>
      </c>
      <c r="P2070" s="33" t="str">
        <f t="shared" si="168"/>
        <v/>
      </c>
      <c r="X2070" s="1"/>
    </row>
    <row r="2071" spans="7:24">
      <c r="G2071" s="21"/>
      <c r="H2071" s="23"/>
      <c r="I2071" s="23" t="str">
        <f>_xlfn.IFNA(VLOOKUP(A2071,A2072:$H$3524,8,0),"")</f>
        <v/>
      </c>
      <c r="J2071" s="40" t="str">
        <f t="shared" si="169"/>
        <v/>
      </c>
      <c r="K2071" s="24" t="str">
        <f t="shared" si="170"/>
        <v/>
      </c>
      <c r="L2071" s="25" t="str">
        <f t="shared" si="166"/>
        <v/>
      </c>
      <c r="M2071" s="37"/>
      <c r="N2071" s="37"/>
      <c r="O2071" s="33" t="str">
        <f t="shared" si="167"/>
        <v/>
      </c>
      <c r="P2071" s="33" t="str">
        <f t="shared" si="168"/>
        <v/>
      </c>
      <c r="X2071" s="1"/>
    </row>
    <row r="2072" spans="7:24">
      <c r="G2072" s="21"/>
      <c r="H2072" s="23"/>
      <c r="I2072" s="23" t="str">
        <f>_xlfn.IFNA(VLOOKUP(A2072,A2073:$H$3524,8,0),"")</f>
        <v/>
      </c>
      <c r="J2072" s="40" t="str">
        <f t="shared" si="169"/>
        <v/>
      </c>
      <c r="K2072" s="24" t="str">
        <f t="shared" si="170"/>
        <v/>
      </c>
      <c r="L2072" s="25" t="str">
        <f t="shared" si="166"/>
        <v/>
      </c>
      <c r="M2072" s="37"/>
      <c r="N2072" s="37"/>
      <c r="O2072" s="33" t="str">
        <f t="shared" si="167"/>
        <v/>
      </c>
      <c r="P2072" s="33" t="str">
        <f t="shared" si="168"/>
        <v/>
      </c>
      <c r="X2072" s="1"/>
    </row>
    <row r="2073" spans="7:24">
      <c r="G2073" s="21"/>
      <c r="H2073" s="23"/>
      <c r="I2073" s="23" t="str">
        <f>_xlfn.IFNA(VLOOKUP(A2073,A2074:$H$3524,8,0),"")</f>
        <v/>
      </c>
      <c r="J2073" s="40" t="str">
        <f t="shared" si="169"/>
        <v/>
      </c>
      <c r="K2073" s="24" t="str">
        <f t="shared" si="170"/>
        <v/>
      </c>
      <c r="L2073" s="25" t="str">
        <f t="shared" si="166"/>
        <v/>
      </c>
      <c r="M2073" s="37"/>
      <c r="N2073" s="37"/>
      <c r="O2073" s="33" t="str">
        <f t="shared" si="167"/>
        <v/>
      </c>
      <c r="P2073" s="33" t="str">
        <f t="shared" si="168"/>
        <v/>
      </c>
      <c r="X2073" s="1"/>
    </row>
    <row r="2074" spans="7:24">
      <c r="G2074" s="21"/>
      <c r="H2074" s="23"/>
      <c r="I2074" s="23" t="str">
        <f>_xlfn.IFNA(VLOOKUP(A2074,A2075:$H$3524,8,0),"")</f>
        <v/>
      </c>
      <c r="J2074" s="40" t="str">
        <f t="shared" si="169"/>
        <v/>
      </c>
      <c r="K2074" s="24" t="str">
        <f t="shared" si="170"/>
        <v/>
      </c>
      <c r="L2074" s="25" t="str">
        <f t="shared" si="166"/>
        <v/>
      </c>
      <c r="M2074" s="37"/>
      <c r="N2074" s="37"/>
      <c r="O2074" s="33" t="str">
        <f t="shared" si="167"/>
        <v/>
      </c>
      <c r="P2074" s="33" t="str">
        <f t="shared" si="168"/>
        <v/>
      </c>
      <c r="X2074" s="1"/>
    </row>
    <row r="2075" spans="7:24">
      <c r="G2075" s="21"/>
      <c r="H2075" s="23"/>
      <c r="I2075" s="23" t="str">
        <f>_xlfn.IFNA(VLOOKUP(A2075,A2076:$H$3524,8,0),"")</f>
        <v/>
      </c>
      <c r="J2075" s="40" t="str">
        <f t="shared" si="169"/>
        <v/>
      </c>
      <c r="K2075" s="24" t="str">
        <f t="shared" si="170"/>
        <v/>
      </c>
      <c r="L2075" s="25" t="str">
        <f t="shared" si="166"/>
        <v/>
      </c>
      <c r="M2075" s="37"/>
      <c r="N2075" s="37"/>
      <c r="O2075" s="33" t="str">
        <f t="shared" si="167"/>
        <v/>
      </c>
      <c r="P2075" s="33" t="str">
        <f t="shared" si="168"/>
        <v/>
      </c>
      <c r="X2075" s="1"/>
    </row>
    <row r="2076" spans="7:24">
      <c r="G2076" s="21"/>
      <c r="H2076" s="23"/>
      <c r="I2076" s="23" t="str">
        <f>_xlfn.IFNA(VLOOKUP(A2076,A2077:$H$3524,8,0),"")</f>
        <v/>
      </c>
      <c r="J2076" s="40" t="str">
        <f t="shared" si="169"/>
        <v/>
      </c>
      <c r="K2076" s="24" t="str">
        <f t="shared" si="170"/>
        <v/>
      </c>
      <c r="L2076" s="25" t="str">
        <f t="shared" si="166"/>
        <v/>
      </c>
      <c r="M2076" s="37"/>
      <c r="N2076" s="37"/>
      <c r="O2076" s="33" t="str">
        <f t="shared" si="167"/>
        <v/>
      </c>
      <c r="P2076" s="33" t="str">
        <f t="shared" si="168"/>
        <v/>
      </c>
      <c r="X2076" s="1"/>
    </row>
    <row r="2077" spans="7:24">
      <c r="G2077" s="21"/>
      <c r="H2077" s="23"/>
      <c r="I2077" s="23" t="str">
        <f>_xlfn.IFNA(VLOOKUP(A2077,A2078:$H$3524,8,0),"")</f>
        <v/>
      </c>
      <c r="J2077" s="40" t="str">
        <f t="shared" si="169"/>
        <v/>
      </c>
      <c r="K2077" s="24" t="str">
        <f t="shared" si="170"/>
        <v/>
      </c>
      <c r="L2077" s="25" t="str">
        <f t="shared" si="166"/>
        <v/>
      </c>
      <c r="M2077" s="37"/>
      <c r="N2077" s="37"/>
      <c r="O2077" s="33" t="str">
        <f t="shared" si="167"/>
        <v/>
      </c>
      <c r="P2077" s="33" t="str">
        <f t="shared" si="168"/>
        <v/>
      </c>
      <c r="X2077" s="1"/>
    </row>
    <row r="2078" spans="7:24">
      <c r="G2078" s="21"/>
      <c r="H2078" s="23"/>
      <c r="I2078" s="23" t="str">
        <f>_xlfn.IFNA(VLOOKUP(A2078,A2079:$H$3524,8,0),"")</f>
        <v/>
      </c>
      <c r="J2078" s="40" t="str">
        <f t="shared" si="169"/>
        <v/>
      </c>
      <c r="K2078" s="24" t="str">
        <f t="shared" si="170"/>
        <v/>
      </c>
      <c r="L2078" s="25" t="str">
        <f t="shared" si="166"/>
        <v/>
      </c>
      <c r="M2078" s="37"/>
      <c r="N2078" s="37"/>
      <c r="O2078" s="33" t="str">
        <f t="shared" si="167"/>
        <v/>
      </c>
      <c r="P2078" s="33" t="str">
        <f t="shared" si="168"/>
        <v/>
      </c>
      <c r="X2078" s="1"/>
    </row>
    <row r="2079" spans="7:24">
      <c r="G2079" s="21"/>
      <c r="H2079" s="23"/>
      <c r="I2079" s="23" t="str">
        <f>_xlfn.IFNA(VLOOKUP(A2079,A2080:$H$3524,8,0),"")</f>
        <v/>
      </c>
      <c r="J2079" s="40" t="str">
        <f t="shared" si="169"/>
        <v/>
      </c>
      <c r="K2079" s="24" t="str">
        <f t="shared" si="170"/>
        <v/>
      </c>
      <c r="L2079" s="25" t="str">
        <f t="shared" si="166"/>
        <v/>
      </c>
      <c r="M2079" s="37"/>
      <c r="N2079" s="37"/>
      <c r="O2079" s="33" t="str">
        <f t="shared" si="167"/>
        <v/>
      </c>
      <c r="P2079" s="33" t="str">
        <f t="shared" si="168"/>
        <v/>
      </c>
      <c r="X2079" s="1"/>
    </row>
    <row r="2080" spans="7:24">
      <c r="G2080" s="21"/>
      <c r="H2080" s="23"/>
      <c r="I2080" s="23" t="str">
        <f>_xlfn.IFNA(VLOOKUP(A2080,A2081:$H$3524,8,0),"")</f>
        <v/>
      </c>
      <c r="J2080" s="40" t="str">
        <f t="shared" si="169"/>
        <v/>
      </c>
      <c r="K2080" s="24" t="str">
        <f t="shared" si="170"/>
        <v/>
      </c>
      <c r="L2080" s="25" t="str">
        <f t="shared" si="166"/>
        <v/>
      </c>
      <c r="M2080" s="37"/>
      <c r="N2080" s="37"/>
      <c r="O2080" s="33" t="str">
        <f t="shared" si="167"/>
        <v/>
      </c>
      <c r="P2080" s="33" t="str">
        <f t="shared" si="168"/>
        <v/>
      </c>
      <c r="X2080" s="1"/>
    </row>
    <row r="2081" spans="7:24">
      <c r="G2081" s="21"/>
      <c r="H2081" s="23"/>
      <c r="I2081" s="23" t="str">
        <f>_xlfn.IFNA(VLOOKUP(A2081,A2082:$H$3524,8,0),"")</f>
        <v/>
      </c>
      <c r="J2081" s="40" t="str">
        <f t="shared" si="169"/>
        <v/>
      </c>
      <c r="K2081" s="24" t="str">
        <f t="shared" si="170"/>
        <v/>
      </c>
      <c r="L2081" s="25" t="str">
        <f t="shared" si="166"/>
        <v/>
      </c>
      <c r="M2081" s="37"/>
      <c r="N2081" s="37"/>
      <c r="O2081" s="33" t="str">
        <f t="shared" si="167"/>
        <v/>
      </c>
      <c r="P2081" s="33" t="str">
        <f t="shared" si="168"/>
        <v/>
      </c>
      <c r="X2081" s="1"/>
    </row>
    <row r="2082" spans="7:24">
      <c r="G2082" s="21"/>
      <c r="H2082" s="23"/>
      <c r="I2082" s="23" t="str">
        <f>_xlfn.IFNA(VLOOKUP(A2082,A2083:$H$3524,8,0),"")</f>
        <v/>
      </c>
      <c r="J2082" s="40" t="str">
        <f t="shared" si="169"/>
        <v/>
      </c>
      <c r="K2082" s="24" t="str">
        <f t="shared" si="170"/>
        <v/>
      </c>
      <c r="L2082" s="25" t="str">
        <f t="shared" si="166"/>
        <v/>
      </c>
      <c r="M2082" s="37"/>
      <c r="N2082" s="37"/>
      <c r="O2082" s="33" t="str">
        <f t="shared" si="167"/>
        <v/>
      </c>
      <c r="P2082" s="33" t="str">
        <f t="shared" si="168"/>
        <v/>
      </c>
      <c r="X2082" s="1"/>
    </row>
    <row r="2083" spans="7:24">
      <c r="G2083" s="21"/>
      <c r="H2083" s="23"/>
      <c r="I2083" s="23" t="str">
        <f>_xlfn.IFNA(VLOOKUP(A2083,A2084:$H$3524,8,0),"")</f>
        <v/>
      </c>
      <c r="J2083" s="40" t="str">
        <f t="shared" si="169"/>
        <v/>
      </c>
      <c r="K2083" s="24" t="str">
        <f t="shared" si="170"/>
        <v/>
      </c>
      <c r="L2083" s="25" t="str">
        <f t="shared" si="166"/>
        <v/>
      </c>
      <c r="M2083" s="37"/>
      <c r="N2083" s="37"/>
      <c r="O2083" s="33" t="str">
        <f t="shared" si="167"/>
        <v/>
      </c>
      <c r="P2083" s="33" t="str">
        <f t="shared" si="168"/>
        <v/>
      </c>
      <c r="X2083" s="1"/>
    </row>
    <row r="2084" spans="7:24">
      <c r="G2084" s="21"/>
      <c r="H2084" s="23"/>
      <c r="I2084" s="23" t="str">
        <f>_xlfn.IFNA(VLOOKUP(A2084,A2085:$H$3524,8,0),"")</f>
        <v/>
      </c>
      <c r="J2084" s="40" t="str">
        <f t="shared" si="169"/>
        <v/>
      </c>
      <c r="K2084" s="24" t="str">
        <f t="shared" si="170"/>
        <v/>
      </c>
      <c r="L2084" s="25" t="str">
        <f t="shared" si="166"/>
        <v/>
      </c>
      <c r="M2084" s="37"/>
      <c r="N2084" s="37"/>
      <c r="O2084" s="33" t="str">
        <f t="shared" si="167"/>
        <v/>
      </c>
      <c r="P2084" s="33" t="str">
        <f t="shared" si="168"/>
        <v/>
      </c>
      <c r="X2084" s="1"/>
    </row>
    <row r="2085" spans="7:24">
      <c r="G2085" s="21"/>
      <c r="H2085" s="23"/>
      <c r="I2085" s="23" t="str">
        <f>_xlfn.IFNA(VLOOKUP(A2085,A2086:$H$3524,8,0),"")</f>
        <v/>
      </c>
      <c r="J2085" s="40" t="str">
        <f t="shared" si="169"/>
        <v/>
      </c>
      <c r="K2085" s="24" t="str">
        <f t="shared" si="170"/>
        <v/>
      </c>
      <c r="L2085" s="25" t="str">
        <f t="shared" si="166"/>
        <v/>
      </c>
      <c r="M2085" s="37"/>
      <c r="N2085" s="37"/>
      <c r="O2085" s="33" t="str">
        <f t="shared" si="167"/>
        <v/>
      </c>
      <c r="P2085" s="33" t="str">
        <f t="shared" si="168"/>
        <v/>
      </c>
      <c r="X2085" s="1"/>
    </row>
    <row r="2086" spans="7:24">
      <c r="G2086" s="21"/>
      <c r="H2086" s="23"/>
      <c r="I2086" s="23" t="str">
        <f>_xlfn.IFNA(VLOOKUP(A2086,A2087:$H$3524,8,0),"")</f>
        <v/>
      </c>
      <c r="J2086" s="40" t="str">
        <f t="shared" si="169"/>
        <v/>
      </c>
      <c r="K2086" s="24" t="str">
        <f t="shared" si="170"/>
        <v/>
      </c>
      <c r="L2086" s="25" t="str">
        <f t="shared" si="166"/>
        <v/>
      </c>
      <c r="M2086" s="37"/>
      <c r="N2086" s="37"/>
      <c r="O2086" s="33" t="str">
        <f t="shared" si="167"/>
        <v/>
      </c>
      <c r="P2086" s="33" t="str">
        <f t="shared" si="168"/>
        <v/>
      </c>
      <c r="X2086" s="1"/>
    </row>
    <row r="2087" spans="7:24">
      <c r="G2087" s="21"/>
      <c r="H2087" s="23"/>
      <c r="I2087" s="23" t="str">
        <f>_xlfn.IFNA(VLOOKUP(A2087,A2088:$H$3524,8,0),"")</f>
        <v/>
      </c>
      <c r="J2087" s="40" t="str">
        <f t="shared" si="169"/>
        <v/>
      </c>
      <c r="K2087" s="24" t="str">
        <f t="shared" si="170"/>
        <v/>
      </c>
      <c r="L2087" s="25" t="str">
        <f t="shared" si="166"/>
        <v/>
      </c>
      <c r="M2087" s="37"/>
      <c r="N2087" s="37"/>
      <c r="O2087" s="33" t="str">
        <f t="shared" si="167"/>
        <v/>
      </c>
      <c r="P2087" s="33" t="str">
        <f t="shared" si="168"/>
        <v/>
      </c>
      <c r="X2087" s="1"/>
    </row>
    <row r="2088" spans="7:24">
      <c r="G2088" s="21"/>
      <c r="H2088" s="23"/>
      <c r="I2088" s="23" t="str">
        <f>_xlfn.IFNA(VLOOKUP(A2088,A2089:$H$3524,8,0),"")</f>
        <v/>
      </c>
      <c r="J2088" s="40" t="str">
        <f t="shared" si="169"/>
        <v/>
      </c>
      <c r="K2088" s="24" t="str">
        <f t="shared" si="170"/>
        <v/>
      </c>
      <c r="L2088" s="25" t="str">
        <f t="shared" si="166"/>
        <v/>
      </c>
      <c r="M2088" s="37"/>
      <c r="N2088" s="37"/>
      <c r="O2088" s="33" t="str">
        <f t="shared" si="167"/>
        <v/>
      </c>
      <c r="P2088" s="33" t="str">
        <f t="shared" si="168"/>
        <v/>
      </c>
      <c r="X2088" s="1"/>
    </row>
    <row r="2089" spans="7:24">
      <c r="G2089" s="21"/>
      <c r="H2089" s="23"/>
      <c r="I2089" s="23" t="str">
        <f>_xlfn.IFNA(VLOOKUP(A2089,A2090:$H$3524,8,0),"")</f>
        <v/>
      </c>
      <c r="J2089" s="40" t="str">
        <f t="shared" si="169"/>
        <v/>
      </c>
      <c r="K2089" s="24" t="str">
        <f t="shared" si="170"/>
        <v/>
      </c>
      <c r="L2089" s="25" t="str">
        <f t="shared" si="166"/>
        <v/>
      </c>
      <c r="M2089" s="37"/>
      <c r="N2089" s="37"/>
      <c r="O2089" s="33" t="str">
        <f t="shared" si="167"/>
        <v/>
      </c>
      <c r="P2089" s="33" t="str">
        <f t="shared" si="168"/>
        <v/>
      </c>
      <c r="X2089" s="1"/>
    </row>
    <row r="2090" spans="7:24">
      <c r="G2090" s="21"/>
      <c r="H2090" s="23"/>
      <c r="I2090" s="23" t="str">
        <f>_xlfn.IFNA(VLOOKUP(A2090,A2091:$H$3524,8,0),"")</f>
        <v/>
      </c>
      <c r="J2090" s="40" t="str">
        <f t="shared" si="169"/>
        <v/>
      </c>
      <c r="K2090" s="24" t="str">
        <f t="shared" si="170"/>
        <v/>
      </c>
      <c r="L2090" s="25" t="str">
        <f t="shared" si="166"/>
        <v/>
      </c>
      <c r="M2090" s="37"/>
      <c r="N2090" s="37"/>
      <c r="O2090" s="33" t="str">
        <f t="shared" si="167"/>
        <v/>
      </c>
      <c r="P2090" s="33" t="str">
        <f t="shared" si="168"/>
        <v/>
      </c>
      <c r="X2090" s="1"/>
    </row>
    <row r="2091" spans="7:24">
      <c r="G2091" s="21"/>
      <c r="H2091" s="23"/>
      <c r="I2091" s="23" t="str">
        <f>_xlfn.IFNA(VLOOKUP(A2091,A2092:$H$3524,8,0),"")</f>
        <v/>
      </c>
      <c r="J2091" s="40" t="str">
        <f t="shared" si="169"/>
        <v/>
      </c>
      <c r="K2091" s="24" t="str">
        <f t="shared" si="170"/>
        <v/>
      </c>
      <c r="L2091" s="25" t="str">
        <f t="shared" si="166"/>
        <v/>
      </c>
      <c r="M2091" s="37"/>
      <c r="N2091" s="37"/>
      <c r="O2091" s="33" t="str">
        <f t="shared" si="167"/>
        <v/>
      </c>
      <c r="P2091" s="33" t="str">
        <f t="shared" si="168"/>
        <v/>
      </c>
      <c r="X2091" s="1"/>
    </row>
    <row r="2092" spans="7:24">
      <c r="G2092" s="21"/>
      <c r="H2092" s="23"/>
      <c r="I2092" s="23" t="str">
        <f>_xlfn.IFNA(VLOOKUP(A2092,A2093:$H$3524,8,0),"")</f>
        <v/>
      </c>
      <c r="J2092" s="40" t="str">
        <f t="shared" si="169"/>
        <v/>
      </c>
      <c r="K2092" s="24" t="str">
        <f t="shared" si="170"/>
        <v/>
      </c>
      <c r="L2092" s="25" t="str">
        <f t="shared" si="166"/>
        <v/>
      </c>
      <c r="M2092" s="37"/>
      <c r="N2092" s="37"/>
      <c r="O2092" s="33" t="str">
        <f t="shared" si="167"/>
        <v/>
      </c>
      <c r="P2092" s="33" t="str">
        <f t="shared" si="168"/>
        <v/>
      </c>
      <c r="X2092" s="1"/>
    </row>
    <row r="2093" spans="7:24">
      <c r="G2093" s="21"/>
      <c r="H2093" s="23"/>
      <c r="I2093" s="23" t="str">
        <f>_xlfn.IFNA(VLOOKUP(A2093,A2094:$H$3524,8,0),"")</f>
        <v/>
      </c>
      <c r="J2093" s="40" t="str">
        <f t="shared" si="169"/>
        <v/>
      </c>
      <c r="K2093" s="24" t="str">
        <f t="shared" si="170"/>
        <v/>
      </c>
      <c r="L2093" s="25" t="str">
        <f t="shared" si="166"/>
        <v/>
      </c>
      <c r="M2093" s="37"/>
      <c r="N2093" s="37"/>
      <c r="O2093" s="33" t="str">
        <f t="shared" si="167"/>
        <v/>
      </c>
      <c r="P2093" s="33" t="str">
        <f t="shared" si="168"/>
        <v/>
      </c>
      <c r="X2093" s="1"/>
    </row>
    <row r="2094" spans="7:24">
      <c r="G2094" s="21"/>
      <c r="H2094" s="23"/>
      <c r="I2094" s="23" t="str">
        <f>_xlfn.IFNA(VLOOKUP(A2094,A2095:$H$3524,8,0),"")</f>
        <v/>
      </c>
      <c r="J2094" s="40" t="str">
        <f t="shared" si="169"/>
        <v/>
      </c>
      <c r="K2094" s="24" t="str">
        <f t="shared" si="170"/>
        <v/>
      </c>
      <c r="L2094" s="25" t="str">
        <f t="shared" si="166"/>
        <v/>
      </c>
      <c r="M2094" s="37"/>
      <c r="N2094" s="37"/>
      <c r="O2094" s="33" t="str">
        <f t="shared" si="167"/>
        <v/>
      </c>
      <c r="P2094" s="33" t="str">
        <f t="shared" si="168"/>
        <v/>
      </c>
      <c r="X2094" s="1"/>
    </row>
    <row r="2095" spans="7:24">
      <c r="G2095" s="21"/>
      <c r="H2095" s="23"/>
      <c r="I2095" s="23" t="str">
        <f>_xlfn.IFNA(VLOOKUP(A2095,A2096:$H$3524,8,0),"")</f>
        <v/>
      </c>
      <c r="J2095" s="40" t="str">
        <f t="shared" si="169"/>
        <v/>
      </c>
      <c r="K2095" s="24" t="str">
        <f t="shared" si="170"/>
        <v/>
      </c>
      <c r="L2095" s="25" t="str">
        <f t="shared" si="166"/>
        <v/>
      </c>
      <c r="M2095" s="37"/>
      <c r="N2095" s="37"/>
      <c r="O2095" s="33" t="str">
        <f t="shared" si="167"/>
        <v/>
      </c>
      <c r="P2095" s="33" t="str">
        <f t="shared" si="168"/>
        <v/>
      </c>
      <c r="X2095" s="1"/>
    </row>
    <row r="2096" spans="7:24">
      <c r="G2096" s="21"/>
      <c r="H2096" s="23"/>
      <c r="I2096" s="23" t="str">
        <f>_xlfn.IFNA(VLOOKUP(A2096,A2097:$H$3524,8,0),"")</f>
        <v/>
      </c>
      <c r="J2096" s="40" t="str">
        <f t="shared" si="169"/>
        <v/>
      </c>
      <c r="K2096" s="24" t="str">
        <f t="shared" si="170"/>
        <v/>
      </c>
      <c r="L2096" s="25" t="str">
        <f t="shared" si="166"/>
        <v/>
      </c>
      <c r="M2096" s="37"/>
      <c r="N2096" s="37"/>
      <c r="O2096" s="33" t="str">
        <f t="shared" si="167"/>
        <v/>
      </c>
      <c r="P2096" s="33" t="str">
        <f t="shared" si="168"/>
        <v/>
      </c>
      <c r="X2096" s="1"/>
    </row>
    <row r="2097" spans="7:24">
      <c r="G2097" s="21"/>
      <c r="H2097" s="23"/>
      <c r="I2097" s="23" t="str">
        <f>_xlfn.IFNA(VLOOKUP(A2097,A2098:$H$3524,8,0),"")</f>
        <v/>
      </c>
      <c r="J2097" s="40" t="str">
        <f t="shared" si="169"/>
        <v/>
      </c>
      <c r="K2097" s="24" t="str">
        <f t="shared" si="170"/>
        <v/>
      </c>
      <c r="L2097" s="25" t="str">
        <f t="shared" si="166"/>
        <v/>
      </c>
      <c r="M2097" s="37"/>
      <c r="N2097" s="37"/>
      <c r="O2097" s="33" t="str">
        <f t="shared" si="167"/>
        <v/>
      </c>
      <c r="P2097" s="33" t="str">
        <f t="shared" si="168"/>
        <v/>
      </c>
      <c r="X2097" s="1"/>
    </row>
    <row r="2098" spans="7:24">
      <c r="G2098" s="21"/>
      <c r="H2098" s="23"/>
      <c r="I2098" s="23" t="str">
        <f>_xlfn.IFNA(VLOOKUP(A2098,A2099:$H$3524,8,0),"")</f>
        <v/>
      </c>
      <c r="J2098" s="40" t="str">
        <f t="shared" si="169"/>
        <v/>
      </c>
      <c r="K2098" s="24" t="str">
        <f t="shared" si="170"/>
        <v/>
      </c>
      <c r="L2098" s="25" t="str">
        <f t="shared" si="166"/>
        <v/>
      </c>
      <c r="M2098" s="37"/>
      <c r="N2098" s="37"/>
      <c r="O2098" s="33" t="str">
        <f t="shared" si="167"/>
        <v/>
      </c>
      <c r="P2098" s="33" t="str">
        <f t="shared" si="168"/>
        <v/>
      </c>
      <c r="X2098" s="1"/>
    </row>
    <row r="2099" spans="7:24">
      <c r="G2099" s="21"/>
      <c r="H2099" s="23"/>
      <c r="I2099" s="23" t="str">
        <f>_xlfn.IFNA(VLOOKUP(A2099,A2100:$H$3524,8,0),"")</f>
        <v/>
      </c>
      <c r="J2099" s="40" t="str">
        <f t="shared" si="169"/>
        <v/>
      </c>
      <c r="K2099" s="24" t="str">
        <f t="shared" si="170"/>
        <v/>
      </c>
      <c r="L2099" s="25" t="str">
        <f t="shared" si="166"/>
        <v/>
      </c>
      <c r="M2099" s="37"/>
      <c r="N2099" s="37"/>
      <c r="O2099" s="33" t="str">
        <f t="shared" si="167"/>
        <v/>
      </c>
      <c r="P2099" s="33" t="str">
        <f t="shared" si="168"/>
        <v/>
      </c>
      <c r="X2099" s="1"/>
    </row>
    <row r="2100" spans="7:24">
      <c r="G2100" s="21"/>
      <c r="H2100" s="23"/>
      <c r="I2100" s="23" t="str">
        <f>_xlfn.IFNA(VLOOKUP(A2100,A2101:$H$3524,8,0),"")</f>
        <v/>
      </c>
      <c r="J2100" s="40" t="str">
        <f t="shared" si="169"/>
        <v/>
      </c>
      <c r="K2100" s="24" t="str">
        <f t="shared" si="170"/>
        <v/>
      </c>
      <c r="L2100" s="25" t="str">
        <f t="shared" si="166"/>
        <v/>
      </c>
      <c r="M2100" s="37"/>
      <c r="N2100" s="37"/>
      <c r="O2100" s="33" t="str">
        <f t="shared" si="167"/>
        <v/>
      </c>
      <c r="P2100" s="33" t="str">
        <f t="shared" si="168"/>
        <v/>
      </c>
      <c r="X2100" s="1"/>
    </row>
    <row r="2101" spans="7:24">
      <c r="G2101" s="21"/>
      <c r="H2101" s="23"/>
      <c r="I2101" s="23" t="str">
        <f>_xlfn.IFNA(VLOOKUP(A2101,A2102:$H$3524,8,0),"")</f>
        <v/>
      </c>
      <c r="J2101" s="40" t="str">
        <f t="shared" si="169"/>
        <v/>
      </c>
      <c r="K2101" s="24" t="str">
        <f t="shared" si="170"/>
        <v/>
      </c>
      <c r="L2101" s="25" t="str">
        <f t="shared" si="166"/>
        <v/>
      </c>
      <c r="M2101" s="37"/>
      <c r="N2101" s="37"/>
      <c r="O2101" s="33" t="str">
        <f t="shared" si="167"/>
        <v/>
      </c>
      <c r="P2101" s="33" t="str">
        <f t="shared" si="168"/>
        <v/>
      </c>
      <c r="X2101" s="1"/>
    </row>
    <row r="2102" spans="7:24">
      <c r="G2102" s="21"/>
      <c r="H2102" s="23"/>
      <c r="I2102" s="23" t="str">
        <f>_xlfn.IFNA(VLOOKUP(A2102,A2103:$H$3524,8,0),"")</f>
        <v/>
      </c>
      <c r="J2102" s="40" t="str">
        <f t="shared" si="169"/>
        <v/>
      </c>
      <c r="K2102" s="24" t="str">
        <f t="shared" si="170"/>
        <v/>
      </c>
      <c r="L2102" s="25" t="str">
        <f t="shared" si="166"/>
        <v/>
      </c>
      <c r="M2102" s="37"/>
      <c r="N2102" s="37"/>
      <c r="O2102" s="33" t="str">
        <f t="shared" si="167"/>
        <v/>
      </c>
      <c r="P2102" s="33" t="str">
        <f t="shared" si="168"/>
        <v/>
      </c>
      <c r="X2102" s="1"/>
    </row>
    <row r="2103" spans="7:24">
      <c r="G2103" s="21"/>
      <c r="H2103" s="23"/>
      <c r="I2103" s="23" t="str">
        <f>_xlfn.IFNA(VLOOKUP(A2103,A2104:$H$3524,8,0),"")</f>
        <v/>
      </c>
      <c r="J2103" s="40" t="str">
        <f t="shared" si="169"/>
        <v/>
      </c>
      <c r="K2103" s="24" t="str">
        <f t="shared" si="170"/>
        <v/>
      </c>
      <c r="L2103" s="25" t="str">
        <f t="shared" ref="L2103:L2166" si="171">IF(K2103="","",IF(B2103="Break","Break",IF(K2103&lt;&gt;0,"Work Finished",IF(B2103="OFF","Work Finished",IF(I2103="","Working","Work Finished")))))</f>
        <v/>
      </c>
      <c r="M2103" s="37"/>
      <c r="N2103" s="37"/>
      <c r="O2103" s="33" t="str">
        <f t="shared" ref="O2103:O2166" si="172">IF(AND(J2103="",M2103="",N2103=""),"",J2103-M2103-N2103)</f>
        <v/>
      </c>
      <c r="P2103" s="33" t="str">
        <f t="shared" ref="P2103:P2166" si="173">IF(HOUR(H2103)=0,"",HOUR(H2103))</f>
        <v/>
      </c>
      <c r="X2103" s="1"/>
    </row>
    <row r="2104" spans="7:24">
      <c r="G2104" s="21"/>
      <c r="H2104" s="23"/>
      <c r="I2104" s="23" t="str">
        <f>_xlfn.IFNA(VLOOKUP(A2104,A2105:$H$3524,8,0),"")</f>
        <v/>
      </c>
      <c r="J2104" s="40" t="str">
        <f t="shared" si="169"/>
        <v/>
      </c>
      <c r="K2104" s="24" t="str">
        <f t="shared" si="170"/>
        <v/>
      </c>
      <c r="L2104" s="25" t="str">
        <f t="shared" si="171"/>
        <v/>
      </c>
      <c r="M2104" s="37"/>
      <c r="N2104" s="37"/>
      <c r="O2104" s="33" t="str">
        <f t="shared" si="172"/>
        <v/>
      </c>
      <c r="P2104" s="33" t="str">
        <f t="shared" si="173"/>
        <v/>
      </c>
      <c r="X2104" s="1"/>
    </row>
    <row r="2105" spans="7:24">
      <c r="G2105" s="21"/>
      <c r="H2105" s="23"/>
      <c r="I2105" s="23" t="str">
        <f>_xlfn.IFNA(VLOOKUP(A2105,A2106:$H$3524,8,0),"")</f>
        <v/>
      </c>
      <c r="J2105" s="40" t="str">
        <f t="shared" si="169"/>
        <v/>
      </c>
      <c r="K2105" s="24" t="str">
        <f t="shared" si="170"/>
        <v/>
      </c>
      <c r="L2105" s="25" t="str">
        <f t="shared" si="171"/>
        <v/>
      </c>
      <c r="M2105" s="37"/>
      <c r="N2105" s="37"/>
      <c r="O2105" s="33" t="str">
        <f t="shared" si="172"/>
        <v/>
      </c>
      <c r="P2105" s="33" t="str">
        <f t="shared" si="173"/>
        <v/>
      </c>
      <c r="X2105" s="1"/>
    </row>
    <row r="2106" spans="7:24">
      <c r="G2106" s="21"/>
      <c r="H2106" s="23"/>
      <c r="I2106" s="23" t="str">
        <f>_xlfn.IFNA(VLOOKUP(A2106,A2107:$H$3524,8,0),"")</f>
        <v/>
      </c>
      <c r="J2106" s="40" t="str">
        <f t="shared" si="169"/>
        <v/>
      </c>
      <c r="K2106" s="24" t="str">
        <f t="shared" si="170"/>
        <v/>
      </c>
      <c r="L2106" s="25" t="str">
        <f t="shared" si="171"/>
        <v/>
      </c>
      <c r="M2106" s="37"/>
      <c r="N2106" s="37"/>
      <c r="O2106" s="33" t="str">
        <f t="shared" si="172"/>
        <v/>
      </c>
      <c r="P2106" s="33" t="str">
        <f t="shared" si="173"/>
        <v/>
      </c>
      <c r="X2106" s="1"/>
    </row>
    <row r="2107" spans="7:24">
      <c r="G2107" s="21"/>
      <c r="H2107" s="23"/>
      <c r="I2107" s="23" t="str">
        <f>_xlfn.IFNA(VLOOKUP(A2107,A2108:$H$3524,8,0),"")</f>
        <v/>
      </c>
      <c r="J2107" s="40" t="str">
        <f t="shared" si="169"/>
        <v/>
      </c>
      <c r="K2107" s="24" t="str">
        <f t="shared" si="170"/>
        <v/>
      </c>
      <c r="L2107" s="25" t="str">
        <f t="shared" si="171"/>
        <v/>
      </c>
      <c r="M2107" s="37"/>
      <c r="N2107" s="37"/>
      <c r="O2107" s="33" t="str">
        <f t="shared" si="172"/>
        <v/>
      </c>
      <c r="P2107" s="33" t="str">
        <f t="shared" si="173"/>
        <v/>
      </c>
      <c r="X2107" s="1"/>
    </row>
    <row r="2108" spans="7:24">
      <c r="G2108" s="21"/>
      <c r="H2108" s="23"/>
      <c r="I2108" s="23" t="str">
        <f>_xlfn.IFNA(VLOOKUP(A2108,A2109:$H$3524,8,0),"")</f>
        <v/>
      </c>
      <c r="J2108" s="40" t="str">
        <f t="shared" si="169"/>
        <v/>
      </c>
      <c r="K2108" s="24" t="str">
        <f t="shared" si="170"/>
        <v/>
      </c>
      <c r="L2108" s="25" t="str">
        <f t="shared" si="171"/>
        <v/>
      </c>
      <c r="M2108" s="37"/>
      <c r="N2108" s="37"/>
      <c r="O2108" s="33" t="str">
        <f t="shared" si="172"/>
        <v/>
      </c>
      <c r="P2108" s="33" t="str">
        <f t="shared" si="173"/>
        <v/>
      </c>
      <c r="X2108" s="1"/>
    </row>
    <row r="2109" spans="7:24">
      <c r="G2109" s="21"/>
      <c r="H2109" s="23"/>
      <c r="I2109" s="23" t="str">
        <f>_xlfn.IFNA(VLOOKUP(A2109,A2110:$H$3524,8,0),"")</f>
        <v/>
      </c>
      <c r="J2109" s="40" t="str">
        <f t="shared" si="169"/>
        <v/>
      </c>
      <c r="K2109" s="24" t="str">
        <f t="shared" si="170"/>
        <v/>
      </c>
      <c r="L2109" s="25" t="str">
        <f t="shared" si="171"/>
        <v/>
      </c>
      <c r="M2109" s="37"/>
      <c r="N2109" s="37"/>
      <c r="O2109" s="33" t="str">
        <f t="shared" si="172"/>
        <v/>
      </c>
      <c r="P2109" s="33" t="str">
        <f t="shared" si="173"/>
        <v/>
      </c>
      <c r="X2109" s="1"/>
    </row>
    <row r="2110" spans="7:24">
      <c r="G2110" s="21"/>
      <c r="H2110" s="23"/>
      <c r="I2110" s="23" t="str">
        <f>_xlfn.IFNA(VLOOKUP(A2110,A2111:$H$3524,8,0),"")</f>
        <v/>
      </c>
      <c r="J2110" s="40" t="str">
        <f t="shared" si="169"/>
        <v/>
      </c>
      <c r="K2110" s="24" t="str">
        <f t="shared" si="170"/>
        <v/>
      </c>
      <c r="L2110" s="25" t="str">
        <f t="shared" si="171"/>
        <v/>
      </c>
      <c r="M2110" s="37"/>
      <c r="N2110" s="37"/>
      <c r="O2110" s="33" t="str">
        <f t="shared" si="172"/>
        <v/>
      </c>
      <c r="P2110" s="33" t="str">
        <f t="shared" si="173"/>
        <v/>
      </c>
      <c r="X2110" s="1"/>
    </row>
    <row r="2111" spans="7:24">
      <c r="G2111" s="21"/>
      <c r="H2111" s="23"/>
      <c r="I2111" s="23" t="str">
        <f>_xlfn.IFNA(VLOOKUP(A2111,A2112:$H$3524,8,0),"")</f>
        <v/>
      </c>
      <c r="J2111" s="40" t="str">
        <f t="shared" si="169"/>
        <v/>
      </c>
      <c r="K2111" s="24" t="str">
        <f t="shared" si="170"/>
        <v/>
      </c>
      <c r="L2111" s="25" t="str">
        <f t="shared" si="171"/>
        <v/>
      </c>
      <c r="M2111" s="37"/>
      <c r="N2111" s="37"/>
      <c r="O2111" s="33" t="str">
        <f t="shared" si="172"/>
        <v/>
      </c>
      <c r="P2111" s="33" t="str">
        <f t="shared" si="173"/>
        <v/>
      </c>
      <c r="X2111" s="1"/>
    </row>
    <row r="2112" spans="7:24">
      <c r="G2112" s="21"/>
      <c r="H2112" s="23"/>
      <c r="I2112" s="23" t="str">
        <f>_xlfn.IFNA(VLOOKUP(A2112,A2113:$H$3524,8,0),"")</f>
        <v/>
      </c>
      <c r="J2112" s="40" t="str">
        <f t="shared" si="169"/>
        <v/>
      </c>
      <c r="K2112" s="24" t="str">
        <f t="shared" si="170"/>
        <v/>
      </c>
      <c r="L2112" s="25" t="str">
        <f t="shared" si="171"/>
        <v/>
      </c>
      <c r="M2112" s="37"/>
      <c r="N2112" s="37"/>
      <c r="O2112" s="33" t="str">
        <f t="shared" si="172"/>
        <v/>
      </c>
      <c r="P2112" s="33" t="str">
        <f t="shared" si="173"/>
        <v/>
      </c>
      <c r="X2112" s="1"/>
    </row>
    <row r="2113" spans="7:24">
      <c r="G2113" s="21"/>
      <c r="H2113" s="23"/>
      <c r="I2113" s="23" t="str">
        <f>_xlfn.IFNA(VLOOKUP(A2113,A2114:$H$3524,8,0),"")</f>
        <v/>
      </c>
      <c r="J2113" s="40" t="str">
        <f t="shared" si="169"/>
        <v/>
      </c>
      <c r="K2113" s="24" t="str">
        <f t="shared" si="170"/>
        <v/>
      </c>
      <c r="L2113" s="25" t="str">
        <f t="shared" si="171"/>
        <v/>
      </c>
      <c r="M2113" s="37"/>
      <c r="N2113" s="37"/>
      <c r="O2113" s="33" t="str">
        <f t="shared" si="172"/>
        <v/>
      </c>
      <c r="P2113" s="33" t="str">
        <f t="shared" si="173"/>
        <v/>
      </c>
      <c r="X2113" s="1"/>
    </row>
    <row r="2114" spans="7:24">
      <c r="G2114" s="21"/>
      <c r="H2114" s="23"/>
      <c r="I2114" s="23" t="str">
        <f>_xlfn.IFNA(VLOOKUP(A2114,A2115:$H$3524,8,0),"")</f>
        <v/>
      </c>
      <c r="J2114" s="40" t="str">
        <f t="shared" si="169"/>
        <v/>
      </c>
      <c r="K2114" s="24" t="str">
        <f t="shared" si="170"/>
        <v/>
      </c>
      <c r="L2114" s="25" t="str">
        <f t="shared" si="171"/>
        <v/>
      </c>
      <c r="M2114" s="37"/>
      <c r="N2114" s="37"/>
      <c r="O2114" s="33" t="str">
        <f t="shared" si="172"/>
        <v/>
      </c>
      <c r="P2114" s="33" t="str">
        <f t="shared" si="173"/>
        <v/>
      </c>
      <c r="X2114" s="1"/>
    </row>
    <row r="2115" spans="7:24">
      <c r="G2115" s="21"/>
      <c r="H2115" s="23"/>
      <c r="I2115" s="23" t="str">
        <f>_xlfn.IFNA(VLOOKUP(A2115,A2116:$H$3524,8,0),"")</f>
        <v/>
      </c>
      <c r="J2115" s="40" t="str">
        <f t="shared" si="169"/>
        <v/>
      </c>
      <c r="K2115" s="24" t="str">
        <f t="shared" si="170"/>
        <v/>
      </c>
      <c r="L2115" s="25" t="str">
        <f t="shared" si="171"/>
        <v/>
      </c>
      <c r="M2115" s="37"/>
      <c r="N2115" s="37"/>
      <c r="O2115" s="33" t="str">
        <f t="shared" si="172"/>
        <v/>
      </c>
      <c r="P2115" s="33" t="str">
        <f t="shared" si="173"/>
        <v/>
      </c>
      <c r="X2115" s="1"/>
    </row>
    <row r="2116" spans="7:24">
      <c r="G2116" s="21"/>
      <c r="H2116" s="23"/>
      <c r="I2116" s="23" t="str">
        <f>_xlfn.IFNA(VLOOKUP(A2116,A2117:$H$3524,8,0),"")</f>
        <v/>
      </c>
      <c r="J2116" s="40" t="str">
        <f t="shared" si="169"/>
        <v/>
      </c>
      <c r="K2116" s="24" t="str">
        <f t="shared" si="170"/>
        <v/>
      </c>
      <c r="L2116" s="25" t="str">
        <f t="shared" si="171"/>
        <v/>
      </c>
      <c r="M2116" s="37"/>
      <c r="N2116" s="37"/>
      <c r="O2116" s="33" t="str">
        <f t="shared" si="172"/>
        <v/>
      </c>
      <c r="P2116" s="33" t="str">
        <f t="shared" si="173"/>
        <v/>
      </c>
      <c r="X2116" s="1"/>
    </row>
    <row r="2117" spans="7:24">
      <c r="G2117" s="21"/>
      <c r="H2117" s="23"/>
      <c r="I2117" s="23" t="str">
        <f>_xlfn.IFNA(VLOOKUP(A2117,A2118:$H$3524,8,0),"")</f>
        <v/>
      </c>
      <c r="J2117" s="40" t="str">
        <f t="shared" si="169"/>
        <v/>
      </c>
      <c r="K2117" s="24" t="str">
        <f t="shared" si="170"/>
        <v/>
      </c>
      <c r="L2117" s="25" t="str">
        <f t="shared" si="171"/>
        <v/>
      </c>
      <c r="M2117" s="37"/>
      <c r="N2117" s="37"/>
      <c r="O2117" s="33" t="str">
        <f t="shared" si="172"/>
        <v/>
      </c>
      <c r="P2117" s="33" t="str">
        <f t="shared" si="173"/>
        <v/>
      </c>
      <c r="X2117" s="1"/>
    </row>
    <row r="2118" spans="7:24">
      <c r="G2118" s="21"/>
      <c r="H2118" s="23"/>
      <c r="I2118" s="23" t="str">
        <f>_xlfn.IFNA(VLOOKUP(A2118,A2119:$H$3524,8,0),"")</f>
        <v/>
      </c>
      <c r="J2118" s="40" t="str">
        <f t="shared" ref="J2118:J2181" si="174">IF(B2118="OFF",0,IF(AND(D2118&lt;&gt;"",E2118&lt;&gt;""),E2118-D2118+1,""))</f>
        <v/>
      </c>
      <c r="K2118" s="24" t="str">
        <f t="shared" si="170"/>
        <v/>
      </c>
      <c r="L2118" s="25" t="str">
        <f t="shared" si="171"/>
        <v/>
      </c>
      <c r="M2118" s="37"/>
      <c r="N2118" s="37"/>
      <c r="O2118" s="33" t="str">
        <f t="shared" si="172"/>
        <v/>
      </c>
      <c r="P2118" s="33" t="str">
        <f t="shared" si="173"/>
        <v/>
      </c>
      <c r="X2118" s="1"/>
    </row>
    <row r="2119" spans="7:24">
      <c r="G2119" s="21"/>
      <c r="H2119" s="23"/>
      <c r="I2119" s="23" t="str">
        <f>_xlfn.IFNA(VLOOKUP(A2119,A2120:$H$3524,8,0),"")</f>
        <v/>
      </c>
      <c r="J2119" s="40" t="str">
        <f t="shared" si="174"/>
        <v/>
      </c>
      <c r="K2119" s="24" t="str">
        <f t="shared" si="170"/>
        <v/>
      </c>
      <c r="L2119" s="25" t="str">
        <f t="shared" si="171"/>
        <v/>
      </c>
      <c r="M2119" s="37"/>
      <c r="N2119" s="37"/>
      <c r="O2119" s="33" t="str">
        <f t="shared" si="172"/>
        <v/>
      </c>
      <c r="P2119" s="33" t="str">
        <f t="shared" si="173"/>
        <v/>
      </c>
      <c r="X2119" s="1"/>
    </row>
    <row r="2120" spans="7:24">
      <c r="G2120" s="21"/>
      <c r="H2120" s="23"/>
      <c r="I2120" s="23" t="str">
        <f>_xlfn.IFNA(VLOOKUP(A2120,A2121:$H$3524,8,0),"")</f>
        <v/>
      </c>
      <c r="J2120" s="40" t="str">
        <f t="shared" si="174"/>
        <v/>
      </c>
      <c r="K2120" s="24" t="str">
        <f t="shared" si="170"/>
        <v/>
      </c>
      <c r="L2120" s="25" t="str">
        <f t="shared" si="171"/>
        <v/>
      </c>
      <c r="M2120" s="37"/>
      <c r="N2120" s="37"/>
      <c r="O2120" s="33" t="str">
        <f t="shared" si="172"/>
        <v/>
      </c>
      <c r="P2120" s="33" t="str">
        <f t="shared" si="173"/>
        <v/>
      </c>
      <c r="X2120" s="1"/>
    </row>
    <row r="2121" spans="7:24">
      <c r="G2121" s="21"/>
      <c r="H2121" s="23"/>
      <c r="I2121" s="23" t="str">
        <f>_xlfn.IFNA(VLOOKUP(A2121,A2122:$H$3524,8,0),"")</f>
        <v/>
      </c>
      <c r="J2121" s="40" t="str">
        <f t="shared" si="174"/>
        <v/>
      </c>
      <c r="K2121" s="24" t="str">
        <f t="shared" si="170"/>
        <v/>
      </c>
      <c r="L2121" s="25" t="str">
        <f t="shared" si="171"/>
        <v/>
      </c>
      <c r="M2121" s="37"/>
      <c r="N2121" s="37"/>
      <c r="O2121" s="33" t="str">
        <f t="shared" si="172"/>
        <v/>
      </c>
      <c r="P2121" s="33" t="str">
        <f t="shared" si="173"/>
        <v/>
      </c>
      <c r="X2121" s="1"/>
    </row>
    <row r="2122" spans="7:24">
      <c r="G2122" s="21"/>
      <c r="H2122" s="23"/>
      <c r="I2122" s="23" t="str">
        <f>_xlfn.IFNA(VLOOKUP(A2122,A2123:$H$3524,8,0),"")</f>
        <v/>
      </c>
      <c r="J2122" s="40" t="str">
        <f t="shared" si="174"/>
        <v/>
      </c>
      <c r="K2122" s="24" t="str">
        <f t="shared" si="170"/>
        <v/>
      </c>
      <c r="L2122" s="25" t="str">
        <f t="shared" si="171"/>
        <v/>
      </c>
      <c r="M2122" s="37"/>
      <c r="N2122" s="37"/>
      <c r="O2122" s="33" t="str">
        <f t="shared" si="172"/>
        <v/>
      </c>
      <c r="P2122" s="33" t="str">
        <f t="shared" si="173"/>
        <v/>
      </c>
      <c r="X2122" s="1"/>
    </row>
    <row r="2123" spans="7:24">
      <c r="G2123" s="21"/>
      <c r="H2123" s="23"/>
      <c r="I2123" s="23" t="str">
        <f>_xlfn.IFNA(VLOOKUP(A2123,A2124:$H$3524,8,0),"")</f>
        <v/>
      </c>
      <c r="J2123" s="40" t="str">
        <f t="shared" si="174"/>
        <v/>
      </c>
      <c r="K2123" s="24" t="str">
        <f t="shared" si="170"/>
        <v/>
      </c>
      <c r="L2123" s="25" t="str">
        <f t="shared" si="171"/>
        <v/>
      </c>
      <c r="M2123" s="37"/>
      <c r="N2123" s="37"/>
      <c r="O2123" s="33" t="str">
        <f t="shared" si="172"/>
        <v/>
      </c>
      <c r="P2123" s="33" t="str">
        <f t="shared" si="173"/>
        <v/>
      </c>
      <c r="X2123" s="1"/>
    </row>
    <row r="2124" spans="7:24">
      <c r="G2124" s="21"/>
      <c r="H2124" s="23"/>
      <c r="I2124" s="23" t="str">
        <f>_xlfn.IFNA(VLOOKUP(A2124,A2125:$H$3524,8,0),"")</f>
        <v/>
      </c>
      <c r="J2124" s="40" t="str">
        <f t="shared" si="174"/>
        <v/>
      </c>
      <c r="K2124" s="24" t="str">
        <f t="shared" si="170"/>
        <v/>
      </c>
      <c r="L2124" s="25" t="str">
        <f t="shared" si="171"/>
        <v/>
      </c>
      <c r="M2124" s="37"/>
      <c r="N2124" s="37"/>
      <c r="O2124" s="33" t="str">
        <f t="shared" si="172"/>
        <v/>
      </c>
      <c r="P2124" s="33" t="str">
        <f t="shared" si="173"/>
        <v/>
      </c>
      <c r="X2124" s="1"/>
    </row>
    <row r="2125" spans="7:24">
      <c r="G2125" s="21"/>
      <c r="H2125" s="23"/>
      <c r="I2125" s="23" t="str">
        <f>_xlfn.IFNA(VLOOKUP(A2125,A2126:$H$3524,8,0),"")</f>
        <v/>
      </c>
      <c r="J2125" s="40" t="str">
        <f t="shared" si="174"/>
        <v/>
      </c>
      <c r="K2125" s="24" t="str">
        <f t="shared" si="170"/>
        <v/>
      </c>
      <c r="L2125" s="25" t="str">
        <f t="shared" si="171"/>
        <v/>
      </c>
      <c r="M2125" s="37"/>
      <c r="N2125" s="37"/>
      <c r="O2125" s="33" t="str">
        <f t="shared" si="172"/>
        <v/>
      </c>
      <c r="P2125" s="33" t="str">
        <f t="shared" si="173"/>
        <v/>
      </c>
      <c r="X2125" s="1"/>
    </row>
    <row r="2126" spans="7:24">
      <c r="G2126" s="21"/>
      <c r="H2126" s="23"/>
      <c r="I2126" s="23" t="str">
        <f>_xlfn.IFNA(VLOOKUP(A2126,A2127:$H$3524,8,0),"")</f>
        <v/>
      </c>
      <c r="J2126" s="40" t="str">
        <f t="shared" si="174"/>
        <v/>
      </c>
      <c r="K2126" s="24" t="str">
        <f t="shared" si="170"/>
        <v/>
      </c>
      <c r="L2126" s="25" t="str">
        <f t="shared" si="171"/>
        <v/>
      </c>
      <c r="M2126" s="37"/>
      <c r="N2126" s="37"/>
      <c r="O2126" s="33" t="str">
        <f t="shared" si="172"/>
        <v/>
      </c>
      <c r="P2126" s="33" t="str">
        <f t="shared" si="173"/>
        <v/>
      </c>
      <c r="X2126" s="1"/>
    </row>
    <row r="2127" spans="7:24">
      <c r="G2127" s="21"/>
      <c r="H2127" s="23"/>
      <c r="I2127" s="23" t="str">
        <f>_xlfn.IFNA(VLOOKUP(A2127,A2128:$H$3524,8,0),"")</f>
        <v/>
      </c>
      <c r="J2127" s="40" t="str">
        <f t="shared" si="174"/>
        <v/>
      </c>
      <c r="K2127" s="24" t="str">
        <f t="shared" si="170"/>
        <v/>
      </c>
      <c r="L2127" s="25" t="str">
        <f t="shared" si="171"/>
        <v/>
      </c>
      <c r="M2127" s="37"/>
      <c r="N2127" s="37"/>
      <c r="O2127" s="33" t="str">
        <f t="shared" si="172"/>
        <v/>
      </c>
      <c r="P2127" s="33" t="str">
        <f t="shared" si="173"/>
        <v/>
      </c>
      <c r="X2127" s="1"/>
    </row>
    <row r="2128" spans="7:24">
      <c r="G2128" s="21"/>
      <c r="H2128" s="23"/>
      <c r="I2128" s="23" t="str">
        <f>_xlfn.IFNA(VLOOKUP(A2128,A2129:$H$3524,8,0),"")</f>
        <v/>
      </c>
      <c r="J2128" s="40" t="str">
        <f t="shared" si="174"/>
        <v/>
      </c>
      <c r="K2128" s="24" t="str">
        <f t="shared" si="170"/>
        <v/>
      </c>
      <c r="L2128" s="25" t="str">
        <f t="shared" si="171"/>
        <v/>
      </c>
      <c r="M2128" s="37"/>
      <c r="N2128" s="37"/>
      <c r="O2128" s="33" t="str">
        <f t="shared" si="172"/>
        <v/>
      </c>
      <c r="P2128" s="33" t="str">
        <f t="shared" si="173"/>
        <v/>
      </c>
      <c r="X2128" s="1"/>
    </row>
    <row r="2129" spans="7:24">
      <c r="G2129" s="21"/>
      <c r="H2129" s="23"/>
      <c r="I2129" s="23" t="str">
        <f>_xlfn.IFNA(VLOOKUP(A2129,A2130:$H$3524,8,0),"")</f>
        <v/>
      </c>
      <c r="J2129" s="40" t="str">
        <f t="shared" si="174"/>
        <v/>
      </c>
      <c r="K2129" s="24" t="str">
        <f t="shared" si="170"/>
        <v/>
      </c>
      <c r="L2129" s="25" t="str">
        <f t="shared" si="171"/>
        <v/>
      </c>
      <c r="M2129" s="37"/>
      <c r="N2129" s="37"/>
      <c r="O2129" s="33" t="str">
        <f t="shared" si="172"/>
        <v/>
      </c>
      <c r="P2129" s="33" t="str">
        <f t="shared" si="173"/>
        <v/>
      </c>
      <c r="X2129" s="1"/>
    </row>
    <row r="2130" spans="7:24">
      <c r="G2130" s="21"/>
      <c r="H2130" s="23"/>
      <c r="I2130" s="23" t="str">
        <f>_xlfn.IFNA(VLOOKUP(A2130,A2131:$H$3524,8,0),"")</f>
        <v/>
      </c>
      <c r="J2130" s="40" t="str">
        <f t="shared" si="174"/>
        <v/>
      </c>
      <c r="K2130" s="24" t="str">
        <f t="shared" si="170"/>
        <v/>
      </c>
      <c r="L2130" s="25" t="str">
        <f t="shared" si="171"/>
        <v/>
      </c>
      <c r="M2130" s="37"/>
      <c r="N2130" s="37"/>
      <c r="O2130" s="33" t="str">
        <f t="shared" si="172"/>
        <v/>
      </c>
      <c r="P2130" s="33" t="str">
        <f t="shared" si="173"/>
        <v/>
      </c>
      <c r="X2130" s="1"/>
    </row>
    <row r="2131" spans="7:24">
      <c r="G2131" s="21"/>
      <c r="H2131" s="23"/>
      <c r="I2131" s="23" t="str">
        <f>_xlfn.IFNA(VLOOKUP(A2131,A2132:$H$3524,8,0),"")</f>
        <v/>
      </c>
      <c r="J2131" s="40" t="str">
        <f t="shared" si="174"/>
        <v/>
      </c>
      <c r="K2131" s="24" t="str">
        <f t="shared" si="170"/>
        <v/>
      </c>
      <c r="L2131" s="25" t="str">
        <f t="shared" si="171"/>
        <v/>
      </c>
      <c r="M2131" s="37"/>
      <c r="N2131" s="37"/>
      <c r="O2131" s="33" t="str">
        <f t="shared" si="172"/>
        <v/>
      </c>
      <c r="P2131" s="33" t="str">
        <f t="shared" si="173"/>
        <v/>
      </c>
      <c r="X2131" s="1"/>
    </row>
    <row r="2132" spans="7:24">
      <c r="G2132" s="21"/>
      <c r="H2132" s="23"/>
      <c r="I2132" s="23" t="str">
        <f>_xlfn.IFNA(VLOOKUP(A2132,A2133:$H$3524,8,0),"")</f>
        <v/>
      </c>
      <c r="J2132" s="40" t="str">
        <f t="shared" si="174"/>
        <v/>
      </c>
      <c r="K2132" s="24" t="str">
        <f t="shared" si="170"/>
        <v/>
      </c>
      <c r="L2132" s="25" t="str">
        <f t="shared" si="171"/>
        <v/>
      </c>
      <c r="M2132" s="37"/>
      <c r="N2132" s="37"/>
      <c r="O2132" s="33" t="str">
        <f t="shared" si="172"/>
        <v/>
      </c>
      <c r="P2132" s="33" t="str">
        <f t="shared" si="173"/>
        <v/>
      </c>
      <c r="X2132" s="1"/>
    </row>
    <row r="2133" spans="7:24">
      <c r="G2133" s="21"/>
      <c r="H2133" s="23"/>
      <c r="I2133" s="23" t="str">
        <f>_xlfn.IFNA(VLOOKUP(A2133,A2134:$H$3524,8,0),"")</f>
        <v/>
      </c>
      <c r="J2133" s="40" t="str">
        <f t="shared" si="174"/>
        <v/>
      </c>
      <c r="K2133" s="24" t="str">
        <f t="shared" si="170"/>
        <v/>
      </c>
      <c r="L2133" s="25" t="str">
        <f t="shared" si="171"/>
        <v/>
      </c>
      <c r="M2133" s="37"/>
      <c r="N2133" s="37"/>
      <c r="O2133" s="33" t="str">
        <f t="shared" si="172"/>
        <v/>
      </c>
      <c r="P2133" s="33" t="str">
        <f t="shared" si="173"/>
        <v/>
      </c>
      <c r="X2133" s="1"/>
    </row>
    <row r="2134" spans="7:24">
      <c r="G2134" s="21"/>
      <c r="H2134" s="23"/>
      <c r="I2134" s="23" t="str">
        <f>_xlfn.IFNA(VLOOKUP(A2134,A2135:$H$3524,8,0),"")</f>
        <v/>
      </c>
      <c r="J2134" s="40" t="str">
        <f t="shared" si="174"/>
        <v/>
      </c>
      <c r="K2134" s="24" t="str">
        <f t="shared" ref="K2134:K2197" si="175">IF(H2134="","",IFERROR((I2134-H2134)*24,0))</f>
        <v/>
      </c>
      <c r="L2134" s="25" t="str">
        <f t="shared" si="171"/>
        <v/>
      </c>
      <c r="M2134" s="37"/>
      <c r="N2134" s="37"/>
      <c r="O2134" s="33" t="str">
        <f t="shared" si="172"/>
        <v/>
      </c>
      <c r="P2134" s="33" t="str">
        <f t="shared" si="173"/>
        <v/>
      </c>
      <c r="X2134" s="1"/>
    </row>
    <row r="2135" spans="7:24">
      <c r="G2135" s="21"/>
      <c r="H2135" s="23"/>
      <c r="I2135" s="23" t="str">
        <f>_xlfn.IFNA(VLOOKUP(A2135,A2136:$H$3524,8,0),"")</f>
        <v/>
      </c>
      <c r="J2135" s="40" t="str">
        <f t="shared" si="174"/>
        <v/>
      </c>
      <c r="K2135" s="24" t="str">
        <f t="shared" si="175"/>
        <v/>
      </c>
      <c r="L2135" s="25" t="str">
        <f t="shared" si="171"/>
        <v/>
      </c>
      <c r="M2135" s="37"/>
      <c r="N2135" s="37"/>
      <c r="O2135" s="33" t="str">
        <f t="shared" si="172"/>
        <v/>
      </c>
      <c r="P2135" s="33" t="str">
        <f t="shared" si="173"/>
        <v/>
      </c>
      <c r="X2135" s="1"/>
    </row>
    <row r="2136" spans="7:24">
      <c r="G2136" s="21"/>
      <c r="H2136" s="23"/>
      <c r="I2136" s="23" t="str">
        <f>_xlfn.IFNA(VLOOKUP(A2136,A2137:$H$3524,8,0),"")</f>
        <v/>
      </c>
      <c r="J2136" s="40" t="str">
        <f t="shared" si="174"/>
        <v/>
      </c>
      <c r="K2136" s="24" t="str">
        <f t="shared" si="175"/>
        <v/>
      </c>
      <c r="L2136" s="25" t="str">
        <f t="shared" si="171"/>
        <v/>
      </c>
      <c r="M2136" s="37"/>
      <c r="N2136" s="37"/>
      <c r="O2136" s="33" t="str">
        <f t="shared" si="172"/>
        <v/>
      </c>
      <c r="P2136" s="33" t="str">
        <f t="shared" si="173"/>
        <v/>
      </c>
      <c r="X2136" s="1"/>
    </row>
    <row r="2137" spans="7:24">
      <c r="G2137" s="21"/>
      <c r="H2137" s="23"/>
      <c r="I2137" s="23" t="str">
        <f>_xlfn.IFNA(VLOOKUP(A2137,A2138:$H$3524,8,0),"")</f>
        <v/>
      </c>
      <c r="J2137" s="40" t="str">
        <f t="shared" si="174"/>
        <v/>
      </c>
      <c r="K2137" s="24" t="str">
        <f t="shared" si="175"/>
        <v/>
      </c>
      <c r="L2137" s="25" t="str">
        <f t="shared" si="171"/>
        <v/>
      </c>
      <c r="M2137" s="37"/>
      <c r="N2137" s="37"/>
      <c r="O2137" s="33" t="str">
        <f t="shared" si="172"/>
        <v/>
      </c>
      <c r="P2137" s="33" t="str">
        <f t="shared" si="173"/>
        <v/>
      </c>
      <c r="X2137" s="1"/>
    </row>
    <row r="2138" spans="7:24">
      <c r="G2138" s="21"/>
      <c r="H2138" s="23"/>
      <c r="I2138" s="23" t="str">
        <f>_xlfn.IFNA(VLOOKUP(A2138,A2139:$H$3524,8,0),"")</f>
        <v/>
      </c>
      <c r="J2138" s="40" t="str">
        <f t="shared" si="174"/>
        <v/>
      </c>
      <c r="K2138" s="24" t="str">
        <f t="shared" si="175"/>
        <v/>
      </c>
      <c r="L2138" s="25" t="str">
        <f t="shared" si="171"/>
        <v/>
      </c>
      <c r="M2138" s="37"/>
      <c r="N2138" s="37"/>
      <c r="O2138" s="33" t="str">
        <f t="shared" si="172"/>
        <v/>
      </c>
      <c r="P2138" s="33" t="str">
        <f t="shared" si="173"/>
        <v/>
      </c>
      <c r="X2138" s="1"/>
    </row>
    <row r="2139" spans="7:24">
      <c r="G2139" s="21"/>
      <c r="H2139" s="23"/>
      <c r="I2139" s="23" t="str">
        <f>_xlfn.IFNA(VLOOKUP(A2139,A2140:$H$3524,8,0),"")</f>
        <v/>
      </c>
      <c r="J2139" s="40" t="str">
        <f t="shared" si="174"/>
        <v/>
      </c>
      <c r="K2139" s="24" t="str">
        <f t="shared" si="175"/>
        <v/>
      </c>
      <c r="L2139" s="25" t="str">
        <f t="shared" si="171"/>
        <v/>
      </c>
      <c r="M2139" s="37"/>
      <c r="N2139" s="37"/>
      <c r="O2139" s="33" t="str">
        <f t="shared" si="172"/>
        <v/>
      </c>
      <c r="P2139" s="33" t="str">
        <f t="shared" si="173"/>
        <v/>
      </c>
      <c r="X2139" s="1"/>
    </row>
    <row r="2140" spans="7:24">
      <c r="G2140" s="21"/>
      <c r="H2140" s="23"/>
      <c r="I2140" s="23" t="str">
        <f>_xlfn.IFNA(VLOOKUP(A2140,A2141:$H$3524,8,0),"")</f>
        <v/>
      </c>
      <c r="J2140" s="40" t="str">
        <f t="shared" si="174"/>
        <v/>
      </c>
      <c r="K2140" s="24" t="str">
        <f t="shared" si="175"/>
        <v/>
      </c>
      <c r="L2140" s="25" t="str">
        <f t="shared" si="171"/>
        <v/>
      </c>
      <c r="M2140" s="37"/>
      <c r="N2140" s="37"/>
      <c r="O2140" s="33" t="str">
        <f t="shared" si="172"/>
        <v/>
      </c>
      <c r="P2140" s="33" t="str">
        <f t="shared" si="173"/>
        <v/>
      </c>
      <c r="X2140" s="1"/>
    </row>
    <row r="2141" spans="7:24">
      <c r="G2141" s="21"/>
      <c r="H2141" s="23"/>
      <c r="I2141" s="23" t="str">
        <f>_xlfn.IFNA(VLOOKUP(A2141,A2142:$H$3524,8,0),"")</f>
        <v/>
      </c>
      <c r="J2141" s="40" t="str">
        <f t="shared" si="174"/>
        <v/>
      </c>
      <c r="K2141" s="24" t="str">
        <f t="shared" si="175"/>
        <v/>
      </c>
      <c r="L2141" s="25" t="str">
        <f t="shared" si="171"/>
        <v/>
      </c>
      <c r="M2141" s="37"/>
      <c r="N2141" s="37"/>
      <c r="O2141" s="33" t="str">
        <f t="shared" si="172"/>
        <v/>
      </c>
      <c r="P2141" s="33" t="str">
        <f t="shared" si="173"/>
        <v/>
      </c>
      <c r="X2141" s="1"/>
    </row>
    <row r="2142" spans="7:24">
      <c r="G2142" s="21"/>
      <c r="H2142" s="23"/>
      <c r="I2142" s="23" t="str">
        <f>_xlfn.IFNA(VLOOKUP(A2142,A2143:$H$3524,8,0),"")</f>
        <v/>
      </c>
      <c r="J2142" s="40" t="str">
        <f t="shared" si="174"/>
        <v/>
      </c>
      <c r="K2142" s="24" t="str">
        <f t="shared" si="175"/>
        <v/>
      </c>
      <c r="L2142" s="25" t="str">
        <f t="shared" si="171"/>
        <v/>
      </c>
      <c r="M2142" s="37"/>
      <c r="N2142" s="37"/>
      <c r="O2142" s="33" t="str">
        <f t="shared" si="172"/>
        <v/>
      </c>
      <c r="P2142" s="33" t="str">
        <f t="shared" si="173"/>
        <v/>
      </c>
      <c r="X2142" s="1"/>
    </row>
    <row r="2143" spans="7:24">
      <c r="G2143" s="21"/>
      <c r="H2143" s="23"/>
      <c r="I2143" s="23" t="str">
        <f>_xlfn.IFNA(VLOOKUP(A2143,A2144:$H$3524,8,0),"")</f>
        <v/>
      </c>
      <c r="J2143" s="40" t="str">
        <f t="shared" si="174"/>
        <v/>
      </c>
      <c r="K2143" s="24" t="str">
        <f t="shared" si="175"/>
        <v/>
      </c>
      <c r="L2143" s="25" t="str">
        <f t="shared" si="171"/>
        <v/>
      </c>
      <c r="M2143" s="37"/>
      <c r="N2143" s="37"/>
      <c r="O2143" s="33" t="str">
        <f t="shared" si="172"/>
        <v/>
      </c>
      <c r="P2143" s="33" t="str">
        <f t="shared" si="173"/>
        <v/>
      </c>
      <c r="X2143" s="1"/>
    </row>
    <row r="2144" spans="7:24">
      <c r="G2144" s="21"/>
      <c r="H2144" s="23"/>
      <c r="I2144" s="23" t="str">
        <f>_xlfn.IFNA(VLOOKUP(A2144,A2145:$H$3524,8,0),"")</f>
        <v/>
      </c>
      <c r="J2144" s="40" t="str">
        <f t="shared" si="174"/>
        <v/>
      </c>
      <c r="K2144" s="24" t="str">
        <f t="shared" si="175"/>
        <v/>
      </c>
      <c r="L2144" s="25" t="str">
        <f t="shared" si="171"/>
        <v/>
      </c>
      <c r="M2144" s="37"/>
      <c r="N2144" s="37"/>
      <c r="O2144" s="33" t="str">
        <f t="shared" si="172"/>
        <v/>
      </c>
      <c r="P2144" s="33" t="str">
        <f t="shared" si="173"/>
        <v/>
      </c>
      <c r="X2144" s="1"/>
    </row>
    <row r="2145" spans="7:24">
      <c r="G2145" s="21"/>
      <c r="H2145" s="23"/>
      <c r="I2145" s="23" t="str">
        <f>_xlfn.IFNA(VLOOKUP(A2145,A2146:$H$3524,8,0),"")</f>
        <v/>
      </c>
      <c r="J2145" s="40" t="str">
        <f t="shared" si="174"/>
        <v/>
      </c>
      <c r="K2145" s="24" t="str">
        <f t="shared" si="175"/>
        <v/>
      </c>
      <c r="L2145" s="25" t="str">
        <f t="shared" si="171"/>
        <v/>
      </c>
      <c r="M2145" s="37"/>
      <c r="N2145" s="37"/>
      <c r="O2145" s="33" t="str">
        <f t="shared" si="172"/>
        <v/>
      </c>
      <c r="P2145" s="33" t="str">
        <f t="shared" si="173"/>
        <v/>
      </c>
      <c r="X2145" s="1"/>
    </row>
    <row r="2146" spans="7:24">
      <c r="G2146" s="21"/>
      <c r="H2146" s="23"/>
      <c r="I2146" s="23" t="str">
        <f>_xlfn.IFNA(VLOOKUP(A2146,A2147:$H$3524,8,0),"")</f>
        <v/>
      </c>
      <c r="J2146" s="40" t="str">
        <f t="shared" si="174"/>
        <v/>
      </c>
      <c r="K2146" s="24" t="str">
        <f t="shared" si="175"/>
        <v/>
      </c>
      <c r="L2146" s="25" t="str">
        <f t="shared" si="171"/>
        <v/>
      </c>
      <c r="M2146" s="37"/>
      <c r="N2146" s="37"/>
      <c r="O2146" s="33" t="str">
        <f t="shared" si="172"/>
        <v/>
      </c>
      <c r="P2146" s="33" t="str">
        <f t="shared" si="173"/>
        <v/>
      </c>
      <c r="X2146" s="1"/>
    </row>
    <row r="2147" spans="7:24">
      <c r="G2147" s="21"/>
      <c r="H2147" s="23"/>
      <c r="I2147" s="23" t="str">
        <f>_xlfn.IFNA(VLOOKUP(A2147,A2148:$H$3524,8,0),"")</f>
        <v/>
      </c>
      <c r="J2147" s="40" t="str">
        <f t="shared" si="174"/>
        <v/>
      </c>
      <c r="K2147" s="24" t="str">
        <f t="shared" si="175"/>
        <v/>
      </c>
      <c r="L2147" s="25" t="str">
        <f t="shared" si="171"/>
        <v/>
      </c>
      <c r="M2147" s="37"/>
      <c r="N2147" s="37"/>
      <c r="O2147" s="33" t="str">
        <f t="shared" si="172"/>
        <v/>
      </c>
      <c r="P2147" s="33" t="str">
        <f t="shared" si="173"/>
        <v/>
      </c>
      <c r="X2147" s="1"/>
    </row>
    <row r="2148" spans="7:24">
      <c r="G2148" s="21"/>
      <c r="H2148" s="23"/>
      <c r="I2148" s="23" t="str">
        <f>_xlfn.IFNA(VLOOKUP(A2148,A2149:$H$3524,8,0),"")</f>
        <v/>
      </c>
      <c r="J2148" s="40" t="str">
        <f t="shared" si="174"/>
        <v/>
      </c>
      <c r="K2148" s="24" t="str">
        <f t="shared" si="175"/>
        <v/>
      </c>
      <c r="L2148" s="25" t="str">
        <f t="shared" si="171"/>
        <v/>
      </c>
      <c r="M2148" s="37"/>
      <c r="N2148" s="37"/>
      <c r="O2148" s="33" t="str">
        <f t="shared" si="172"/>
        <v/>
      </c>
      <c r="P2148" s="33" t="str">
        <f t="shared" si="173"/>
        <v/>
      </c>
      <c r="X2148" s="1"/>
    </row>
    <row r="2149" spans="7:24">
      <c r="G2149" s="21"/>
      <c r="H2149" s="23"/>
      <c r="I2149" s="23" t="str">
        <f>_xlfn.IFNA(VLOOKUP(A2149,A2150:$H$3524,8,0),"")</f>
        <v/>
      </c>
      <c r="J2149" s="40" t="str">
        <f t="shared" si="174"/>
        <v/>
      </c>
      <c r="K2149" s="24" t="str">
        <f t="shared" si="175"/>
        <v/>
      </c>
      <c r="L2149" s="25" t="str">
        <f t="shared" si="171"/>
        <v/>
      </c>
      <c r="M2149" s="37"/>
      <c r="N2149" s="37"/>
      <c r="O2149" s="33" t="str">
        <f t="shared" si="172"/>
        <v/>
      </c>
      <c r="P2149" s="33" t="str">
        <f t="shared" si="173"/>
        <v/>
      </c>
      <c r="X2149" s="1"/>
    </row>
    <row r="2150" spans="7:24">
      <c r="G2150" s="21"/>
      <c r="H2150" s="23"/>
      <c r="I2150" s="23" t="str">
        <f>_xlfn.IFNA(VLOOKUP(A2150,A2151:$H$3524,8,0),"")</f>
        <v/>
      </c>
      <c r="J2150" s="40" t="str">
        <f t="shared" si="174"/>
        <v/>
      </c>
      <c r="K2150" s="24" t="str">
        <f t="shared" si="175"/>
        <v/>
      </c>
      <c r="L2150" s="25" t="str">
        <f t="shared" si="171"/>
        <v/>
      </c>
      <c r="M2150" s="37"/>
      <c r="N2150" s="37"/>
      <c r="O2150" s="33" t="str">
        <f t="shared" si="172"/>
        <v/>
      </c>
      <c r="P2150" s="33" t="str">
        <f t="shared" si="173"/>
        <v/>
      </c>
      <c r="X2150" s="1"/>
    </row>
    <row r="2151" spans="7:24">
      <c r="G2151" s="21"/>
      <c r="H2151" s="23"/>
      <c r="I2151" s="23" t="str">
        <f>_xlfn.IFNA(VLOOKUP(A2151,A2152:$H$3524,8,0),"")</f>
        <v/>
      </c>
      <c r="J2151" s="40" t="str">
        <f t="shared" si="174"/>
        <v/>
      </c>
      <c r="K2151" s="24" t="str">
        <f t="shared" si="175"/>
        <v/>
      </c>
      <c r="L2151" s="25" t="str">
        <f t="shared" si="171"/>
        <v/>
      </c>
      <c r="M2151" s="37"/>
      <c r="N2151" s="37"/>
      <c r="O2151" s="33" t="str">
        <f t="shared" si="172"/>
        <v/>
      </c>
      <c r="P2151" s="33" t="str">
        <f t="shared" si="173"/>
        <v/>
      </c>
      <c r="X2151" s="1"/>
    </row>
    <row r="2152" spans="7:24">
      <c r="G2152" s="21"/>
      <c r="H2152" s="23"/>
      <c r="I2152" s="23" t="str">
        <f>_xlfn.IFNA(VLOOKUP(A2152,A2153:$H$3524,8,0),"")</f>
        <v/>
      </c>
      <c r="J2152" s="40" t="str">
        <f t="shared" si="174"/>
        <v/>
      </c>
      <c r="K2152" s="24" t="str">
        <f t="shared" si="175"/>
        <v/>
      </c>
      <c r="L2152" s="25" t="str">
        <f t="shared" si="171"/>
        <v/>
      </c>
      <c r="M2152" s="37"/>
      <c r="N2152" s="37"/>
      <c r="O2152" s="33" t="str">
        <f t="shared" si="172"/>
        <v/>
      </c>
      <c r="P2152" s="33" t="str">
        <f t="shared" si="173"/>
        <v/>
      </c>
      <c r="X2152" s="1"/>
    </row>
    <row r="2153" spans="7:24">
      <c r="I2153" s="23" t="str">
        <f>_xlfn.IFNA(VLOOKUP(A2153,A2154:$H$3524,8,0),"")</f>
        <v/>
      </c>
      <c r="J2153" s="40" t="str">
        <f t="shared" si="174"/>
        <v/>
      </c>
      <c r="K2153" s="24" t="str">
        <f t="shared" si="175"/>
        <v/>
      </c>
      <c r="L2153" s="25" t="str">
        <f t="shared" si="171"/>
        <v/>
      </c>
      <c r="O2153" s="33" t="str">
        <f t="shared" si="172"/>
        <v/>
      </c>
      <c r="P2153" s="33" t="str">
        <f t="shared" si="173"/>
        <v/>
      </c>
      <c r="X2153" s="1"/>
    </row>
    <row r="2154" spans="7:24">
      <c r="I2154" s="23" t="str">
        <f>_xlfn.IFNA(VLOOKUP(A2154,A2155:$H$3524,8,0),"")</f>
        <v/>
      </c>
      <c r="J2154" s="40" t="str">
        <f t="shared" si="174"/>
        <v/>
      </c>
      <c r="K2154" s="24" t="str">
        <f t="shared" si="175"/>
        <v/>
      </c>
      <c r="L2154" s="25" t="str">
        <f t="shared" si="171"/>
        <v/>
      </c>
      <c r="O2154" s="33" t="str">
        <f t="shared" si="172"/>
        <v/>
      </c>
      <c r="P2154" s="33" t="str">
        <f t="shared" si="173"/>
        <v/>
      </c>
      <c r="X2154" s="1"/>
    </row>
    <row r="2155" spans="7:24">
      <c r="I2155" s="23" t="str">
        <f>_xlfn.IFNA(VLOOKUP(A2155,A2156:$H$3524,8,0),"")</f>
        <v/>
      </c>
      <c r="J2155" s="40" t="str">
        <f t="shared" si="174"/>
        <v/>
      </c>
      <c r="K2155" s="24" t="str">
        <f t="shared" si="175"/>
        <v/>
      </c>
      <c r="L2155" s="25" t="str">
        <f t="shared" si="171"/>
        <v/>
      </c>
      <c r="O2155" s="33" t="str">
        <f t="shared" si="172"/>
        <v/>
      </c>
      <c r="P2155" s="33" t="str">
        <f t="shared" si="173"/>
        <v/>
      </c>
      <c r="X2155" s="1"/>
    </row>
    <row r="2156" spans="7:24">
      <c r="I2156" s="23" t="str">
        <f>_xlfn.IFNA(VLOOKUP(A2156,A2157:$H$3524,8,0),"")</f>
        <v/>
      </c>
      <c r="J2156" s="40" t="str">
        <f t="shared" si="174"/>
        <v/>
      </c>
      <c r="K2156" s="24" t="str">
        <f t="shared" si="175"/>
        <v/>
      </c>
      <c r="L2156" s="25" t="str">
        <f t="shared" si="171"/>
        <v/>
      </c>
      <c r="O2156" s="33" t="str">
        <f t="shared" si="172"/>
        <v/>
      </c>
      <c r="P2156" s="33" t="str">
        <f t="shared" si="173"/>
        <v/>
      </c>
      <c r="X2156" s="1"/>
    </row>
    <row r="2157" spans="7:24">
      <c r="I2157" s="23" t="str">
        <f>_xlfn.IFNA(VLOOKUP(A2157,A2158:$H$3524,8,0),"")</f>
        <v/>
      </c>
      <c r="J2157" s="40" t="str">
        <f t="shared" si="174"/>
        <v/>
      </c>
      <c r="K2157" s="24" t="str">
        <f t="shared" si="175"/>
        <v/>
      </c>
      <c r="L2157" s="25" t="str">
        <f t="shared" si="171"/>
        <v/>
      </c>
      <c r="O2157" s="33" t="str">
        <f t="shared" si="172"/>
        <v/>
      </c>
      <c r="P2157" s="33" t="str">
        <f t="shared" si="173"/>
        <v/>
      </c>
      <c r="X2157" s="1"/>
    </row>
    <row r="2158" spans="7:24">
      <c r="I2158" s="23" t="str">
        <f>_xlfn.IFNA(VLOOKUP(A2158,A2159:$H$3524,8,0),"")</f>
        <v/>
      </c>
      <c r="J2158" s="40" t="str">
        <f t="shared" si="174"/>
        <v/>
      </c>
      <c r="K2158" s="24" t="str">
        <f t="shared" si="175"/>
        <v/>
      </c>
      <c r="L2158" s="25" t="str">
        <f t="shared" si="171"/>
        <v/>
      </c>
      <c r="O2158" s="33" t="str">
        <f t="shared" si="172"/>
        <v/>
      </c>
      <c r="P2158" s="33" t="str">
        <f t="shared" si="173"/>
        <v/>
      </c>
      <c r="X2158" s="1"/>
    </row>
    <row r="2159" spans="7:24">
      <c r="I2159" s="23" t="str">
        <f>_xlfn.IFNA(VLOOKUP(A2159,A2160:$H$3524,8,0),"")</f>
        <v/>
      </c>
      <c r="J2159" s="40" t="str">
        <f t="shared" si="174"/>
        <v/>
      </c>
      <c r="K2159" s="24" t="str">
        <f t="shared" si="175"/>
        <v/>
      </c>
      <c r="L2159" s="25" t="str">
        <f t="shared" si="171"/>
        <v/>
      </c>
      <c r="O2159" s="33" t="str">
        <f t="shared" si="172"/>
        <v/>
      </c>
      <c r="P2159" s="33" t="str">
        <f t="shared" si="173"/>
        <v/>
      </c>
      <c r="X2159" s="1"/>
    </row>
    <row r="2160" spans="7:24">
      <c r="I2160" s="23" t="str">
        <f>_xlfn.IFNA(VLOOKUP(A2160,A2161:$H$3524,8,0),"")</f>
        <v/>
      </c>
      <c r="J2160" s="40" t="str">
        <f t="shared" si="174"/>
        <v/>
      </c>
      <c r="K2160" s="24" t="str">
        <f t="shared" si="175"/>
        <v/>
      </c>
      <c r="L2160" s="25" t="str">
        <f t="shared" si="171"/>
        <v/>
      </c>
      <c r="O2160" s="33" t="str">
        <f t="shared" si="172"/>
        <v/>
      </c>
      <c r="P2160" s="33" t="str">
        <f t="shared" si="173"/>
        <v/>
      </c>
      <c r="X2160" s="1"/>
    </row>
    <row r="2161" spans="9:24">
      <c r="I2161" s="23" t="str">
        <f>_xlfn.IFNA(VLOOKUP(A2161,A2162:$H$3524,8,0),"")</f>
        <v/>
      </c>
      <c r="J2161" s="40" t="str">
        <f t="shared" si="174"/>
        <v/>
      </c>
      <c r="K2161" s="24" t="str">
        <f t="shared" si="175"/>
        <v/>
      </c>
      <c r="L2161" s="25" t="str">
        <f t="shared" si="171"/>
        <v/>
      </c>
      <c r="O2161" s="33" t="str">
        <f t="shared" si="172"/>
        <v/>
      </c>
      <c r="P2161" s="33" t="str">
        <f t="shared" si="173"/>
        <v/>
      </c>
      <c r="X2161" s="1"/>
    </row>
    <row r="2162" spans="9:24">
      <c r="I2162" s="23" t="str">
        <f>_xlfn.IFNA(VLOOKUP(A2162,A2163:$H$3524,8,0),"")</f>
        <v/>
      </c>
      <c r="J2162" s="40" t="str">
        <f t="shared" si="174"/>
        <v/>
      </c>
      <c r="K2162" s="24" t="str">
        <f t="shared" si="175"/>
        <v/>
      </c>
      <c r="L2162" s="25" t="str">
        <f t="shared" si="171"/>
        <v/>
      </c>
      <c r="O2162" s="33" t="str">
        <f t="shared" si="172"/>
        <v/>
      </c>
      <c r="P2162" s="33" t="str">
        <f t="shared" si="173"/>
        <v/>
      </c>
      <c r="X2162" s="1"/>
    </row>
    <row r="2163" spans="9:24">
      <c r="I2163" s="23" t="str">
        <f>_xlfn.IFNA(VLOOKUP(A2163,A2164:$H$3524,8,0),"")</f>
        <v/>
      </c>
      <c r="J2163" s="40" t="str">
        <f t="shared" si="174"/>
        <v/>
      </c>
      <c r="K2163" s="24" t="str">
        <f t="shared" si="175"/>
        <v/>
      </c>
      <c r="L2163" s="25" t="str">
        <f t="shared" si="171"/>
        <v/>
      </c>
      <c r="O2163" s="33" t="str">
        <f t="shared" si="172"/>
        <v/>
      </c>
      <c r="P2163" s="33" t="str">
        <f t="shared" si="173"/>
        <v/>
      </c>
      <c r="X2163" s="1"/>
    </row>
    <row r="2164" spans="9:24">
      <c r="I2164" s="23" t="str">
        <f>_xlfn.IFNA(VLOOKUP(A2164,A2165:$H$3524,8,0),"")</f>
        <v/>
      </c>
      <c r="J2164" s="40" t="str">
        <f t="shared" si="174"/>
        <v/>
      </c>
      <c r="K2164" s="24" t="str">
        <f t="shared" si="175"/>
        <v/>
      </c>
      <c r="L2164" s="25" t="str">
        <f t="shared" si="171"/>
        <v/>
      </c>
      <c r="O2164" s="33" t="str">
        <f t="shared" si="172"/>
        <v/>
      </c>
      <c r="P2164" s="33" t="str">
        <f t="shared" si="173"/>
        <v/>
      </c>
      <c r="X2164" s="1"/>
    </row>
    <row r="2165" spans="9:24">
      <c r="I2165" s="23" t="str">
        <f>_xlfn.IFNA(VLOOKUP(A2165,A2166:$H$3524,8,0),"")</f>
        <v/>
      </c>
      <c r="J2165" s="40" t="str">
        <f t="shared" si="174"/>
        <v/>
      </c>
      <c r="K2165" s="24" t="str">
        <f t="shared" si="175"/>
        <v/>
      </c>
      <c r="L2165" s="25" t="str">
        <f t="shared" si="171"/>
        <v/>
      </c>
      <c r="O2165" s="33" t="str">
        <f t="shared" si="172"/>
        <v/>
      </c>
      <c r="P2165" s="33" t="str">
        <f t="shared" si="173"/>
        <v/>
      </c>
    </row>
    <row r="2166" spans="9:24">
      <c r="I2166" s="23" t="str">
        <f>_xlfn.IFNA(VLOOKUP(A2166,A2167:$H$3524,8,0),"")</f>
        <v/>
      </c>
      <c r="J2166" s="40" t="str">
        <f t="shared" si="174"/>
        <v/>
      </c>
      <c r="K2166" s="24" t="str">
        <f t="shared" si="175"/>
        <v/>
      </c>
      <c r="L2166" s="25" t="str">
        <f t="shared" si="171"/>
        <v/>
      </c>
      <c r="O2166" s="33" t="str">
        <f t="shared" si="172"/>
        <v/>
      </c>
      <c r="P2166" s="33" t="str">
        <f t="shared" si="173"/>
        <v/>
      </c>
    </row>
    <row r="2167" spans="9:24">
      <c r="I2167" s="23" t="str">
        <f>_xlfn.IFNA(VLOOKUP(A2167,A2168:$H$3524,8,0),"")</f>
        <v/>
      </c>
      <c r="J2167" s="40" t="str">
        <f t="shared" si="174"/>
        <v/>
      </c>
      <c r="K2167" s="24" t="str">
        <f t="shared" si="175"/>
        <v/>
      </c>
      <c r="L2167" s="25" t="str">
        <f t="shared" ref="L2167:L2230" si="176">IF(K2167="","",IF(B2167="Break","Break",IF(K2167&lt;&gt;0,"Work Finished",IF(B2167="OFF","Work Finished",IF(I2167="","Working","Work Finished")))))</f>
        <v/>
      </c>
      <c r="O2167" s="33" t="str">
        <f t="shared" ref="O2167:O2230" si="177">IF(AND(J2167="",M2167="",N2167=""),"",J2167-M2167-N2167)</f>
        <v/>
      </c>
      <c r="P2167" s="33" t="str">
        <f t="shared" ref="P2167:P2230" si="178">IF(HOUR(H2167)=0,"",HOUR(H2167))</f>
        <v/>
      </c>
    </row>
    <row r="2168" spans="9:24">
      <c r="I2168" s="23" t="str">
        <f>_xlfn.IFNA(VLOOKUP(A2168,A2169:$H$3524,8,0),"")</f>
        <v/>
      </c>
      <c r="J2168" s="40" t="str">
        <f t="shared" si="174"/>
        <v/>
      </c>
      <c r="K2168" s="24" t="str">
        <f t="shared" si="175"/>
        <v/>
      </c>
      <c r="L2168" s="25" t="str">
        <f t="shared" si="176"/>
        <v/>
      </c>
      <c r="O2168" s="33" t="str">
        <f t="shared" si="177"/>
        <v/>
      </c>
      <c r="P2168" s="33" t="str">
        <f t="shared" si="178"/>
        <v/>
      </c>
    </row>
    <row r="2169" spans="9:24">
      <c r="I2169" s="23" t="str">
        <f>_xlfn.IFNA(VLOOKUP(A2169,A2170:$H$3524,8,0),"")</f>
        <v/>
      </c>
      <c r="J2169" s="40" t="str">
        <f t="shared" si="174"/>
        <v/>
      </c>
      <c r="K2169" s="24" t="str">
        <f t="shared" si="175"/>
        <v/>
      </c>
      <c r="L2169" s="25" t="str">
        <f t="shared" si="176"/>
        <v/>
      </c>
      <c r="O2169" s="33" t="str">
        <f t="shared" si="177"/>
        <v/>
      </c>
      <c r="P2169" s="33" t="str">
        <f t="shared" si="178"/>
        <v/>
      </c>
    </row>
    <row r="2170" spans="9:24">
      <c r="I2170" s="23" t="str">
        <f>_xlfn.IFNA(VLOOKUP(A2170,A2171:$H$3524,8,0),"")</f>
        <v/>
      </c>
      <c r="J2170" s="40" t="str">
        <f t="shared" si="174"/>
        <v/>
      </c>
      <c r="K2170" s="24" t="str">
        <f t="shared" si="175"/>
        <v/>
      </c>
      <c r="L2170" s="25" t="str">
        <f t="shared" si="176"/>
        <v/>
      </c>
      <c r="O2170" s="33" t="str">
        <f t="shared" si="177"/>
        <v/>
      </c>
      <c r="P2170" s="33" t="str">
        <f t="shared" si="178"/>
        <v/>
      </c>
    </row>
    <row r="2171" spans="9:24">
      <c r="I2171" s="23" t="str">
        <f>_xlfn.IFNA(VLOOKUP(A2171,A2172:$H$3524,8,0),"")</f>
        <v/>
      </c>
      <c r="J2171" s="40" t="str">
        <f t="shared" si="174"/>
        <v/>
      </c>
      <c r="K2171" s="24" t="str">
        <f t="shared" si="175"/>
        <v/>
      </c>
      <c r="L2171" s="25" t="str">
        <f t="shared" si="176"/>
        <v/>
      </c>
      <c r="O2171" s="33" t="str">
        <f t="shared" si="177"/>
        <v/>
      </c>
      <c r="P2171" s="33" t="str">
        <f t="shared" si="178"/>
        <v/>
      </c>
    </row>
    <row r="2172" spans="9:24">
      <c r="I2172" s="23" t="str">
        <f>_xlfn.IFNA(VLOOKUP(A2172,A2173:$H$3524,8,0),"")</f>
        <v/>
      </c>
      <c r="J2172" s="40" t="str">
        <f t="shared" si="174"/>
        <v/>
      </c>
      <c r="K2172" s="24" t="str">
        <f t="shared" si="175"/>
        <v/>
      </c>
      <c r="L2172" s="25" t="str">
        <f t="shared" si="176"/>
        <v/>
      </c>
      <c r="O2172" s="33" t="str">
        <f t="shared" si="177"/>
        <v/>
      </c>
      <c r="P2172" s="33" t="str">
        <f t="shared" si="178"/>
        <v/>
      </c>
    </row>
    <row r="2173" spans="9:24">
      <c r="I2173" s="23" t="str">
        <f>_xlfn.IFNA(VLOOKUP(A2173,A2174:$H$3524,8,0),"")</f>
        <v/>
      </c>
      <c r="J2173" s="40" t="str">
        <f t="shared" si="174"/>
        <v/>
      </c>
      <c r="K2173" s="24" t="str">
        <f t="shared" si="175"/>
        <v/>
      </c>
      <c r="L2173" s="25" t="str">
        <f t="shared" si="176"/>
        <v/>
      </c>
      <c r="O2173" s="33" t="str">
        <f t="shared" si="177"/>
        <v/>
      </c>
      <c r="P2173" s="33" t="str">
        <f t="shared" si="178"/>
        <v/>
      </c>
    </row>
    <row r="2174" spans="9:24">
      <c r="I2174" s="23" t="str">
        <f>_xlfn.IFNA(VLOOKUP(A2174,A2175:$H$3524,8,0),"")</f>
        <v/>
      </c>
      <c r="J2174" s="40" t="str">
        <f t="shared" si="174"/>
        <v/>
      </c>
      <c r="K2174" s="24" t="str">
        <f t="shared" si="175"/>
        <v/>
      </c>
      <c r="L2174" s="25" t="str">
        <f t="shared" si="176"/>
        <v/>
      </c>
      <c r="O2174" s="33" t="str">
        <f t="shared" si="177"/>
        <v/>
      </c>
      <c r="P2174" s="33" t="str">
        <f t="shared" si="178"/>
        <v/>
      </c>
    </row>
    <row r="2175" spans="9:24">
      <c r="I2175" s="23" t="str">
        <f>_xlfn.IFNA(VLOOKUP(A2175,A2176:$H$3524,8,0),"")</f>
        <v/>
      </c>
      <c r="J2175" s="40" t="str">
        <f t="shared" si="174"/>
        <v/>
      </c>
      <c r="K2175" s="24" t="str">
        <f t="shared" si="175"/>
        <v/>
      </c>
      <c r="L2175" s="25" t="str">
        <f t="shared" si="176"/>
        <v/>
      </c>
      <c r="O2175" s="33" t="str">
        <f t="shared" si="177"/>
        <v/>
      </c>
      <c r="P2175" s="33" t="str">
        <f t="shared" si="178"/>
        <v/>
      </c>
    </row>
    <row r="2176" spans="9:24">
      <c r="I2176" s="23" t="str">
        <f>_xlfn.IFNA(VLOOKUP(A2176,A2177:$H$3524,8,0),"")</f>
        <v/>
      </c>
      <c r="J2176" s="40" t="str">
        <f t="shared" si="174"/>
        <v/>
      </c>
      <c r="K2176" s="24" t="str">
        <f t="shared" si="175"/>
        <v/>
      </c>
      <c r="L2176" s="25" t="str">
        <f t="shared" si="176"/>
        <v/>
      </c>
      <c r="O2176" s="33" t="str">
        <f t="shared" si="177"/>
        <v/>
      </c>
      <c r="P2176" s="33" t="str">
        <f t="shared" si="178"/>
        <v/>
      </c>
    </row>
    <row r="2177" spans="9:16">
      <c r="I2177" s="23" t="str">
        <f>_xlfn.IFNA(VLOOKUP(A2177,A2178:$H$3524,8,0),"")</f>
        <v/>
      </c>
      <c r="J2177" s="40" t="str">
        <f t="shared" si="174"/>
        <v/>
      </c>
      <c r="K2177" s="24" t="str">
        <f t="shared" si="175"/>
        <v/>
      </c>
      <c r="L2177" s="25" t="str">
        <f t="shared" si="176"/>
        <v/>
      </c>
      <c r="O2177" s="33" t="str">
        <f t="shared" si="177"/>
        <v/>
      </c>
      <c r="P2177" s="33" t="str">
        <f t="shared" si="178"/>
        <v/>
      </c>
    </row>
    <row r="2178" spans="9:16">
      <c r="I2178" s="23" t="str">
        <f>_xlfn.IFNA(VLOOKUP(A2178,A2179:$H$3524,8,0),"")</f>
        <v/>
      </c>
      <c r="J2178" s="40" t="str">
        <f t="shared" si="174"/>
        <v/>
      </c>
      <c r="K2178" s="24" t="str">
        <f t="shared" si="175"/>
        <v/>
      </c>
      <c r="L2178" s="25" t="str">
        <f t="shared" si="176"/>
        <v/>
      </c>
      <c r="O2178" s="33" t="str">
        <f t="shared" si="177"/>
        <v/>
      </c>
      <c r="P2178" s="33" t="str">
        <f t="shared" si="178"/>
        <v/>
      </c>
    </row>
    <row r="2179" spans="9:16">
      <c r="I2179" s="23" t="str">
        <f>_xlfn.IFNA(VLOOKUP(A2179,A2180:$H$3524,8,0),"")</f>
        <v/>
      </c>
      <c r="J2179" s="40" t="str">
        <f t="shared" si="174"/>
        <v/>
      </c>
      <c r="K2179" s="24" t="str">
        <f t="shared" si="175"/>
        <v/>
      </c>
      <c r="L2179" s="25" t="str">
        <f t="shared" si="176"/>
        <v/>
      </c>
      <c r="O2179" s="33" t="str">
        <f t="shared" si="177"/>
        <v/>
      </c>
      <c r="P2179" s="33" t="str">
        <f t="shared" si="178"/>
        <v/>
      </c>
    </row>
    <row r="2180" spans="9:16">
      <c r="I2180" s="23" t="str">
        <f>_xlfn.IFNA(VLOOKUP(A2180,A2181:$H$3524,8,0),"")</f>
        <v/>
      </c>
      <c r="J2180" s="40" t="str">
        <f t="shared" si="174"/>
        <v/>
      </c>
      <c r="K2180" s="24" t="str">
        <f t="shared" si="175"/>
        <v/>
      </c>
      <c r="L2180" s="25" t="str">
        <f t="shared" si="176"/>
        <v/>
      </c>
      <c r="O2180" s="33" t="str">
        <f t="shared" si="177"/>
        <v/>
      </c>
      <c r="P2180" s="33" t="str">
        <f t="shared" si="178"/>
        <v/>
      </c>
    </row>
    <row r="2181" spans="9:16">
      <c r="I2181" s="23" t="str">
        <f>_xlfn.IFNA(VLOOKUP(A2181,A2182:$H$3524,8,0),"")</f>
        <v/>
      </c>
      <c r="J2181" s="40" t="str">
        <f t="shared" si="174"/>
        <v/>
      </c>
      <c r="K2181" s="24" t="str">
        <f t="shared" si="175"/>
        <v/>
      </c>
      <c r="L2181" s="25" t="str">
        <f t="shared" si="176"/>
        <v/>
      </c>
      <c r="O2181" s="33" t="str">
        <f t="shared" si="177"/>
        <v/>
      </c>
      <c r="P2181" s="33" t="str">
        <f t="shared" si="178"/>
        <v/>
      </c>
    </row>
    <row r="2182" spans="9:16">
      <c r="I2182" s="23" t="str">
        <f>_xlfn.IFNA(VLOOKUP(A2182,A2183:$H$3524,8,0),"")</f>
        <v/>
      </c>
      <c r="J2182" s="40" t="str">
        <f t="shared" ref="J2182:J2245" si="179">IF(B2182="OFF",0,IF(AND(D2182&lt;&gt;"",E2182&lt;&gt;""),E2182-D2182+1,""))</f>
        <v/>
      </c>
      <c r="K2182" s="24" t="str">
        <f t="shared" si="175"/>
        <v/>
      </c>
      <c r="L2182" s="25" t="str">
        <f t="shared" si="176"/>
        <v/>
      </c>
      <c r="O2182" s="33" t="str">
        <f t="shared" si="177"/>
        <v/>
      </c>
      <c r="P2182" s="33" t="str">
        <f t="shared" si="178"/>
        <v/>
      </c>
    </row>
    <row r="2183" spans="9:16">
      <c r="I2183" s="23" t="str">
        <f>_xlfn.IFNA(VLOOKUP(A2183,A2184:$H$3524,8,0),"")</f>
        <v/>
      </c>
      <c r="J2183" s="40" t="str">
        <f t="shared" si="179"/>
        <v/>
      </c>
      <c r="K2183" s="24" t="str">
        <f t="shared" si="175"/>
        <v/>
      </c>
      <c r="L2183" s="25" t="str">
        <f t="shared" si="176"/>
        <v/>
      </c>
      <c r="O2183" s="33" t="str">
        <f t="shared" si="177"/>
        <v/>
      </c>
      <c r="P2183" s="33" t="str">
        <f t="shared" si="178"/>
        <v/>
      </c>
    </row>
    <row r="2184" spans="9:16">
      <c r="I2184" s="23" t="str">
        <f>_xlfn.IFNA(VLOOKUP(A2184,A2185:$H$3524,8,0),"")</f>
        <v/>
      </c>
      <c r="J2184" s="40" t="str">
        <f t="shared" si="179"/>
        <v/>
      </c>
      <c r="K2184" s="24" t="str">
        <f t="shared" si="175"/>
        <v/>
      </c>
      <c r="L2184" s="25" t="str">
        <f t="shared" si="176"/>
        <v/>
      </c>
      <c r="O2184" s="33" t="str">
        <f t="shared" si="177"/>
        <v/>
      </c>
      <c r="P2184" s="33" t="str">
        <f t="shared" si="178"/>
        <v/>
      </c>
    </row>
    <row r="2185" spans="9:16">
      <c r="I2185" s="23" t="str">
        <f>_xlfn.IFNA(VLOOKUP(A2185,A2186:$H$3524,8,0),"")</f>
        <v/>
      </c>
      <c r="J2185" s="40" t="str">
        <f t="shared" si="179"/>
        <v/>
      </c>
      <c r="K2185" s="24" t="str">
        <f t="shared" si="175"/>
        <v/>
      </c>
      <c r="L2185" s="25" t="str">
        <f t="shared" si="176"/>
        <v/>
      </c>
      <c r="O2185" s="33" t="str">
        <f t="shared" si="177"/>
        <v/>
      </c>
      <c r="P2185" s="33" t="str">
        <f t="shared" si="178"/>
        <v/>
      </c>
    </row>
    <row r="2186" spans="9:16">
      <c r="I2186" s="23" t="str">
        <f>_xlfn.IFNA(VLOOKUP(A2186,A2187:$H$3524,8,0),"")</f>
        <v/>
      </c>
      <c r="J2186" s="40" t="str">
        <f t="shared" si="179"/>
        <v/>
      </c>
      <c r="K2186" s="24" t="str">
        <f t="shared" si="175"/>
        <v/>
      </c>
      <c r="L2186" s="25" t="str">
        <f t="shared" si="176"/>
        <v/>
      </c>
      <c r="O2186" s="33" t="str">
        <f t="shared" si="177"/>
        <v/>
      </c>
      <c r="P2186" s="33" t="str">
        <f t="shared" si="178"/>
        <v/>
      </c>
    </row>
    <row r="2187" spans="9:16">
      <c r="I2187" s="23" t="str">
        <f>_xlfn.IFNA(VLOOKUP(A2187,A2188:$H$3524,8,0),"")</f>
        <v/>
      </c>
      <c r="J2187" s="40" t="str">
        <f t="shared" si="179"/>
        <v/>
      </c>
      <c r="K2187" s="24" t="str">
        <f t="shared" si="175"/>
        <v/>
      </c>
      <c r="L2187" s="25" t="str">
        <f t="shared" si="176"/>
        <v/>
      </c>
      <c r="O2187" s="33" t="str">
        <f t="shared" si="177"/>
        <v/>
      </c>
      <c r="P2187" s="33" t="str">
        <f t="shared" si="178"/>
        <v/>
      </c>
    </row>
    <row r="2188" spans="9:16">
      <c r="I2188" s="23" t="str">
        <f>_xlfn.IFNA(VLOOKUP(A2188,A2189:$H$3524,8,0),"")</f>
        <v/>
      </c>
      <c r="J2188" s="40" t="str">
        <f t="shared" si="179"/>
        <v/>
      </c>
      <c r="K2188" s="24" t="str">
        <f t="shared" si="175"/>
        <v/>
      </c>
      <c r="L2188" s="25" t="str">
        <f t="shared" si="176"/>
        <v/>
      </c>
      <c r="O2188" s="33" t="str">
        <f t="shared" si="177"/>
        <v/>
      </c>
      <c r="P2188" s="33" t="str">
        <f t="shared" si="178"/>
        <v/>
      </c>
    </row>
    <row r="2189" spans="9:16">
      <c r="I2189" s="23" t="str">
        <f>_xlfn.IFNA(VLOOKUP(A2189,A2190:$H$3524,8,0),"")</f>
        <v/>
      </c>
      <c r="J2189" s="40" t="str">
        <f t="shared" si="179"/>
        <v/>
      </c>
      <c r="K2189" s="24" t="str">
        <f t="shared" si="175"/>
        <v/>
      </c>
      <c r="L2189" s="25" t="str">
        <f t="shared" si="176"/>
        <v/>
      </c>
      <c r="O2189" s="33" t="str">
        <f t="shared" si="177"/>
        <v/>
      </c>
      <c r="P2189" s="33" t="str">
        <f t="shared" si="178"/>
        <v/>
      </c>
    </row>
    <row r="2190" spans="9:16">
      <c r="I2190" s="23" t="str">
        <f>_xlfn.IFNA(VLOOKUP(A2190,A2191:$H$3524,8,0),"")</f>
        <v/>
      </c>
      <c r="J2190" s="40" t="str">
        <f t="shared" si="179"/>
        <v/>
      </c>
      <c r="K2190" s="24" t="str">
        <f t="shared" si="175"/>
        <v/>
      </c>
      <c r="L2190" s="25" t="str">
        <f t="shared" si="176"/>
        <v/>
      </c>
      <c r="O2190" s="33" t="str">
        <f t="shared" si="177"/>
        <v/>
      </c>
      <c r="P2190" s="33" t="str">
        <f t="shared" si="178"/>
        <v/>
      </c>
    </row>
    <row r="2191" spans="9:16">
      <c r="I2191" s="23" t="str">
        <f>_xlfn.IFNA(VLOOKUP(A2191,A2192:$H$3524,8,0),"")</f>
        <v/>
      </c>
      <c r="J2191" s="40" t="str">
        <f t="shared" si="179"/>
        <v/>
      </c>
      <c r="K2191" s="24" t="str">
        <f t="shared" si="175"/>
        <v/>
      </c>
      <c r="L2191" s="25" t="str">
        <f t="shared" si="176"/>
        <v/>
      </c>
      <c r="O2191" s="33" t="str">
        <f t="shared" si="177"/>
        <v/>
      </c>
      <c r="P2191" s="33" t="str">
        <f t="shared" si="178"/>
        <v/>
      </c>
    </row>
    <row r="2192" spans="9:16">
      <c r="I2192" s="23" t="str">
        <f>_xlfn.IFNA(VLOOKUP(A2192,A2193:$H$3524,8,0),"")</f>
        <v/>
      </c>
      <c r="J2192" s="40" t="str">
        <f t="shared" si="179"/>
        <v/>
      </c>
      <c r="K2192" s="24" t="str">
        <f t="shared" si="175"/>
        <v/>
      </c>
      <c r="L2192" s="25" t="str">
        <f t="shared" si="176"/>
        <v/>
      </c>
      <c r="O2192" s="33" t="str">
        <f t="shared" si="177"/>
        <v/>
      </c>
      <c r="P2192" s="33" t="str">
        <f t="shared" si="178"/>
        <v/>
      </c>
    </row>
    <row r="2193" spans="9:16">
      <c r="I2193" s="23" t="str">
        <f>_xlfn.IFNA(VLOOKUP(A2193,A2194:$H$3524,8,0),"")</f>
        <v/>
      </c>
      <c r="J2193" s="40" t="str">
        <f t="shared" si="179"/>
        <v/>
      </c>
      <c r="K2193" s="24" t="str">
        <f t="shared" si="175"/>
        <v/>
      </c>
      <c r="L2193" s="25" t="str">
        <f t="shared" si="176"/>
        <v/>
      </c>
      <c r="O2193" s="33" t="str">
        <f t="shared" si="177"/>
        <v/>
      </c>
      <c r="P2193" s="33" t="str">
        <f t="shared" si="178"/>
        <v/>
      </c>
    </row>
    <row r="2194" spans="9:16">
      <c r="I2194" s="23" t="str">
        <f>_xlfn.IFNA(VLOOKUP(A2194,A2195:$H$3524,8,0),"")</f>
        <v/>
      </c>
      <c r="J2194" s="40" t="str">
        <f t="shared" si="179"/>
        <v/>
      </c>
      <c r="K2194" s="24" t="str">
        <f t="shared" si="175"/>
        <v/>
      </c>
      <c r="L2194" s="25" t="str">
        <f t="shared" si="176"/>
        <v/>
      </c>
      <c r="O2194" s="33" t="str">
        <f t="shared" si="177"/>
        <v/>
      </c>
      <c r="P2194" s="33" t="str">
        <f t="shared" si="178"/>
        <v/>
      </c>
    </row>
    <row r="2195" spans="9:16">
      <c r="I2195" s="23" t="str">
        <f>_xlfn.IFNA(VLOOKUP(A2195,A2196:$H$3524,8,0),"")</f>
        <v/>
      </c>
      <c r="J2195" s="40" t="str">
        <f t="shared" si="179"/>
        <v/>
      </c>
      <c r="K2195" s="24" t="str">
        <f t="shared" si="175"/>
        <v/>
      </c>
      <c r="L2195" s="25" t="str">
        <f t="shared" si="176"/>
        <v/>
      </c>
      <c r="O2195" s="33" t="str">
        <f t="shared" si="177"/>
        <v/>
      </c>
      <c r="P2195" s="33" t="str">
        <f t="shared" si="178"/>
        <v/>
      </c>
    </row>
    <row r="2196" spans="9:16">
      <c r="I2196" s="23" t="str">
        <f>_xlfn.IFNA(VLOOKUP(A2196,A2197:$H$3524,8,0),"")</f>
        <v/>
      </c>
      <c r="J2196" s="40" t="str">
        <f t="shared" si="179"/>
        <v/>
      </c>
      <c r="K2196" s="24" t="str">
        <f t="shared" si="175"/>
        <v/>
      </c>
      <c r="L2196" s="25" t="str">
        <f t="shared" si="176"/>
        <v/>
      </c>
      <c r="O2196" s="33" t="str">
        <f t="shared" si="177"/>
        <v/>
      </c>
      <c r="P2196" s="33" t="str">
        <f t="shared" si="178"/>
        <v/>
      </c>
    </row>
    <row r="2197" spans="9:16">
      <c r="I2197" s="23" t="str">
        <f>_xlfn.IFNA(VLOOKUP(A2197,A2198:$H$3524,8,0),"")</f>
        <v/>
      </c>
      <c r="J2197" s="40" t="str">
        <f t="shared" si="179"/>
        <v/>
      </c>
      <c r="K2197" s="24" t="str">
        <f t="shared" si="175"/>
        <v/>
      </c>
      <c r="L2197" s="25" t="str">
        <f t="shared" si="176"/>
        <v/>
      </c>
      <c r="O2197" s="33" t="str">
        <f t="shared" si="177"/>
        <v/>
      </c>
      <c r="P2197" s="33" t="str">
        <f t="shared" si="178"/>
        <v/>
      </c>
    </row>
    <row r="2198" spans="9:16">
      <c r="I2198" s="23" t="str">
        <f>_xlfn.IFNA(VLOOKUP(A2198,A2199:$H$3524,8,0),"")</f>
        <v/>
      </c>
      <c r="J2198" s="40" t="str">
        <f t="shared" si="179"/>
        <v/>
      </c>
      <c r="K2198" s="24" t="str">
        <f t="shared" ref="K2198:K2261" si="180">IF(H2198="","",IFERROR((I2198-H2198)*24,0))</f>
        <v/>
      </c>
      <c r="L2198" s="25" t="str">
        <f t="shared" si="176"/>
        <v/>
      </c>
      <c r="O2198" s="33" t="str">
        <f t="shared" si="177"/>
        <v/>
      </c>
      <c r="P2198" s="33" t="str">
        <f t="shared" si="178"/>
        <v/>
      </c>
    </row>
    <row r="2199" spans="9:16">
      <c r="I2199" s="23" t="str">
        <f>_xlfn.IFNA(VLOOKUP(A2199,A2200:$H$3524,8,0),"")</f>
        <v/>
      </c>
      <c r="J2199" s="40" t="str">
        <f t="shared" si="179"/>
        <v/>
      </c>
      <c r="K2199" s="24" t="str">
        <f t="shared" si="180"/>
        <v/>
      </c>
      <c r="L2199" s="25" t="str">
        <f t="shared" si="176"/>
        <v/>
      </c>
      <c r="O2199" s="33" t="str">
        <f t="shared" si="177"/>
        <v/>
      </c>
      <c r="P2199" s="33" t="str">
        <f t="shared" si="178"/>
        <v/>
      </c>
    </row>
    <row r="2200" spans="9:16">
      <c r="I2200" s="23" t="str">
        <f>_xlfn.IFNA(VLOOKUP(A2200,A2201:$H$3524,8,0),"")</f>
        <v/>
      </c>
      <c r="J2200" s="40" t="str">
        <f t="shared" si="179"/>
        <v/>
      </c>
      <c r="K2200" s="24" t="str">
        <f t="shared" si="180"/>
        <v/>
      </c>
      <c r="L2200" s="25" t="str">
        <f t="shared" si="176"/>
        <v/>
      </c>
      <c r="O2200" s="33" t="str">
        <f t="shared" si="177"/>
        <v/>
      </c>
      <c r="P2200" s="33" t="str">
        <f t="shared" si="178"/>
        <v/>
      </c>
    </row>
    <row r="2201" spans="9:16">
      <c r="I2201" s="23" t="str">
        <f>_xlfn.IFNA(VLOOKUP(A2201,A2202:$H$3524,8,0),"")</f>
        <v/>
      </c>
      <c r="J2201" s="40" t="str">
        <f t="shared" si="179"/>
        <v/>
      </c>
      <c r="K2201" s="24" t="str">
        <f t="shared" si="180"/>
        <v/>
      </c>
      <c r="L2201" s="25" t="str">
        <f t="shared" si="176"/>
        <v/>
      </c>
      <c r="O2201" s="33" t="str">
        <f t="shared" si="177"/>
        <v/>
      </c>
      <c r="P2201" s="33" t="str">
        <f t="shared" si="178"/>
        <v/>
      </c>
    </row>
    <row r="2202" spans="9:16">
      <c r="I2202" s="23" t="str">
        <f>_xlfn.IFNA(VLOOKUP(A2202,A2203:$H$3524,8,0),"")</f>
        <v/>
      </c>
      <c r="J2202" s="40" t="str">
        <f t="shared" si="179"/>
        <v/>
      </c>
      <c r="K2202" s="24" t="str">
        <f t="shared" si="180"/>
        <v/>
      </c>
      <c r="L2202" s="25" t="str">
        <f t="shared" si="176"/>
        <v/>
      </c>
      <c r="O2202" s="33" t="str">
        <f t="shared" si="177"/>
        <v/>
      </c>
      <c r="P2202" s="33" t="str">
        <f t="shared" si="178"/>
        <v/>
      </c>
    </row>
    <row r="2203" spans="9:16">
      <c r="I2203" s="23" t="str">
        <f>_xlfn.IFNA(VLOOKUP(A2203,A2204:$H$3524,8,0),"")</f>
        <v/>
      </c>
      <c r="J2203" s="40" t="str">
        <f t="shared" si="179"/>
        <v/>
      </c>
      <c r="K2203" s="24" t="str">
        <f t="shared" si="180"/>
        <v/>
      </c>
      <c r="L2203" s="25" t="str">
        <f t="shared" si="176"/>
        <v/>
      </c>
      <c r="O2203" s="33" t="str">
        <f t="shared" si="177"/>
        <v/>
      </c>
      <c r="P2203" s="33" t="str">
        <f t="shared" si="178"/>
        <v/>
      </c>
    </row>
    <row r="2204" spans="9:16">
      <c r="I2204" s="23" t="str">
        <f>_xlfn.IFNA(VLOOKUP(A2204,A2205:$H$3524,8,0),"")</f>
        <v/>
      </c>
      <c r="J2204" s="40" t="str">
        <f t="shared" si="179"/>
        <v/>
      </c>
      <c r="K2204" s="24" t="str">
        <f t="shared" si="180"/>
        <v/>
      </c>
      <c r="L2204" s="25" t="str">
        <f t="shared" si="176"/>
        <v/>
      </c>
      <c r="O2204" s="33" t="str">
        <f t="shared" si="177"/>
        <v/>
      </c>
      <c r="P2204" s="33" t="str">
        <f t="shared" si="178"/>
        <v/>
      </c>
    </row>
    <row r="2205" spans="9:16">
      <c r="I2205" s="23" t="str">
        <f>_xlfn.IFNA(VLOOKUP(A2205,A2206:$H$3524,8,0),"")</f>
        <v/>
      </c>
      <c r="J2205" s="40" t="str">
        <f t="shared" si="179"/>
        <v/>
      </c>
      <c r="K2205" s="24" t="str">
        <f t="shared" si="180"/>
        <v/>
      </c>
      <c r="L2205" s="25" t="str">
        <f t="shared" si="176"/>
        <v/>
      </c>
      <c r="O2205" s="33" t="str">
        <f t="shared" si="177"/>
        <v/>
      </c>
      <c r="P2205" s="33" t="str">
        <f t="shared" si="178"/>
        <v/>
      </c>
    </row>
    <row r="2206" spans="9:16">
      <c r="I2206" s="23" t="str">
        <f>_xlfn.IFNA(VLOOKUP(A2206,A2207:$H$3524,8,0),"")</f>
        <v/>
      </c>
      <c r="J2206" s="40" t="str">
        <f t="shared" si="179"/>
        <v/>
      </c>
      <c r="K2206" s="24" t="str">
        <f t="shared" si="180"/>
        <v/>
      </c>
      <c r="L2206" s="25" t="str">
        <f t="shared" si="176"/>
        <v/>
      </c>
      <c r="O2206" s="33" t="str">
        <f t="shared" si="177"/>
        <v/>
      </c>
      <c r="P2206" s="33" t="str">
        <f t="shared" si="178"/>
        <v/>
      </c>
    </row>
    <row r="2207" spans="9:16">
      <c r="I2207" s="23" t="str">
        <f>_xlfn.IFNA(VLOOKUP(A2207,A2208:$H$3524,8,0),"")</f>
        <v/>
      </c>
      <c r="J2207" s="40" t="str">
        <f t="shared" si="179"/>
        <v/>
      </c>
      <c r="K2207" s="24" t="str">
        <f t="shared" si="180"/>
        <v/>
      </c>
      <c r="L2207" s="25" t="str">
        <f t="shared" si="176"/>
        <v/>
      </c>
      <c r="O2207" s="33" t="str">
        <f t="shared" si="177"/>
        <v/>
      </c>
      <c r="P2207" s="33" t="str">
        <f t="shared" si="178"/>
        <v/>
      </c>
    </row>
    <row r="2208" spans="9:16">
      <c r="I2208" s="23" t="str">
        <f>_xlfn.IFNA(VLOOKUP(A2208,A2209:$H$3524,8,0),"")</f>
        <v/>
      </c>
      <c r="J2208" s="40" t="str">
        <f t="shared" si="179"/>
        <v/>
      </c>
      <c r="K2208" s="24" t="str">
        <f t="shared" si="180"/>
        <v/>
      </c>
      <c r="L2208" s="25" t="str">
        <f t="shared" si="176"/>
        <v/>
      </c>
      <c r="O2208" s="33" t="str">
        <f t="shared" si="177"/>
        <v/>
      </c>
      <c r="P2208" s="33" t="str">
        <f t="shared" si="178"/>
        <v/>
      </c>
    </row>
    <row r="2209" spans="9:16">
      <c r="I2209" s="23" t="str">
        <f>_xlfn.IFNA(VLOOKUP(A2209,A2210:$H$3524,8,0),"")</f>
        <v/>
      </c>
      <c r="J2209" s="40" t="str">
        <f t="shared" si="179"/>
        <v/>
      </c>
      <c r="K2209" s="24" t="str">
        <f t="shared" si="180"/>
        <v/>
      </c>
      <c r="L2209" s="25" t="str">
        <f t="shared" si="176"/>
        <v/>
      </c>
      <c r="O2209" s="33" t="str">
        <f t="shared" si="177"/>
        <v/>
      </c>
      <c r="P2209" s="33" t="str">
        <f t="shared" si="178"/>
        <v/>
      </c>
    </row>
    <row r="2210" spans="9:16">
      <c r="I2210" s="23" t="str">
        <f>_xlfn.IFNA(VLOOKUP(A2210,A2211:$H$3524,8,0),"")</f>
        <v/>
      </c>
      <c r="J2210" s="40" t="str">
        <f t="shared" si="179"/>
        <v/>
      </c>
      <c r="K2210" s="24" t="str">
        <f t="shared" si="180"/>
        <v/>
      </c>
      <c r="L2210" s="25" t="str">
        <f t="shared" si="176"/>
        <v/>
      </c>
      <c r="O2210" s="33" t="str">
        <f t="shared" si="177"/>
        <v/>
      </c>
      <c r="P2210" s="33" t="str">
        <f t="shared" si="178"/>
        <v/>
      </c>
    </row>
    <row r="2211" spans="9:16">
      <c r="I2211" s="23" t="str">
        <f>_xlfn.IFNA(VLOOKUP(A2211,A2212:$H$3524,8,0),"")</f>
        <v/>
      </c>
      <c r="J2211" s="40" t="str">
        <f t="shared" si="179"/>
        <v/>
      </c>
      <c r="K2211" s="24" t="str">
        <f t="shared" si="180"/>
        <v/>
      </c>
      <c r="L2211" s="25" t="str">
        <f t="shared" si="176"/>
        <v/>
      </c>
      <c r="O2211" s="33" t="str">
        <f t="shared" si="177"/>
        <v/>
      </c>
      <c r="P2211" s="33" t="str">
        <f t="shared" si="178"/>
        <v/>
      </c>
    </row>
    <row r="2212" spans="9:16">
      <c r="I2212" s="23" t="str">
        <f>_xlfn.IFNA(VLOOKUP(A2212,A2213:$H$3524,8,0),"")</f>
        <v/>
      </c>
      <c r="J2212" s="40" t="str">
        <f t="shared" si="179"/>
        <v/>
      </c>
      <c r="K2212" s="24" t="str">
        <f t="shared" si="180"/>
        <v/>
      </c>
      <c r="L2212" s="25" t="str">
        <f t="shared" si="176"/>
        <v/>
      </c>
      <c r="O2212" s="33" t="str">
        <f t="shared" si="177"/>
        <v/>
      </c>
      <c r="P2212" s="33" t="str">
        <f t="shared" si="178"/>
        <v/>
      </c>
    </row>
    <row r="2213" spans="9:16">
      <c r="I2213" s="23" t="str">
        <f>_xlfn.IFNA(VLOOKUP(A2213,A2214:$H$3524,8,0),"")</f>
        <v/>
      </c>
      <c r="J2213" s="40" t="str">
        <f t="shared" si="179"/>
        <v/>
      </c>
      <c r="K2213" s="24" t="str">
        <f t="shared" si="180"/>
        <v/>
      </c>
      <c r="L2213" s="25" t="str">
        <f t="shared" si="176"/>
        <v/>
      </c>
      <c r="O2213" s="33" t="str">
        <f t="shared" si="177"/>
        <v/>
      </c>
      <c r="P2213" s="33" t="str">
        <f t="shared" si="178"/>
        <v/>
      </c>
    </row>
    <row r="2214" spans="9:16">
      <c r="I2214" s="23" t="str">
        <f>_xlfn.IFNA(VLOOKUP(A2214,A2215:$H$3524,8,0),"")</f>
        <v/>
      </c>
      <c r="J2214" s="40" t="str">
        <f t="shared" si="179"/>
        <v/>
      </c>
      <c r="K2214" s="24" t="str">
        <f t="shared" si="180"/>
        <v/>
      </c>
      <c r="L2214" s="25" t="str">
        <f t="shared" si="176"/>
        <v/>
      </c>
      <c r="O2214" s="33" t="str">
        <f t="shared" si="177"/>
        <v/>
      </c>
      <c r="P2214" s="33" t="str">
        <f t="shared" si="178"/>
        <v/>
      </c>
    </row>
    <row r="2215" spans="9:16">
      <c r="I2215" s="23" t="str">
        <f>_xlfn.IFNA(VLOOKUP(A2215,A2216:$H$3524,8,0),"")</f>
        <v/>
      </c>
      <c r="J2215" s="40" t="str">
        <f t="shared" si="179"/>
        <v/>
      </c>
      <c r="K2215" s="24" t="str">
        <f t="shared" si="180"/>
        <v/>
      </c>
      <c r="L2215" s="25" t="str">
        <f t="shared" si="176"/>
        <v/>
      </c>
      <c r="O2215" s="33" t="str">
        <f t="shared" si="177"/>
        <v/>
      </c>
      <c r="P2215" s="33" t="str">
        <f t="shared" si="178"/>
        <v/>
      </c>
    </row>
    <row r="2216" spans="9:16">
      <c r="I2216" s="23" t="str">
        <f>_xlfn.IFNA(VLOOKUP(A2216,A2217:$H$3524,8,0),"")</f>
        <v/>
      </c>
      <c r="J2216" s="40" t="str">
        <f t="shared" si="179"/>
        <v/>
      </c>
      <c r="K2216" s="24" t="str">
        <f t="shared" si="180"/>
        <v/>
      </c>
      <c r="L2216" s="25" t="str">
        <f t="shared" si="176"/>
        <v/>
      </c>
      <c r="O2216" s="33" t="str">
        <f t="shared" si="177"/>
        <v/>
      </c>
      <c r="P2216" s="33" t="str">
        <f t="shared" si="178"/>
        <v/>
      </c>
    </row>
    <row r="2217" spans="9:16">
      <c r="I2217" s="23" t="str">
        <f>_xlfn.IFNA(VLOOKUP(A2217,A2218:$H$3524,8,0),"")</f>
        <v/>
      </c>
      <c r="J2217" s="40" t="str">
        <f t="shared" si="179"/>
        <v/>
      </c>
      <c r="K2217" s="24" t="str">
        <f t="shared" si="180"/>
        <v/>
      </c>
      <c r="L2217" s="25" t="str">
        <f t="shared" si="176"/>
        <v/>
      </c>
      <c r="O2217" s="33" t="str">
        <f t="shared" si="177"/>
        <v/>
      </c>
      <c r="P2217" s="33" t="str">
        <f t="shared" si="178"/>
        <v/>
      </c>
    </row>
    <row r="2218" spans="9:16">
      <c r="I2218" s="23" t="str">
        <f>_xlfn.IFNA(VLOOKUP(A2218,A2219:$H$3524,8,0),"")</f>
        <v/>
      </c>
      <c r="J2218" s="40" t="str">
        <f t="shared" si="179"/>
        <v/>
      </c>
      <c r="K2218" s="24" t="str">
        <f t="shared" si="180"/>
        <v/>
      </c>
      <c r="L2218" s="25" t="str">
        <f t="shared" si="176"/>
        <v/>
      </c>
      <c r="O2218" s="33" t="str">
        <f t="shared" si="177"/>
        <v/>
      </c>
      <c r="P2218" s="33" t="str">
        <f t="shared" si="178"/>
        <v/>
      </c>
    </row>
    <row r="2219" spans="9:16">
      <c r="I2219" s="23" t="str">
        <f>_xlfn.IFNA(VLOOKUP(A2219,A2220:$H$3524,8,0),"")</f>
        <v/>
      </c>
      <c r="J2219" s="40" t="str">
        <f t="shared" si="179"/>
        <v/>
      </c>
      <c r="K2219" s="24" t="str">
        <f t="shared" si="180"/>
        <v/>
      </c>
      <c r="L2219" s="25" t="str">
        <f t="shared" si="176"/>
        <v/>
      </c>
      <c r="O2219" s="33" t="str">
        <f t="shared" si="177"/>
        <v/>
      </c>
      <c r="P2219" s="33" t="str">
        <f t="shared" si="178"/>
        <v/>
      </c>
    </row>
    <row r="2220" spans="9:16">
      <c r="I2220" s="23" t="str">
        <f>_xlfn.IFNA(VLOOKUP(A2220,A2221:$H$3524,8,0),"")</f>
        <v/>
      </c>
      <c r="J2220" s="40" t="str">
        <f t="shared" si="179"/>
        <v/>
      </c>
      <c r="K2220" s="24" t="str">
        <f t="shared" si="180"/>
        <v/>
      </c>
      <c r="L2220" s="25" t="str">
        <f t="shared" si="176"/>
        <v/>
      </c>
      <c r="O2220" s="33" t="str">
        <f t="shared" si="177"/>
        <v/>
      </c>
      <c r="P2220" s="33" t="str">
        <f t="shared" si="178"/>
        <v/>
      </c>
    </row>
    <row r="2221" spans="9:16">
      <c r="I2221" s="23" t="str">
        <f>_xlfn.IFNA(VLOOKUP(A2221,A2222:$H$3524,8,0),"")</f>
        <v/>
      </c>
      <c r="J2221" s="40" t="str">
        <f t="shared" si="179"/>
        <v/>
      </c>
      <c r="K2221" s="24" t="str">
        <f t="shared" si="180"/>
        <v/>
      </c>
      <c r="L2221" s="25" t="str">
        <f t="shared" si="176"/>
        <v/>
      </c>
      <c r="O2221" s="33" t="str">
        <f t="shared" si="177"/>
        <v/>
      </c>
      <c r="P2221" s="33" t="str">
        <f t="shared" si="178"/>
        <v/>
      </c>
    </row>
    <row r="2222" spans="9:16">
      <c r="I2222" s="23" t="str">
        <f>_xlfn.IFNA(VLOOKUP(A2222,A2223:$H$3524,8,0),"")</f>
        <v/>
      </c>
      <c r="J2222" s="40" t="str">
        <f t="shared" si="179"/>
        <v/>
      </c>
      <c r="K2222" s="24" t="str">
        <f t="shared" si="180"/>
        <v/>
      </c>
      <c r="L2222" s="25" t="str">
        <f t="shared" si="176"/>
        <v/>
      </c>
      <c r="O2222" s="33" t="str">
        <f t="shared" si="177"/>
        <v/>
      </c>
      <c r="P2222" s="33" t="str">
        <f t="shared" si="178"/>
        <v/>
      </c>
    </row>
    <row r="2223" spans="9:16">
      <c r="I2223" s="23" t="str">
        <f>_xlfn.IFNA(VLOOKUP(A2223,A2224:$H$3524,8,0),"")</f>
        <v/>
      </c>
      <c r="J2223" s="40" t="str">
        <f t="shared" si="179"/>
        <v/>
      </c>
      <c r="K2223" s="24" t="str">
        <f t="shared" si="180"/>
        <v/>
      </c>
      <c r="L2223" s="25" t="str">
        <f t="shared" si="176"/>
        <v/>
      </c>
      <c r="O2223" s="33" t="str">
        <f t="shared" si="177"/>
        <v/>
      </c>
      <c r="P2223" s="33" t="str">
        <f t="shared" si="178"/>
        <v/>
      </c>
    </row>
    <row r="2224" spans="9:16">
      <c r="I2224" s="23" t="str">
        <f>_xlfn.IFNA(VLOOKUP(A2224,A2225:$H$3524,8,0),"")</f>
        <v/>
      </c>
      <c r="J2224" s="40" t="str">
        <f t="shared" si="179"/>
        <v/>
      </c>
      <c r="K2224" s="24" t="str">
        <f t="shared" si="180"/>
        <v/>
      </c>
      <c r="L2224" s="25" t="str">
        <f t="shared" si="176"/>
        <v/>
      </c>
      <c r="O2224" s="33" t="str">
        <f t="shared" si="177"/>
        <v/>
      </c>
      <c r="P2224" s="33" t="str">
        <f t="shared" si="178"/>
        <v/>
      </c>
    </row>
    <row r="2225" spans="9:16">
      <c r="I2225" s="23" t="str">
        <f>_xlfn.IFNA(VLOOKUP(A2225,A2226:$H$3524,8,0),"")</f>
        <v/>
      </c>
      <c r="J2225" s="40" t="str">
        <f t="shared" si="179"/>
        <v/>
      </c>
      <c r="K2225" s="24" t="str">
        <f t="shared" si="180"/>
        <v/>
      </c>
      <c r="L2225" s="25" t="str">
        <f t="shared" si="176"/>
        <v/>
      </c>
      <c r="O2225" s="33" t="str">
        <f t="shared" si="177"/>
        <v/>
      </c>
      <c r="P2225" s="33" t="str">
        <f t="shared" si="178"/>
        <v/>
      </c>
    </row>
    <row r="2226" spans="9:16">
      <c r="I2226" s="23" t="str">
        <f>_xlfn.IFNA(VLOOKUP(A2226,A2227:$H$3524,8,0),"")</f>
        <v/>
      </c>
      <c r="J2226" s="40" t="str">
        <f t="shared" si="179"/>
        <v/>
      </c>
      <c r="K2226" s="24" t="str">
        <f t="shared" si="180"/>
        <v/>
      </c>
      <c r="L2226" s="25" t="str">
        <f t="shared" si="176"/>
        <v/>
      </c>
      <c r="O2226" s="33" t="str">
        <f t="shared" si="177"/>
        <v/>
      </c>
      <c r="P2226" s="33" t="str">
        <f t="shared" si="178"/>
        <v/>
      </c>
    </row>
    <row r="2227" spans="9:16">
      <c r="I2227" s="23" t="str">
        <f>_xlfn.IFNA(VLOOKUP(A2227,A2228:$H$3524,8,0),"")</f>
        <v/>
      </c>
      <c r="J2227" s="40" t="str">
        <f t="shared" si="179"/>
        <v/>
      </c>
      <c r="K2227" s="24" t="str">
        <f t="shared" si="180"/>
        <v/>
      </c>
      <c r="L2227" s="25" t="str">
        <f t="shared" si="176"/>
        <v/>
      </c>
      <c r="O2227" s="33" t="str">
        <f t="shared" si="177"/>
        <v/>
      </c>
      <c r="P2227" s="33" t="str">
        <f t="shared" si="178"/>
        <v/>
      </c>
    </row>
    <row r="2228" spans="9:16">
      <c r="I2228" s="23" t="str">
        <f>_xlfn.IFNA(VLOOKUP(A2228,A2229:$H$3524,8,0),"")</f>
        <v/>
      </c>
      <c r="J2228" s="40" t="str">
        <f t="shared" si="179"/>
        <v/>
      </c>
      <c r="K2228" s="24" t="str">
        <f t="shared" si="180"/>
        <v/>
      </c>
      <c r="L2228" s="25" t="str">
        <f t="shared" si="176"/>
        <v/>
      </c>
      <c r="O2228" s="33" t="str">
        <f t="shared" si="177"/>
        <v/>
      </c>
      <c r="P2228" s="33" t="str">
        <f t="shared" si="178"/>
        <v/>
      </c>
    </row>
    <row r="2229" spans="9:16">
      <c r="I2229" s="23" t="str">
        <f>_xlfn.IFNA(VLOOKUP(A2229,A2230:$H$3524,8,0),"")</f>
        <v/>
      </c>
      <c r="J2229" s="40" t="str">
        <f t="shared" si="179"/>
        <v/>
      </c>
      <c r="K2229" s="24" t="str">
        <f t="shared" si="180"/>
        <v/>
      </c>
      <c r="L2229" s="25" t="str">
        <f t="shared" si="176"/>
        <v/>
      </c>
      <c r="O2229" s="33" t="str">
        <f t="shared" si="177"/>
        <v/>
      </c>
      <c r="P2229" s="33" t="str">
        <f t="shared" si="178"/>
        <v/>
      </c>
    </row>
    <row r="2230" spans="9:16">
      <c r="I2230" s="23" t="str">
        <f>_xlfn.IFNA(VLOOKUP(A2230,A2231:$H$3524,8,0),"")</f>
        <v/>
      </c>
      <c r="J2230" s="40" t="str">
        <f t="shared" si="179"/>
        <v/>
      </c>
      <c r="K2230" s="24" t="str">
        <f t="shared" si="180"/>
        <v/>
      </c>
      <c r="L2230" s="25" t="str">
        <f t="shared" si="176"/>
        <v/>
      </c>
      <c r="O2230" s="33" t="str">
        <f t="shared" si="177"/>
        <v/>
      </c>
      <c r="P2230" s="33" t="str">
        <f t="shared" si="178"/>
        <v/>
      </c>
    </row>
    <row r="2231" spans="9:16">
      <c r="I2231" s="23" t="str">
        <f>_xlfn.IFNA(VLOOKUP(A2231,A2232:$H$3524,8,0),"")</f>
        <v/>
      </c>
      <c r="J2231" s="40" t="str">
        <f t="shared" si="179"/>
        <v/>
      </c>
      <c r="K2231" s="24" t="str">
        <f t="shared" si="180"/>
        <v/>
      </c>
      <c r="L2231" s="25" t="str">
        <f t="shared" ref="L2231:L2294" si="181">IF(K2231="","",IF(B2231="Break","Break",IF(K2231&lt;&gt;0,"Work Finished",IF(B2231="OFF","Work Finished",IF(I2231="","Working","Work Finished")))))</f>
        <v/>
      </c>
      <c r="O2231" s="33" t="str">
        <f t="shared" ref="O2231:O2294" si="182">IF(AND(J2231="",M2231="",N2231=""),"",J2231-M2231-N2231)</f>
        <v/>
      </c>
      <c r="P2231" s="33" t="str">
        <f t="shared" ref="P2231:P2294" si="183">IF(HOUR(H2231)=0,"",HOUR(H2231))</f>
        <v/>
      </c>
    </row>
    <row r="2232" spans="9:16">
      <c r="I2232" s="23" t="str">
        <f>_xlfn.IFNA(VLOOKUP(A2232,A2233:$H$3524,8,0),"")</f>
        <v/>
      </c>
      <c r="J2232" s="40" t="str">
        <f t="shared" si="179"/>
        <v/>
      </c>
      <c r="K2232" s="24" t="str">
        <f t="shared" si="180"/>
        <v/>
      </c>
      <c r="L2232" s="25" t="str">
        <f t="shared" si="181"/>
        <v/>
      </c>
      <c r="O2232" s="33" t="str">
        <f t="shared" si="182"/>
        <v/>
      </c>
      <c r="P2232" s="33" t="str">
        <f t="shared" si="183"/>
        <v/>
      </c>
    </row>
    <row r="2233" spans="9:16">
      <c r="I2233" s="23" t="str">
        <f>_xlfn.IFNA(VLOOKUP(A2233,A2234:$H$3524,8,0),"")</f>
        <v/>
      </c>
      <c r="J2233" s="40" t="str">
        <f t="shared" si="179"/>
        <v/>
      </c>
      <c r="K2233" s="24" t="str">
        <f t="shared" si="180"/>
        <v/>
      </c>
      <c r="L2233" s="25" t="str">
        <f t="shared" si="181"/>
        <v/>
      </c>
      <c r="O2233" s="33" t="str">
        <f t="shared" si="182"/>
        <v/>
      </c>
      <c r="P2233" s="33" t="str">
        <f t="shared" si="183"/>
        <v/>
      </c>
    </row>
    <row r="2234" spans="9:16">
      <c r="I2234" s="23" t="str">
        <f>_xlfn.IFNA(VLOOKUP(A2234,A2235:$H$3524,8,0),"")</f>
        <v/>
      </c>
      <c r="J2234" s="40" t="str">
        <f t="shared" si="179"/>
        <v/>
      </c>
      <c r="K2234" s="24" t="str">
        <f t="shared" si="180"/>
        <v/>
      </c>
      <c r="L2234" s="25" t="str">
        <f t="shared" si="181"/>
        <v/>
      </c>
      <c r="O2234" s="33" t="str">
        <f t="shared" si="182"/>
        <v/>
      </c>
      <c r="P2234" s="33" t="str">
        <f t="shared" si="183"/>
        <v/>
      </c>
    </row>
    <row r="2235" spans="9:16">
      <c r="I2235" s="23" t="str">
        <f>_xlfn.IFNA(VLOOKUP(A2235,A2236:$H$3524,8,0),"")</f>
        <v/>
      </c>
      <c r="J2235" s="40" t="str">
        <f t="shared" si="179"/>
        <v/>
      </c>
      <c r="K2235" s="24" t="str">
        <f t="shared" si="180"/>
        <v/>
      </c>
      <c r="L2235" s="25" t="str">
        <f t="shared" si="181"/>
        <v/>
      </c>
      <c r="O2235" s="33" t="str">
        <f t="shared" si="182"/>
        <v/>
      </c>
      <c r="P2235" s="33" t="str">
        <f t="shared" si="183"/>
        <v/>
      </c>
    </row>
    <row r="2236" spans="9:16">
      <c r="I2236" s="23" t="str">
        <f>_xlfn.IFNA(VLOOKUP(A2236,A2237:$H$3524,8,0),"")</f>
        <v/>
      </c>
      <c r="J2236" s="40" t="str">
        <f t="shared" si="179"/>
        <v/>
      </c>
      <c r="K2236" s="24" t="str">
        <f t="shared" si="180"/>
        <v/>
      </c>
      <c r="L2236" s="25" t="str">
        <f t="shared" si="181"/>
        <v/>
      </c>
      <c r="O2236" s="33" t="str">
        <f t="shared" si="182"/>
        <v/>
      </c>
      <c r="P2236" s="33" t="str">
        <f t="shared" si="183"/>
        <v/>
      </c>
    </row>
    <row r="2237" spans="9:16">
      <c r="I2237" s="23" t="str">
        <f>_xlfn.IFNA(VLOOKUP(A2237,A2238:$H$3524,8,0),"")</f>
        <v/>
      </c>
      <c r="J2237" s="40" t="str">
        <f t="shared" si="179"/>
        <v/>
      </c>
      <c r="K2237" s="24" t="str">
        <f t="shared" si="180"/>
        <v/>
      </c>
      <c r="L2237" s="25" t="str">
        <f t="shared" si="181"/>
        <v/>
      </c>
      <c r="O2237" s="33" t="str">
        <f t="shared" si="182"/>
        <v/>
      </c>
      <c r="P2237" s="33" t="str">
        <f t="shared" si="183"/>
        <v/>
      </c>
    </row>
    <row r="2238" spans="9:16">
      <c r="I2238" s="23" t="str">
        <f>_xlfn.IFNA(VLOOKUP(A2238,A2239:$H$3524,8,0),"")</f>
        <v/>
      </c>
      <c r="J2238" s="40" t="str">
        <f t="shared" si="179"/>
        <v/>
      </c>
      <c r="K2238" s="24" t="str">
        <f t="shared" si="180"/>
        <v/>
      </c>
      <c r="L2238" s="25" t="str">
        <f t="shared" si="181"/>
        <v/>
      </c>
      <c r="O2238" s="33" t="str">
        <f t="shared" si="182"/>
        <v/>
      </c>
      <c r="P2238" s="33" t="str">
        <f t="shared" si="183"/>
        <v/>
      </c>
    </row>
    <row r="2239" spans="9:16">
      <c r="I2239" s="23" t="str">
        <f>_xlfn.IFNA(VLOOKUP(A2239,A2240:$H$3524,8,0),"")</f>
        <v/>
      </c>
      <c r="J2239" s="40" t="str">
        <f t="shared" si="179"/>
        <v/>
      </c>
      <c r="K2239" s="24" t="str">
        <f t="shared" si="180"/>
        <v/>
      </c>
      <c r="L2239" s="25" t="str">
        <f t="shared" si="181"/>
        <v/>
      </c>
      <c r="O2239" s="33" t="str">
        <f t="shared" si="182"/>
        <v/>
      </c>
      <c r="P2239" s="33" t="str">
        <f t="shared" si="183"/>
        <v/>
      </c>
    </row>
    <row r="2240" spans="9:16">
      <c r="I2240" s="23" t="str">
        <f>_xlfn.IFNA(VLOOKUP(A2240,A2241:$H$3524,8,0),"")</f>
        <v/>
      </c>
      <c r="J2240" s="40" t="str">
        <f t="shared" si="179"/>
        <v/>
      </c>
      <c r="K2240" s="24" t="str">
        <f t="shared" si="180"/>
        <v/>
      </c>
      <c r="L2240" s="25" t="str">
        <f t="shared" si="181"/>
        <v/>
      </c>
      <c r="O2240" s="33" t="str">
        <f t="shared" si="182"/>
        <v/>
      </c>
      <c r="P2240" s="33" t="str">
        <f t="shared" si="183"/>
        <v/>
      </c>
    </row>
    <row r="2241" spans="9:16">
      <c r="I2241" s="23" t="str">
        <f>_xlfn.IFNA(VLOOKUP(A2241,A2242:$H$3524,8,0),"")</f>
        <v/>
      </c>
      <c r="J2241" s="40" t="str">
        <f t="shared" si="179"/>
        <v/>
      </c>
      <c r="K2241" s="24" t="str">
        <f t="shared" si="180"/>
        <v/>
      </c>
      <c r="L2241" s="25" t="str">
        <f t="shared" si="181"/>
        <v/>
      </c>
      <c r="O2241" s="33" t="str">
        <f t="shared" si="182"/>
        <v/>
      </c>
      <c r="P2241" s="33" t="str">
        <f t="shared" si="183"/>
        <v/>
      </c>
    </row>
    <row r="2242" spans="9:16">
      <c r="I2242" s="23" t="str">
        <f>_xlfn.IFNA(VLOOKUP(A2242,A2243:$H$3524,8,0),"")</f>
        <v/>
      </c>
      <c r="J2242" s="40" t="str">
        <f t="shared" si="179"/>
        <v/>
      </c>
      <c r="K2242" s="24" t="str">
        <f t="shared" si="180"/>
        <v/>
      </c>
      <c r="L2242" s="25" t="str">
        <f t="shared" si="181"/>
        <v/>
      </c>
      <c r="O2242" s="33" t="str">
        <f t="shared" si="182"/>
        <v/>
      </c>
      <c r="P2242" s="33" t="str">
        <f t="shared" si="183"/>
        <v/>
      </c>
    </row>
    <row r="2243" spans="9:16">
      <c r="I2243" s="23" t="str">
        <f>_xlfn.IFNA(VLOOKUP(A2243,A2244:$H$3524,8,0),"")</f>
        <v/>
      </c>
      <c r="J2243" s="40" t="str">
        <f t="shared" si="179"/>
        <v/>
      </c>
      <c r="K2243" s="24" t="str">
        <f t="shared" si="180"/>
        <v/>
      </c>
      <c r="L2243" s="25" t="str">
        <f t="shared" si="181"/>
        <v/>
      </c>
      <c r="O2243" s="33" t="str">
        <f t="shared" si="182"/>
        <v/>
      </c>
      <c r="P2243" s="33" t="str">
        <f t="shared" si="183"/>
        <v/>
      </c>
    </row>
    <row r="2244" spans="9:16">
      <c r="I2244" s="23" t="str">
        <f>_xlfn.IFNA(VLOOKUP(A2244,A2245:$H$3524,8,0),"")</f>
        <v/>
      </c>
      <c r="J2244" s="40" t="str">
        <f t="shared" si="179"/>
        <v/>
      </c>
      <c r="K2244" s="24" t="str">
        <f t="shared" si="180"/>
        <v/>
      </c>
      <c r="L2244" s="25" t="str">
        <f t="shared" si="181"/>
        <v/>
      </c>
      <c r="O2244" s="33" t="str">
        <f t="shared" si="182"/>
        <v/>
      </c>
      <c r="P2244" s="33" t="str">
        <f t="shared" si="183"/>
        <v/>
      </c>
    </row>
    <row r="2245" spans="9:16">
      <c r="I2245" s="23" t="str">
        <f>_xlfn.IFNA(VLOOKUP(A2245,A2246:$H$3524,8,0),"")</f>
        <v/>
      </c>
      <c r="J2245" s="40" t="str">
        <f t="shared" si="179"/>
        <v/>
      </c>
      <c r="K2245" s="24" t="str">
        <f t="shared" si="180"/>
        <v/>
      </c>
      <c r="L2245" s="25" t="str">
        <f t="shared" si="181"/>
        <v/>
      </c>
      <c r="O2245" s="33" t="str">
        <f t="shared" si="182"/>
        <v/>
      </c>
      <c r="P2245" s="33" t="str">
        <f t="shared" si="183"/>
        <v/>
      </c>
    </row>
    <row r="2246" spans="9:16">
      <c r="I2246" s="23" t="str">
        <f>_xlfn.IFNA(VLOOKUP(A2246,A2247:$H$3524,8,0),"")</f>
        <v/>
      </c>
      <c r="J2246" s="40" t="str">
        <f t="shared" ref="J2246:J2309" si="184">IF(B2246="OFF",0,IF(AND(D2246&lt;&gt;"",E2246&lt;&gt;""),E2246-D2246+1,""))</f>
        <v/>
      </c>
      <c r="K2246" s="24" t="str">
        <f t="shared" si="180"/>
        <v/>
      </c>
      <c r="L2246" s="25" t="str">
        <f t="shared" si="181"/>
        <v/>
      </c>
      <c r="O2246" s="33" t="str">
        <f t="shared" si="182"/>
        <v/>
      </c>
      <c r="P2246" s="33" t="str">
        <f t="shared" si="183"/>
        <v/>
      </c>
    </row>
    <row r="2247" spans="9:16">
      <c r="I2247" s="23" t="str">
        <f>_xlfn.IFNA(VLOOKUP(A2247,A2248:$H$3524,8,0),"")</f>
        <v/>
      </c>
      <c r="J2247" s="40" t="str">
        <f t="shared" si="184"/>
        <v/>
      </c>
      <c r="K2247" s="24" t="str">
        <f t="shared" si="180"/>
        <v/>
      </c>
      <c r="L2247" s="25" t="str">
        <f t="shared" si="181"/>
        <v/>
      </c>
      <c r="O2247" s="33" t="str">
        <f t="shared" si="182"/>
        <v/>
      </c>
      <c r="P2247" s="33" t="str">
        <f t="shared" si="183"/>
        <v/>
      </c>
    </row>
    <row r="2248" spans="9:16">
      <c r="I2248" s="23" t="str">
        <f>_xlfn.IFNA(VLOOKUP(A2248,A2249:$H$3524,8,0),"")</f>
        <v/>
      </c>
      <c r="J2248" s="40" t="str">
        <f t="shared" si="184"/>
        <v/>
      </c>
      <c r="K2248" s="24" t="str">
        <f t="shared" si="180"/>
        <v/>
      </c>
      <c r="L2248" s="25" t="str">
        <f t="shared" si="181"/>
        <v/>
      </c>
      <c r="O2248" s="33" t="str">
        <f t="shared" si="182"/>
        <v/>
      </c>
      <c r="P2248" s="33" t="str">
        <f t="shared" si="183"/>
        <v/>
      </c>
    </row>
    <row r="2249" spans="9:16">
      <c r="I2249" s="23" t="str">
        <f>_xlfn.IFNA(VLOOKUP(A2249,A2250:$H$3524,8,0),"")</f>
        <v/>
      </c>
      <c r="J2249" s="40" t="str">
        <f t="shared" si="184"/>
        <v/>
      </c>
      <c r="K2249" s="24" t="str">
        <f t="shared" si="180"/>
        <v/>
      </c>
      <c r="L2249" s="25" t="str">
        <f t="shared" si="181"/>
        <v/>
      </c>
      <c r="O2249" s="33" t="str">
        <f t="shared" si="182"/>
        <v/>
      </c>
      <c r="P2249" s="33" t="str">
        <f t="shared" si="183"/>
        <v/>
      </c>
    </row>
    <row r="2250" spans="9:16">
      <c r="I2250" s="23" t="str">
        <f>_xlfn.IFNA(VLOOKUP(A2250,A2251:$H$3524,8,0),"")</f>
        <v/>
      </c>
      <c r="J2250" s="40" t="str">
        <f t="shared" si="184"/>
        <v/>
      </c>
      <c r="K2250" s="24" t="str">
        <f t="shared" si="180"/>
        <v/>
      </c>
      <c r="L2250" s="25" t="str">
        <f t="shared" si="181"/>
        <v/>
      </c>
      <c r="O2250" s="33" t="str">
        <f t="shared" si="182"/>
        <v/>
      </c>
      <c r="P2250" s="33" t="str">
        <f t="shared" si="183"/>
        <v/>
      </c>
    </row>
    <row r="2251" spans="9:16">
      <c r="I2251" s="23" t="str">
        <f>_xlfn.IFNA(VLOOKUP(A2251,A2252:$H$3524,8,0),"")</f>
        <v/>
      </c>
      <c r="J2251" s="40" t="str">
        <f t="shared" si="184"/>
        <v/>
      </c>
      <c r="K2251" s="24" t="str">
        <f t="shared" si="180"/>
        <v/>
      </c>
      <c r="L2251" s="25" t="str">
        <f t="shared" si="181"/>
        <v/>
      </c>
      <c r="O2251" s="33" t="str">
        <f t="shared" si="182"/>
        <v/>
      </c>
      <c r="P2251" s="33" t="str">
        <f t="shared" si="183"/>
        <v/>
      </c>
    </row>
    <row r="2252" spans="9:16">
      <c r="I2252" s="23" t="str">
        <f>_xlfn.IFNA(VLOOKUP(A2252,A2253:$H$3524,8,0),"")</f>
        <v/>
      </c>
      <c r="J2252" s="40" t="str">
        <f t="shared" si="184"/>
        <v/>
      </c>
      <c r="K2252" s="24" t="str">
        <f t="shared" si="180"/>
        <v/>
      </c>
      <c r="L2252" s="25" t="str">
        <f t="shared" si="181"/>
        <v/>
      </c>
      <c r="O2252" s="33" t="str">
        <f t="shared" si="182"/>
        <v/>
      </c>
      <c r="P2252" s="33" t="str">
        <f t="shared" si="183"/>
        <v/>
      </c>
    </row>
    <row r="2253" spans="9:16">
      <c r="I2253" s="23" t="str">
        <f>_xlfn.IFNA(VLOOKUP(A2253,A2254:$H$3524,8,0),"")</f>
        <v/>
      </c>
      <c r="J2253" s="40" t="str">
        <f t="shared" si="184"/>
        <v/>
      </c>
      <c r="K2253" s="24" t="str">
        <f t="shared" si="180"/>
        <v/>
      </c>
      <c r="L2253" s="25" t="str">
        <f t="shared" si="181"/>
        <v/>
      </c>
      <c r="O2253" s="33" t="str">
        <f t="shared" si="182"/>
        <v/>
      </c>
      <c r="P2253" s="33" t="str">
        <f t="shared" si="183"/>
        <v/>
      </c>
    </row>
    <row r="2254" spans="9:16">
      <c r="I2254" s="23" t="str">
        <f>_xlfn.IFNA(VLOOKUP(A2254,A2255:$H$3524,8,0),"")</f>
        <v/>
      </c>
      <c r="J2254" s="40" t="str">
        <f t="shared" si="184"/>
        <v/>
      </c>
      <c r="K2254" s="24" t="str">
        <f t="shared" si="180"/>
        <v/>
      </c>
      <c r="L2254" s="25" t="str">
        <f t="shared" si="181"/>
        <v/>
      </c>
      <c r="O2254" s="33" t="str">
        <f t="shared" si="182"/>
        <v/>
      </c>
      <c r="P2254" s="33" t="str">
        <f t="shared" si="183"/>
        <v/>
      </c>
    </row>
    <row r="2255" spans="9:16">
      <c r="I2255" s="23" t="str">
        <f>_xlfn.IFNA(VLOOKUP(A2255,A2256:$H$3524,8,0),"")</f>
        <v/>
      </c>
      <c r="J2255" s="40" t="str">
        <f t="shared" si="184"/>
        <v/>
      </c>
      <c r="K2255" s="24" t="str">
        <f t="shared" si="180"/>
        <v/>
      </c>
      <c r="L2255" s="25" t="str">
        <f t="shared" si="181"/>
        <v/>
      </c>
      <c r="O2255" s="33" t="str">
        <f t="shared" si="182"/>
        <v/>
      </c>
      <c r="P2255" s="33" t="str">
        <f t="shared" si="183"/>
        <v/>
      </c>
    </row>
    <row r="2256" spans="9:16">
      <c r="I2256" s="23" t="str">
        <f>_xlfn.IFNA(VLOOKUP(A2256,A2257:$H$3524,8,0),"")</f>
        <v/>
      </c>
      <c r="J2256" s="40" t="str">
        <f t="shared" si="184"/>
        <v/>
      </c>
      <c r="K2256" s="24" t="str">
        <f t="shared" si="180"/>
        <v/>
      </c>
      <c r="L2256" s="25" t="str">
        <f t="shared" si="181"/>
        <v/>
      </c>
      <c r="O2256" s="33" t="str">
        <f t="shared" si="182"/>
        <v/>
      </c>
      <c r="P2256" s="33" t="str">
        <f t="shared" si="183"/>
        <v/>
      </c>
    </row>
    <row r="2257" spans="9:16">
      <c r="I2257" s="23" t="str">
        <f>_xlfn.IFNA(VLOOKUP(A2257,A2258:$H$3524,8,0),"")</f>
        <v/>
      </c>
      <c r="J2257" s="40" t="str">
        <f t="shared" si="184"/>
        <v/>
      </c>
      <c r="K2257" s="24" t="str">
        <f t="shared" si="180"/>
        <v/>
      </c>
      <c r="L2257" s="25" t="str">
        <f t="shared" si="181"/>
        <v/>
      </c>
      <c r="O2257" s="33" t="str">
        <f t="shared" si="182"/>
        <v/>
      </c>
      <c r="P2257" s="33" t="str">
        <f t="shared" si="183"/>
        <v/>
      </c>
    </row>
    <row r="2258" spans="9:16">
      <c r="I2258" s="23" t="str">
        <f>_xlfn.IFNA(VLOOKUP(A2258,A2259:$H$3524,8,0),"")</f>
        <v/>
      </c>
      <c r="J2258" s="40" t="str">
        <f t="shared" si="184"/>
        <v/>
      </c>
      <c r="K2258" s="24" t="str">
        <f t="shared" si="180"/>
        <v/>
      </c>
      <c r="L2258" s="25" t="str">
        <f t="shared" si="181"/>
        <v/>
      </c>
      <c r="O2258" s="33" t="str">
        <f t="shared" si="182"/>
        <v/>
      </c>
      <c r="P2258" s="33" t="str">
        <f t="shared" si="183"/>
        <v/>
      </c>
    </row>
    <row r="2259" spans="9:16">
      <c r="I2259" s="23" t="str">
        <f>_xlfn.IFNA(VLOOKUP(A2259,A2260:$H$3524,8,0),"")</f>
        <v/>
      </c>
      <c r="J2259" s="40" t="str">
        <f t="shared" si="184"/>
        <v/>
      </c>
      <c r="K2259" s="24" t="str">
        <f t="shared" si="180"/>
        <v/>
      </c>
      <c r="L2259" s="25" t="str">
        <f t="shared" si="181"/>
        <v/>
      </c>
      <c r="O2259" s="33" t="str">
        <f t="shared" si="182"/>
        <v/>
      </c>
      <c r="P2259" s="33" t="str">
        <f t="shared" si="183"/>
        <v/>
      </c>
    </row>
    <row r="2260" spans="9:16">
      <c r="I2260" s="23" t="str">
        <f>_xlfn.IFNA(VLOOKUP(A2260,A2261:$H$3524,8,0),"")</f>
        <v/>
      </c>
      <c r="J2260" s="40" t="str">
        <f t="shared" si="184"/>
        <v/>
      </c>
      <c r="K2260" s="24" t="str">
        <f t="shared" si="180"/>
        <v/>
      </c>
      <c r="L2260" s="25" t="str">
        <f t="shared" si="181"/>
        <v/>
      </c>
      <c r="O2260" s="33" t="str">
        <f t="shared" si="182"/>
        <v/>
      </c>
      <c r="P2260" s="33" t="str">
        <f t="shared" si="183"/>
        <v/>
      </c>
    </row>
    <row r="2261" spans="9:16">
      <c r="I2261" s="23" t="str">
        <f>_xlfn.IFNA(VLOOKUP(A2261,A2262:$H$3524,8,0),"")</f>
        <v/>
      </c>
      <c r="J2261" s="40" t="str">
        <f t="shared" si="184"/>
        <v/>
      </c>
      <c r="K2261" s="24" t="str">
        <f t="shared" si="180"/>
        <v/>
      </c>
      <c r="L2261" s="25" t="str">
        <f t="shared" si="181"/>
        <v/>
      </c>
      <c r="O2261" s="33" t="str">
        <f t="shared" si="182"/>
        <v/>
      </c>
      <c r="P2261" s="33" t="str">
        <f t="shared" si="183"/>
        <v/>
      </c>
    </row>
    <row r="2262" spans="9:16">
      <c r="I2262" s="23" t="str">
        <f>_xlfn.IFNA(VLOOKUP(A2262,A2263:$H$3524,8,0),"")</f>
        <v/>
      </c>
      <c r="J2262" s="40" t="str">
        <f t="shared" si="184"/>
        <v/>
      </c>
      <c r="K2262" s="24" t="str">
        <f t="shared" ref="K2262:K2325" si="185">IF(H2262="","",IFERROR((I2262-H2262)*24,0))</f>
        <v/>
      </c>
      <c r="L2262" s="25" t="str">
        <f t="shared" si="181"/>
        <v/>
      </c>
      <c r="O2262" s="33" t="str">
        <f t="shared" si="182"/>
        <v/>
      </c>
      <c r="P2262" s="33" t="str">
        <f t="shared" si="183"/>
        <v/>
      </c>
    </row>
    <row r="2263" spans="9:16">
      <c r="I2263" s="23" t="str">
        <f>_xlfn.IFNA(VLOOKUP(A2263,A2264:$H$3524,8,0),"")</f>
        <v/>
      </c>
      <c r="J2263" s="40" t="str">
        <f t="shared" si="184"/>
        <v/>
      </c>
      <c r="K2263" s="24" t="str">
        <f t="shared" si="185"/>
        <v/>
      </c>
      <c r="L2263" s="25" t="str">
        <f t="shared" si="181"/>
        <v/>
      </c>
      <c r="O2263" s="33" t="str">
        <f t="shared" si="182"/>
        <v/>
      </c>
      <c r="P2263" s="33" t="str">
        <f t="shared" si="183"/>
        <v/>
      </c>
    </row>
    <row r="2264" spans="9:16">
      <c r="I2264" s="23" t="str">
        <f>_xlfn.IFNA(VLOOKUP(A2264,A2265:$H$3524,8,0),"")</f>
        <v/>
      </c>
      <c r="J2264" s="40" t="str">
        <f t="shared" si="184"/>
        <v/>
      </c>
      <c r="K2264" s="24" t="str">
        <f t="shared" si="185"/>
        <v/>
      </c>
      <c r="L2264" s="25" t="str">
        <f t="shared" si="181"/>
        <v/>
      </c>
      <c r="O2264" s="33" t="str">
        <f t="shared" si="182"/>
        <v/>
      </c>
      <c r="P2264" s="33" t="str">
        <f t="shared" si="183"/>
        <v/>
      </c>
    </row>
    <row r="2265" spans="9:16">
      <c r="I2265" s="23" t="str">
        <f>_xlfn.IFNA(VLOOKUP(A2265,A2266:$H$3524,8,0),"")</f>
        <v/>
      </c>
      <c r="J2265" s="40" t="str">
        <f t="shared" si="184"/>
        <v/>
      </c>
      <c r="K2265" s="24" t="str">
        <f t="shared" si="185"/>
        <v/>
      </c>
      <c r="L2265" s="25" t="str">
        <f t="shared" si="181"/>
        <v/>
      </c>
      <c r="O2265" s="33" t="str">
        <f t="shared" si="182"/>
        <v/>
      </c>
      <c r="P2265" s="33" t="str">
        <f t="shared" si="183"/>
        <v/>
      </c>
    </row>
    <row r="2266" spans="9:16">
      <c r="I2266" s="23" t="str">
        <f>_xlfn.IFNA(VLOOKUP(A2266,A2267:$H$3524,8,0),"")</f>
        <v/>
      </c>
      <c r="J2266" s="40" t="str">
        <f t="shared" si="184"/>
        <v/>
      </c>
      <c r="K2266" s="24" t="str">
        <f t="shared" si="185"/>
        <v/>
      </c>
      <c r="L2266" s="25" t="str">
        <f t="shared" si="181"/>
        <v/>
      </c>
      <c r="O2266" s="33" t="str">
        <f t="shared" si="182"/>
        <v/>
      </c>
      <c r="P2266" s="33" t="str">
        <f t="shared" si="183"/>
        <v/>
      </c>
    </row>
    <row r="2267" spans="9:16">
      <c r="I2267" s="23" t="str">
        <f>_xlfn.IFNA(VLOOKUP(A2267,A2268:$H$3524,8,0),"")</f>
        <v/>
      </c>
      <c r="J2267" s="40" t="str">
        <f t="shared" si="184"/>
        <v/>
      </c>
      <c r="K2267" s="24" t="str">
        <f t="shared" si="185"/>
        <v/>
      </c>
      <c r="L2267" s="25" t="str">
        <f t="shared" si="181"/>
        <v/>
      </c>
      <c r="O2267" s="33" t="str">
        <f t="shared" si="182"/>
        <v/>
      </c>
      <c r="P2267" s="33" t="str">
        <f t="shared" si="183"/>
        <v/>
      </c>
    </row>
    <row r="2268" spans="9:16">
      <c r="I2268" s="23" t="str">
        <f>_xlfn.IFNA(VLOOKUP(A2268,A2269:$H$3524,8,0),"")</f>
        <v/>
      </c>
      <c r="J2268" s="40" t="str">
        <f t="shared" si="184"/>
        <v/>
      </c>
      <c r="K2268" s="24" t="str">
        <f t="shared" si="185"/>
        <v/>
      </c>
      <c r="L2268" s="25" t="str">
        <f t="shared" si="181"/>
        <v/>
      </c>
      <c r="O2268" s="33" t="str">
        <f t="shared" si="182"/>
        <v/>
      </c>
      <c r="P2268" s="33" t="str">
        <f t="shared" si="183"/>
        <v/>
      </c>
    </row>
    <row r="2269" spans="9:16">
      <c r="I2269" s="23" t="str">
        <f>_xlfn.IFNA(VLOOKUP(A2269,A2270:$H$3524,8,0),"")</f>
        <v/>
      </c>
      <c r="J2269" s="40" t="str">
        <f t="shared" si="184"/>
        <v/>
      </c>
      <c r="K2269" s="24" t="str">
        <f t="shared" si="185"/>
        <v/>
      </c>
      <c r="L2269" s="25" t="str">
        <f t="shared" si="181"/>
        <v/>
      </c>
      <c r="O2269" s="33" t="str">
        <f t="shared" si="182"/>
        <v/>
      </c>
      <c r="P2269" s="33" t="str">
        <f t="shared" si="183"/>
        <v/>
      </c>
    </row>
    <row r="2270" spans="9:16">
      <c r="I2270" s="23" t="str">
        <f>_xlfn.IFNA(VLOOKUP(A2270,A2271:$H$3524,8,0),"")</f>
        <v/>
      </c>
      <c r="J2270" s="40" t="str">
        <f t="shared" si="184"/>
        <v/>
      </c>
      <c r="K2270" s="24" t="str">
        <f t="shared" si="185"/>
        <v/>
      </c>
      <c r="L2270" s="25" t="str">
        <f t="shared" si="181"/>
        <v/>
      </c>
      <c r="O2270" s="33" t="str">
        <f t="shared" si="182"/>
        <v/>
      </c>
      <c r="P2270" s="33" t="str">
        <f t="shared" si="183"/>
        <v/>
      </c>
    </row>
    <row r="2271" spans="9:16">
      <c r="I2271" s="23" t="str">
        <f>_xlfn.IFNA(VLOOKUP(A2271,A2272:$H$3524,8,0),"")</f>
        <v/>
      </c>
      <c r="J2271" s="40" t="str">
        <f t="shared" si="184"/>
        <v/>
      </c>
      <c r="K2271" s="24" t="str">
        <f t="shared" si="185"/>
        <v/>
      </c>
      <c r="L2271" s="25" t="str">
        <f t="shared" si="181"/>
        <v/>
      </c>
      <c r="O2271" s="33" t="str">
        <f t="shared" si="182"/>
        <v/>
      </c>
      <c r="P2271" s="33" t="str">
        <f t="shared" si="183"/>
        <v/>
      </c>
    </row>
    <row r="2272" spans="9:16">
      <c r="I2272" s="23" t="str">
        <f>_xlfn.IFNA(VLOOKUP(A2272,A2273:$H$3524,8,0),"")</f>
        <v/>
      </c>
      <c r="J2272" s="40" t="str">
        <f t="shared" si="184"/>
        <v/>
      </c>
      <c r="K2272" s="24" t="str">
        <f t="shared" si="185"/>
        <v/>
      </c>
      <c r="L2272" s="25" t="str">
        <f t="shared" si="181"/>
        <v/>
      </c>
      <c r="O2272" s="33" t="str">
        <f t="shared" si="182"/>
        <v/>
      </c>
      <c r="P2272" s="33" t="str">
        <f t="shared" si="183"/>
        <v/>
      </c>
    </row>
    <row r="2273" spans="9:16">
      <c r="I2273" s="23" t="str">
        <f>_xlfn.IFNA(VLOOKUP(A2273,A2274:$H$3524,8,0),"")</f>
        <v/>
      </c>
      <c r="J2273" s="40" t="str">
        <f t="shared" si="184"/>
        <v/>
      </c>
      <c r="K2273" s="24" t="str">
        <f t="shared" si="185"/>
        <v/>
      </c>
      <c r="L2273" s="25" t="str">
        <f t="shared" si="181"/>
        <v/>
      </c>
      <c r="O2273" s="33" t="str">
        <f t="shared" si="182"/>
        <v/>
      </c>
      <c r="P2273" s="33" t="str">
        <f t="shared" si="183"/>
        <v/>
      </c>
    </row>
    <row r="2274" spans="9:16">
      <c r="I2274" s="23" t="str">
        <f>_xlfn.IFNA(VLOOKUP(A2274,A2275:$H$3524,8,0),"")</f>
        <v/>
      </c>
      <c r="J2274" s="40" t="str">
        <f t="shared" si="184"/>
        <v/>
      </c>
      <c r="K2274" s="24" t="str">
        <f t="shared" si="185"/>
        <v/>
      </c>
      <c r="L2274" s="25" t="str">
        <f t="shared" si="181"/>
        <v/>
      </c>
      <c r="O2274" s="33" t="str">
        <f t="shared" si="182"/>
        <v/>
      </c>
      <c r="P2274" s="33" t="str">
        <f t="shared" si="183"/>
        <v/>
      </c>
    </row>
    <row r="2275" spans="9:16">
      <c r="I2275" s="23" t="str">
        <f>_xlfn.IFNA(VLOOKUP(A2275,A2276:$H$3524,8,0),"")</f>
        <v/>
      </c>
      <c r="J2275" s="40" t="str">
        <f t="shared" si="184"/>
        <v/>
      </c>
      <c r="K2275" s="24" t="str">
        <f t="shared" si="185"/>
        <v/>
      </c>
      <c r="L2275" s="25" t="str">
        <f t="shared" si="181"/>
        <v/>
      </c>
      <c r="O2275" s="33" t="str">
        <f t="shared" si="182"/>
        <v/>
      </c>
      <c r="P2275" s="33" t="str">
        <f t="shared" si="183"/>
        <v/>
      </c>
    </row>
    <row r="2276" spans="9:16">
      <c r="I2276" s="23" t="str">
        <f>_xlfn.IFNA(VLOOKUP(A2276,A2277:$H$3524,8,0),"")</f>
        <v/>
      </c>
      <c r="J2276" s="40" t="str">
        <f t="shared" si="184"/>
        <v/>
      </c>
      <c r="K2276" s="24" t="str">
        <f t="shared" si="185"/>
        <v/>
      </c>
      <c r="L2276" s="25" t="str">
        <f t="shared" si="181"/>
        <v/>
      </c>
      <c r="O2276" s="33" t="str">
        <f t="shared" si="182"/>
        <v/>
      </c>
      <c r="P2276" s="33" t="str">
        <f t="shared" si="183"/>
        <v/>
      </c>
    </row>
    <row r="2277" spans="9:16">
      <c r="I2277" s="23" t="str">
        <f>_xlfn.IFNA(VLOOKUP(A2277,A2278:$H$3524,8,0),"")</f>
        <v/>
      </c>
      <c r="J2277" s="40" t="str">
        <f t="shared" si="184"/>
        <v/>
      </c>
      <c r="K2277" s="24" t="str">
        <f t="shared" si="185"/>
        <v/>
      </c>
      <c r="L2277" s="25" t="str">
        <f t="shared" si="181"/>
        <v/>
      </c>
      <c r="O2277" s="33" t="str">
        <f t="shared" si="182"/>
        <v/>
      </c>
      <c r="P2277" s="33" t="str">
        <f t="shared" si="183"/>
        <v/>
      </c>
    </row>
    <row r="2278" spans="9:16">
      <c r="I2278" s="23" t="str">
        <f>_xlfn.IFNA(VLOOKUP(A2278,A2279:$H$3524,8,0),"")</f>
        <v/>
      </c>
      <c r="J2278" s="40" t="str">
        <f t="shared" si="184"/>
        <v/>
      </c>
      <c r="K2278" s="24" t="str">
        <f t="shared" si="185"/>
        <v/>
      </c>
      <c r="L2278" s="25" t="str">
        <f t="shared" si="181"/>
        <v/>
      </c>
      <c r="O2278" s="33" t="str">
        <f t="shared" si="182"/>
        <v/>
      </c>
      <c r="P2278" s="33" t="str">
        <f t="shared" si="183"/>
        <v/>
      </c>
    </row>
    <row r="2279" spans="9:16">
      <c r="I2279" s="23" t="str">
        <f>_xlfn.IFNA(VLOOKUP(A2279,A2280:$H$3524,8,0),"")</f>
        <v/>
      </c>
      <c r="J2279" s="40" t="str">
        <f t="shared" si="184"/>
        <v/>
      </c>
      <c r="K2279" s="24" t="str">
        <f t="shared" si="185"/>
        <v/>
      </c>
      <c r="L2279" s="25" t="str">
        <f t="shared" si="181"/>
        <v/>
      </c>
      <c r="O2279" s="33" t="str">
        <f t="shared" si="182"/>
        <v/>
      </c>
      <c r="P2279" s="33" t="str">
        <f t="shared" si="183"/>
        <v/>
      </c>
    </row>
    <row r="2280" spans="9:16">
      <c r="I2280" s="23" t="str">
        <f>_xlfn.IFNA(VLOOKUP(A2280,A2281:$H$3524,8,0),"")</f>
        <v/>
      </c>
      <c r="J2280" s="40" t="str">
        <f t="shared" si="184"/>
        <v/>
      </c>
      <c r="K2280" s="24" t="str">
        <f t="shared" si="185"/>
        <v/>
      </c>
      <c r="L2280" s="25" t="str">
        <f t="shared" si="181"/>
        <v/>
      </c>
      <c r="O2280" s="33" t="str">
        <f t="shared" si="182"/>
        <v/>
      </c>
      <c r="P2280" s="33" t="str">
        <f t="shared" si="183"/>
        <v/>
      </c>
    </row>
    <row r="2281" spans="9:16">
      <c r="I2281" s="23" t="str">
        <f>_xlfn.IFNA(VLOOKUP(A2281,A2282:$H$3524,8,0),"")</f>
        <v/>
      </c>
      <c r="J2281" s="40" t="str">
        <f t="shared" si="184"/>
        <v/>
      </c>
      <c r="K2281" s="24" t="str">
        <f t="shared" si="185"/>
        <v/>
      </c>
      <c r="L2281" s="25" t="str">
        <f t="shared" si="181"/>
        <v/>
      </c>
      <c r="O2281" s="33" t="str">
        <f t="shared" si="182"/>
        <v/>
      </c>
      <c r="P2281" s="33" t="str">
        <f t="shared" si="183"/>
        <v/>
      </c>
    </row>
    <row r="2282" spans="9:16">
      <c r="I2282" s="23" t="str">
        <f>_xlfn.IFNA(VLOOKUP(A2282,A2283:$H$3524,8,0),"")</f>
        <v/>
      </c>
      <c r="J2282" s="40" t="str">
        <f t="shared" si="184"/>
        <v/>
      </c>
      <c r="K2282" s="24" t="str">
        <f t="shared" si="185"/>
        <v/>
      </c>
      <c r="L2282" s="25" t="str">
        <f t="shared" si="181"/>
        <v/>
      </c>
      <c r="O2282" s="33" t="str">
        <f t="shared" si="182"/>
        <v/>
      </c>
      <c r="P2282" s="33" t="str">
        <f t="shared" si="183"/>
        <v/>
      </c>
    </row>
    <row r="2283" spans="9:16">
      <c r="I2283" s="23" t="str">
        <f>_xlfn.IFNA(VLOOKUP(A2283,A2284:$H$3524,8,0),"")</f>
        <v/>
      </c>
      <c r="J2283" s="40" t="str">
        <f t="shared" si="184"/>
        <v/>
      </c>
      <c r="K2283" s="24" t="str">
        <f t="shared" si="185"/>
        <v/>
      </c>
      <c r="L2283" s="25" t="str">
        <f t="shared" si="181"/>
        <v/>
      </c>
      <c r="O2283" s="33" t="str">
        <f t="shared" si="182"/>
        <v/>
      </c>
      <c r="P2283" s="33" t="str">
        <f t="shared" si="183"/>
        <v/>
      </c>
    </row>
    <row r="2284" spans="9:16">
      <c r="I2284" s="23" t="str">
        <f>_xlfn.IFNA(VLOOKUP(A2284,A2285:$H$3524,8,0),"")</f>
        <v/>
      </c>
      <c r="J2284" s="40" t="str">
        <f t="shared" si="184"/>
        <v/>
      </c>
      <c r="K2284" s="24" t="str">
        <f t="shared" si="185"/>
        <v/>
      </c>
      <c r="L2284" s="25" t="str">
        <f t="shared" si="181"/>
        <v/>
      </c>
      <c r="O2284" s="33" t="str">
        <f t="shared" si="182"/>
        <v/>
      </c>
      <c r="P2284" s="33" t="str">
        <f t="shared" si="183"/>
        <v/>
      </c>
    </row>
    <row r="2285" spans="9:16">
      <c r="I2285" s="23" t="str">
        <f>_xlfn.IFNA(VLOOKUP(A2285,A2286:$H$3524,8,0),"")</f>
        <v/>
      </c>
      <c r="J2285" s="40" t="str">
        <f t="shared" si="184"/>
        <v/>
      </c>
      <c r="K2285" s="24" t="str">
        <f t="shared" si="185"/>
        <v/>
      </c>
      <c r="L2285" s="25" t="str">
        <f t="shared" si="181"/>
        <v/>
      </c>
      <c r="O2285" s="33" t="str">
        <f t="shared" si="182"/>
        <v/>
      </c>
      <c r="P2285" s="33" t="str">
        <f t="shared" si="183"/>
        <v/>
      </c>
    </row>
    <row r="2286" spans="9:16">
      <c r="I2286" s="23" t="str">
        <f>_xlfn.IFNA(VLOOKUP(A2286,A2287:$H$3524,8,0),"")</f>
        <v/>
      </c>
      <c r="J2286" s="40" t="str">
        <f t="shared" si="184"/>
        <v/>
      </c>
      <c r="K2286" s="24" t="str">
        <f t="shared" si="185"/>
        <v/>
      </c>
      <c r="L2286" s="25" t="str">
        <f t="shared" si="181"/>
        <v/>
      </c>
      <c r="O2286" s="33" t="str">
        <f t="shared" si="182"/>
        <v/>
      </c>
      <c r="P2286" s="33" t="str">
        <f t="shared" si="183"/>
        <v/>
      </c>
    </row>
    <row r="2287" spans="9:16">
      <c r="I2287" s="23" t="str">
        <f>_xlfn.IFNA(VLOOKUP(A2287,A2288:$H$3524,8,0),"")</f>
        <v/>
      </c>
      <c r="J2287" s="40" t="str">
        <f t="shared" si="184"/>
        <v/>
      </c>
      <c r="K2287" s="24" t="str">
        <f t="shared" si="185"/>
        <v/>
      </c>
      <c r="L2287" s="25" t="str">
        <f t="shared" si="181"/>
        <v/>
      </c>
      <c r="O2287" s="33" t="str">
        <f t="shared" si="182"/>
        <v/>
      </c>
      <c r="P2287" s="33" t="str">
        <f t="shared" si="183"/>
        <v/>
      </c>
    </row>
    <row r="2288" spans="9:16">
      <c r="I2288" s="23" t="str">
        <f>_xlfn.IFNA(VLOOKUP(A2288,A2289:$H$3524,8,0),"")</f>
        <v/>
      </c>
      <c r="J2288" s="40" t="str">
        <f t="shared" si="184"/>
        <v/>
      </c>
      <c r="K2288" s="24" t="str">
        <f t="shared" si="185"/>
        <v/>
      </c>
      <c r="L2288" s="25" t="str">
        <f t="shared" si="181"/>
        <v/>
      </c>
      <c r="O2288" s="33" t="str">
        <f t="shared" si="182"/>
        <v/>
      </c>
      <c r="P2288" s="33" t="str">
        <f t="shared" si="183"/>
        <v/>
      </c>
    </row>
    <row r="2289" spans="9:16">
      <c r="I2289" s="23" t="str">
        <f>_xlfn.IFNA(VLOOKUP(A2289,A2290:$H$3524,8,0),"")</f>
        <v/>
      </c>
      <c r="J2289" s="40" t="str">
        <f t="shared" si="184"/>
        <v/>
      </c>
      <c r="K2289" s="24" t="str">
        <f t="shared" si="185"/>
        <v/>
      </c>
      <c r="L2289" s="25" t="str">
        <f t="shared" si="181"/>
        <v/>
      </c>
      <c r="O2289" s="33" t="str">
        <f t="shared" si="182"/>
        <v/>
      </c>
      <c r="P2289" s="33" t="str">
        <f t="shared" si="183"/>
        <v/>
      </c>
    </row>
    <row r="2290" spans="9:16">
      <c r="I2290" s="23" t="str">
        <f>_xlfn.IFNA(VLOOKUP(A2290,A2291:$H$3524,8,0),"")</f>
        <v/>
      </c>
      <c r="J2290" s="40" t="str">
        <f t="shared" si="184"/>
        <v/>
      </c>
      <c r="K2290" s="24" t="str">
        <f t="shared" si="185"/>
        <v/>
      </c>
      <c r="L2290" s="25" t="str">
        <f t="shared" si="181"/>
        <v/>
      </c>
      <c r="O2290" s="33" t="str">
        <f t="shared" si="182"/>
        <v/>
      </c>
      <c r="P2290" s="33" t="str">
        <f t="shared" si="183"/>
        <v/>
      </c>
    </row>
    <row r="2291" spans="9:16">
      <c r="I2291" s="23" t="str">
        <f>_xlfn.IFNA(VLOOKUP(A2291,A2292:$H$3524,8,0),"")</f>
        <v/>
      </c>
      <c r="J2291" s="40" t="str">
        <f t="shared" si="184"/>
        <v/>
      </c>
      <c r="K2291" s="24" t="str">
        <f t="shared" si="185"/>
        <v/>
      </c>
      <c r="L2291" s="25" t="str">
        <f t="shared" si="181"/>
        <v/>
      </c>
      <c r="O2291" s="33" t="str">
        <f t="shared" si="182"/>
        <v/>
      </c>
      <c r="P2291" s="33" t="str">
        <f t="shared" si="183"/>
        <v/>
      </c>
    </row>
    <row r="2292" spans="9:16">
      <c r="I2292" s="23" t="str">
        <f>_xlfn.IFNA(VLOOKUP(A2292,A2293:$H$3524,8,0),"")</f>
        <v/>
      </c>
      <c r="J2292" s="40" t="str">
        <f t="shared" si="184"/>
        <v/>
      </c>
      <c r="K2292" s="24" t="str">
        <f t="shared" si="185"/>
        <v/>
      </c>
      <c r="L2292" s="25" t="str">
        <f t="shared" si="181"/>
        <v/>
      </c>
      <c r="O2292" s="33" t="str">
        <f t="shared" si="182"/>
        <v/>
      </c>
      <c r="P2292" s="33" t="str">
        <f t="shared" si="183"/>
        <v/>
      </c>
    </row>
    <row r="2293" spans="9:16">
      <c r="I2293" s="23" t="str">
        <f>_xlfn.IFNA(VLOOKUP(A2293,A2294:$H$3524,8,0),"")</f>
        <v/>
      </c>
      <c r="J2293" s="40" t="str">
        <f t="shared" si="184"/>
        <v/>
      </c>
      <c r="K2293" s="24" t="str">
        <f t="shared" si="185"/>
        <v/>
      </c>
      <c r="L2293" s="25" t="str">
        <f t="shared" si="181"/>
        <v/>
      </c>
      <c r="O2293" s="33" t="str">
        <f t="shared" si="182"/>
        <v/>
      </c>
      <c r="P2293" s="33" t="str">
        <f t="shared" si="183"/>
        <v/>
      </c>
    </row>
    <row r="2294" spans="9:16">
      <c r="I2294" s="23" t="str">
        <f>_xlfn.IFNA(VLOOKUP(A2294,A2295:$H$3524,8,0),"")</f>
        <v/>
      </c>
      <c r="J2294" s="40" t="str">
        <f t="shared" si="184"/>
        <v/>
      </c>
      <c r="K2294" s="24" t="str">
        <f t="shared" si="185"/>
        <v/>
      </c>
      <c r="L2294" s="25" t="str">
        <f t="shared" si="181"/>
        <v/>
      </c>
      <c r="O2294" s="33" t="str">
        <f t="shared" si="182"/>
        <v/>
      </c>
      <c r="P2294" s="33" t="str">
        <f t="shared" si="183"/>
        <v/>
      </c>
    </row>
    <row r="2295" spans="9:16">
      <c r="I2295" s="23" t="str">
        <f>_xlfn.IFNA(VLOOKUP(A2295,A2296:$H$3524,8,0),"")</f>
        <v/>
      </c>
      <c r="J2295" s="40" t="str">
        <f t="shared" si="184"/>
        <v/>
      </c>
      <c r="K2295" s="24" t="str">
        <f t="shared" si="185"/>
        <v/>
      </c>
      <c r="L2295" s="25" t="str">
        <f t="shared" ref="L2295:L2358" si="186">IF(K2295="","",IF(B2295="Break","Break",IF(K2295&lt;&gt;0,"Work Finished",IF(B2295="OFF","Work Finished",IF(I2295="","Working","Work Finished")))))</f>
        <v/>
      </c>
      <c r="O2295" s="33" t="str">
        <f t="shared" ref="O2295:O2358" si="187">IF(AND(J2295="",M2295="",N2295=""),"",J2295-M2295-N2295)</f>
        <v/>
      </c>
      <c r="P2295" s="33" t="str">
        <f t="shared" ref="P2295:P2358" si="188">IF(HOUR(H2295)=0,"",HOUR(H2295))</f>
        <v/>
      </c>
    </row>
    <row r="2296" spans="9:16">
      <c r="I2296" s="23" t="str">
        <f>_xlfn.IFNA(VLOOKUP(A2296,A2297:$H$3524,8,0),"")</f>
        <v/>
      </c>
      <c r="J2296" s="40" t="str">
        <f t="shared" si="184"/>
        <v/>
      </c>
      <c r="K2296" s="24" t="str">
        <f t="shared" si="185"/>
        <v/>
      </c>
      <c r="L2296" s="25" t="str">
        <f t="shared" si="186"/>
        <v/>
      </c>
      <c r="O2296" s="33" t="str">
        <f t="shared" si="187"/>
        <v/>
      </c>
      <c r="P2296" s="33" t="str">
        <f t="shared" si="188"/>
        <v/>
      </c>
    </row>
    <row r="2297" spans="9:16">
      <c r="I2297" s="23" t="str">
        <f>_xlfn.IFNA(VLOOKUP(A2297,A2298:$H$3524,8,0),"")</f>
        <v/>
      </c>
      <c r="J2297" s="40" t="str">
        <f t="shared" si="184"/>
        <v/>
      </c>
      <c r="K2297" s="24" t="str">
        <f t="shared" si="185"/>
        <v/>
      </c>
      <c r="L2297" s="25" t="str">
        <f t="shared" si="186"/>
        <v/>
      </c>
      <c r="O2297" s="33" t="str">
        <f t="shared" si="187"/>
        <v/>
      </c>
      <c r="P2297" s="33" t="str">
        <f t="shared" si="188"/>
        <v/>
      </c>
    </row>
    <row r="2298" spans="9:16">
      <c r="I2298" s="23" t="str">
        <f>_xlfn.IFNA(VLOOKUP(A2298,A2299:$H$3524,8,0),"")</f>
        <v/>
      </c>
      <c r="J2298" s="40" t="str">
        <f t="shared" si="184"/>
        <v/>
      </c>
      <c r="K2298" s="24" t="str">
        <f t="shared" si="185"/>
        <v/>
      </c>
      <c r="L2298" s="25" t="str">
        <f t="shared" si="186"/>
        <v/>
      </c>
      <c r="O2298" s="33" t="str">
        <f t="shared" si="187"/>
        <v/>
      </c>
      <c r="P2298" s="33" t="str">
        <f t="shared" si="188"/>
        <v/>
      </c>
    </row>
    <row r="2299" spans="9:16">
      <c r="I2299" s="23" t="str">
        <f>_xlfn.IFNA(VLOOKUP(A2299,A2300:$H$3524,8,0),"")</f>
        <v/>
      </c>
      <c r="J2299" s="40" t="str">
        <f t="shared" si="184"/>
        <v/>
      </c>
      <c r="K2299" s="24" t="str">
        <f t="shared" si="185"/>
        <v/>
      </c>
      <c r="L2299" s="25" t="str">
        <f t="shared" si="186"/>
        <v/>
      </c>
      <c r="O2299" s="33" t="str">
        <f t="shared" si="187"/>
        <v/>
      </c>
      <c r="P2299" s="33" t="str">
        <f t="shared" si="188"/>
        <v/>
      </c>
    </row>
    <row r="2300" spans="9:16">
      <c r="I2300" s="23" t="str">
        <f>_xlfn.IFNA(VLOOKUP(A2300,A2301:$H$3524,8,0),"")</f>
        <v/>
      </c>
      <c r="J2300" s="40" t="str">
        <f t="shared" si="184"/>
        <v/>
      </c>
      <c r="K2300" s="24" t="str">
        <f t="shared" si="185"/>
        <v/>
      </c>
      <c r="L2300" s="25" t="str">
        <f t="shared" si="186"/>
        <v/>
      </c>
      <c r="O2300" s="33" t="str">
        <f t="shared" si="187"/>
        <v/>
      </c>
      <c r="P2300" s="33" t="str">
        <f t="shared" si="188"/>
        <v/>
      </c>
    </row>
    <row r="2301" spans="9:16">
      <c r="I2301" s="23" t="str">
        <f>_xlfn.IFNA(VLOOKUP(A2301,A2302:$H$3524,8,0),"")</f>
        <v/>
      </c>
      <c r="J2301" s="40" t="str">
        <f t="shared" si="184"/>
        <v/>
      </c>
      <c r="K2301" s="24" t="str">
        <f t="shared" si="185"/>
        <v/>
      </c>
      <c r="L2301" s="25" t="str">
        <f t="shared" si="186"/>
        <v/>
      </c>
      <c r="O2301" s="33" t="str">
        <f t="shared" si="187"/>
        <v/>
      </c>
      <c r="P2301" s="33" t="str">
        <f t="shared" si="188"/>
        <v/>
      </c>
    </row>
    <row r="2302" spans="9:16">
      <c r="I2302" s="23" t="str">
        <f>_xlfn.IFNA(VLOOKUP(A2302,A2303:$H$3524,8,0),"")</f>
        <v/>
      </c>
      <c r="J2302" s="40" t="str">
        <f t="shared" si="184"/>
        <v/>
      </c>
      <c r="K2302" s="24" t="str">
        <f t="shared" si="185"/>
        <v/>
      </c>
      <c r="L2302" s="25" t="str">
        <f t="shared" si="186"/>
        <v/>
      </c>
      <c r="O2302" s="33" t="str">
        <f t="shared" si="187"/>
        <v/>
      </c>
      <c r="P2302" s="33" t="str">
        <f t="shared" si="188"/>
        <v/>
      </c>
    </row>
    <row r="2303" spans="9:16">
      <c r="I2303" s="23" t="str">
        <f>_xlfn.IFNA(VLOOKUP(A2303,A2304:$H$3524,8,0),"")</f>
        <v/>
      </c>
      <c r="J2303" s="40" t="str">
        <f t="shared" si="184"/>
        <v/>
      </c>
      <c r="K2303" s="24" t="str">
        <f t="shared" si="185"/>
        <v/>
      </c>
      <c r="L2303" s="25" t="str">
        <f t="shared" si="186"/>
        <v/>
      </c>
      <c r="O2303" s="33" t="str">
        <f t="shared" si="187"/>
        <v/>
      </c>
      <c r="P2303" s="33" t="str">
        <f t="shared" si="188"/>
        <v/>
      </c>
    </row>
    <row r="2304" spans="9:16">
      <c r="I2304" s="23" t="str">
        <f>_xlfn.IFNA(VLOOKUP(A2304,A2305:$H$3524,8,0),"")</f>
        <v/>
      </c>
      <c r="J2304" s="40" t="str">
        <f t="shared" si="184"/>
        <v/>
      </c>
      <c r="K2304" s="24" t="str">
        <f t="shared" si="185"/>
        <v/>
      </c>
      <c r="L2304" s="25" t="str">
        <f t="shared" si="186"/>
        <v/>
      </c>
      <c r="O2304" s="33" t="str">
        <f t="shared" si="187"/>
        <v/>
      </c>
      <c r="P2304" s="33" t="str">
        <f t="shared" si="188"/>
        <v/>
      </c>
    </row>
    <row r="2305" spans="9:16">
      <c r="I2305" s="23" t="str">
        <f>_xlfn.IFNA(VLOOKUP(A2305,A2306:$H$3524,8,0),"")</f>
        <v/>
      </c>
      <c r="J2305" s="40" t="str">
        <f t="shared" si="184"/>
        <v/>
      </c>
      <c r="K2305" s="24" t="str">
        <f t="shared" si="185"/>
        <v/>
      </c>
      <c r="L2305" s="25" t="str">
        <f t="shared" si="186"/>
        <v/>
      </c>
      <c r="O2305" s="33" t="str">
        <f t="shared" si="187"/>
        <v/>
      </c>
      <c r="P2305" s="33" t="str">
        <f t="shared" si="188"/>
        <v/>
      </c>
    </row>
    <row r="2306" spans="9:16">
      <c r="I2306" s="23" t="str">
        <f>_xlfn.IFNA(VLOOKUP(A2306,A2307:$H$3524,8,0),"")</f>
        <v/>
      </c>
      <c r="J2306" s="40" t="str">
        <f t="shared" si="184"/>
        <v/>
      </c>
      <c r="K2306" s="24" t="str">
        <f t="shared" si="185"/>
        <v/>
      </c>
      <c r="L2306" s="25" t="str">
        <f t="shared" si="186"/>
        <v/>
      </c>
      <c r="O2306" s="33" t="str">
        <f t="shared" si="187"/>
        <v/>
      </c>
      <c r="P2306" s="33" t="str">
        <f t="shared" si="188"/>
        <v/>
      </c>
    </row>
    <row r="2307" spans="9:16">
      <c r="I2307" s="23" t="str">
        <f>_xlfn.IFNA(VLOOKUP(A2307,A2308:$H$3524,8,0),"")</f>
        <v/>
      </c>
      <c r="J2307" s="40" t="str">
        <f t="shared" si="184"/>
        <v/>
      </c>
      <c r="K2307" s="24" t="str">
        <f t="shared" si="185"/>
        <v/>
      </c>
      <c r="L2307" s="25" t="str">
        <f t="shared" si="186"/>
        <v/>
      </c>
      <c r="O2307" s="33" t="str">
        <f t="shared" si="187"/>
        <v/>
      </c>
      <c r="P2307" s="33" t="str">
        <f t="shared" si="188"/>
        <v/>
      </c>
    </row>
    <row r="2308" spans="9:16">
      <c r="I2308" s="23" t="str">
        <f>_xlfn.IFNA(VLOOKUP(A2308,A2309:$H$3524,8,0),"")</f>
        <v/>
      </c>
      <c r="J2308" s="40" t="str">
        <f t="shared" si="184"/>
        <v/>
      </c>
      <c r="K2308" s="24" t="str">
        <f t="shared" si="185"/>
        <v/>
      </c>
      <c r="L2308" s="25" t="str">
        <f t="shared" si="186"/>
        <v/>
      </c>
      <c r="O2308" s="33" t="str">
        <f t="shared" si="187"/>
        <v/>
      </c>
      <c r="P2308" s="33" t="str">
        <f t="shared" si="188"/>
        <v/>
      </c>
    </row>
    <row r="2309" spans="9:16">
      <c r="I2309" s="23" t="str">
        <f>_xlfn.IFNA(VLOOKUP(A2309,A2310:$H$3524,8,0),"")</f>
        <v/>
      </c>
      <c r="J2309" s="40" t="str">
        <f t="shared" si="184"/>
        <v/>
      </c>
      <c r="K2309" s="24" t="str">
        <f t="shared" si="185"/>
        <v/>
      </c>
      <c r="L2309" s="25" t="str">
        <f t="shared" si="186"/>
        <v/>
      </c>
      <c r="O2309" s="33" t="str">
        <f t="shared" si="187"/>
        <v/>
      </c>
      <c r="P2309" s="33" t="str">
        <f t="shared" si="188"/>
        <v/>
      </c>
    </row>
    <row r="2310" spans="9:16">
      <c r="I2310" s="23" t="str">
        <f>_xlfn.IFNA(VLOOKUP(A2310,A2311:$H$3524,8,0),"")</f>
        <v/>
      </c>
      <c r="J2310" s="40" t="str">
        <f t="shared" ref="J2310:J2373" si="189">IF(B2310="OFF",0,IF(AND(D2310&lt;&gt;"",E2310&lt;&gt;""),E2310-D2310+1,""))</f>
        <v/>
      </c>
      <c r="K2310" s="24" t="str">
        <f t="shared" si="185"/>
        <v/>
      </c>
      <c r="L2310" s="25" t="str">
        <f t="shared" si="186"/>
        <v/>
      </c>
      <c r="O2310" s="33" t="str">
        <f t="shared" si="187"/>
        <v/>
      </c>
      <c r="P2310" s="33" t="str">
        <f t="shared" si="188"/>
        <v/>
      </c>
    </row>
    <row r="2311" spans="9:16">
      <c r="I2311" s="23" t="str">
        <f>_xlfn.IFNA(VLOOKUP(A2311,A2312:$H$3524,8,0),"")</f>
        <v/>
      </c>
      <c r="J2311" s="40" t="str">
        <f t="shared" si="189"/>
        <v/>
      </c>
      <c r="K2311" s="24" t="str">
        <f t="shared" si="185"/>
        <v/>
      </c>
      <c r="L2311" s="25" t="str">
        <f t="shared" si="186"/>
        <v/>
      </c>
      <c r="O2311" s="33" t="str">
        <f t="shared" si="187"/>
        <v/>
      </c>
      <c r="P2311" s="33" t="str">
        <f t="shared" si="188"/>
        <v/>
      </c>
    </row>
    <row r="2312" spans="9:16">
      <c r="I2312" s="23" t="str">
        <f>_xlfn.IFNA(VLOOKUP(A2312,A2313:$H$3524,8,0),"")</f>
        <v/>
      </c>
      <c r="J2312" s="40" t="str">
        <f t="shared" si="189"/>
        <v/>
      </c>
      <c r="K2312" s="24" t="str">
        <f t="shared" si="185"/>
        <v/>
      </c>
      <c r="L2312" s="25" t="str">
        <f t="shared" si="186"/>
        <v/>
      </c>
      <c r="O2312" s="33" t="str">
        <f t="shared" si="187"/>
        <v/>
      </c>
      <c r="P2312" s="33" t="str">
        <f t="shared" si="188"/>
        <v/>
      </c>
    </row>
    <row r="2313" spans="9:16">
      <c r="I2313" s="23" t="str">
        <f>_xlfn.IFNA(VLOOKUP(A2313,A2314:$H$3524,8,0),"")</f>
        <v/>
      </c>
      <c r="J2313" s="40" t="str">
        <f t="shared" si="189"/>
        <v/>
      </c>
      <c r="K2313" s="24" t="str">
        <f t="shared" si="185"/>
        <v/>
      </c>
      <c r="L2313" s="25" t="str">
        <f t="shared" si="186"/>
        <v/>
      </c>
      <c r="O2313" s="33" t="str">
        <f t="shared" si="187"/>
        <v/>
      </c>
      <c r="P2313" s="33" t="str">
        <f t="shared" si="188"/>
        <v/>
      </c>
    </row>
    <row r="2314" spans="9:16">
      <c r="I2314" s="23" t="str">
        <f>_xlfn.IFNA(VLOOKUP(A2314,A2315:$H$3524,8,0),"")</f>
        <v/>
      </c>
      <c r="J2314" s="40" t="str">
        <f t="shared" si="189"/>
        <v/>
      </c>
      <c r="K2314" s="24" t="str">
        <f t="shared" si="185"/>
        <v/>
      </c>
      <c r="L2314" s="25" t="str">
        <f t="shared" si="186"/>
        <v/>
      </c>
      <c r="O2314" s="33" t="str">
        <f t="shared" si="187"/>
        <v/>
      </c>
      <c r="P2314" s="33" t="str">
        <f t="shared" si="188"/>
        <v/>
      </c>
    </row>
    <row r="2315" spans="9:16">
      <c r="I2315" s="23" t="str">
        <f>_xlfn.IFNA(VLOOKUP(A2315,A2316:$H$3524,8,0),"")</f>
        <v/>
      </c>
      <c r="J2315" s="40" t="str">
        <f t="shared" si="189"/>
        <v/>
      </c>
      <c r="K2315" s="24" t="str">
        <f t="shared" si="185"/>
        <v/>
      </c>
      <c r="L2315" s="25" t="str">
        <f t="shared" si="186"/>
        <v/>
      </c>
      <c r="O2315" s="33" t="str">
        <f t="shared" si="187"/>
        <v/>
      </c>
      <c r="P2315" s="33" t="str">
        <f t="shared" si="188"/>
        <v/>
      </c>
    </row>
    <row r="2316" spans="9:16">
      <c r="I2316" s="23" t="str">
        <f>_xlfn.IFNA(VLOOKUP(A2316,A2317:$H$3524,8,0),"")</f>
        <v/>
      </c>
      <c r="J2316" s="40" t="str">
        <f t="shared" si="189"/>
        <v/>
      </c>
      <c r="K2316" s="24" t="str">
        <f t="shared" si="185"/>
        <v/>
      </c>
      <c r="L2316" s="25" t="str">
        <f t="shared" si="186"/>
        <v/>
      </c>
      <c r="O2316" s="33" t="str">
        <f t="shared" si="187"/>
        <v/>
      </c>
      <c r="P2316" s="33" t="str">
        <f t="shared" si="188"/>
        <v/>
      </c>
    </row>
    <row r="2317" spans="9:16">
      <c r="I2317" s="23" t="str">
        <f>_xlfn.IFNA(VLOOKUP(A2317,A2318:$H$3524,8,0),"")</f>
        <v/>
      </c>
      <c r="J2317" s="40" t="str">
        <f t="shared" si="189"/>
        <v/>
      </c>
      <c r="K2317" s="24" t="str">
        <f t="shared" si="185"/>
        <v/>
      </c>
      <c r="L2317" s="25" t="str">
        <f t="shared" si="186"/>
        <v/>
      </c>
      <c r="O2317" s="33" t="str">
        <f t="shared" si="187"/>
        <v/>
      </c>
      <c r="P2317" s="33" t="str">
        <f t="shared" si="188"/>
        <v/>
      </c>
    </row>
    <row r="2318" spans="9:16">
      <c r="I2318" s="23" t="str">
        <f>_xlfn.IFNA(VLOOKUP(A2318,A2319:$H$3524,8,0),"")</f>
        <v/>
      </c>
      <c r="J2318" s="40" t="str">
        <f t="shared" si="189"/>
        <v/>
      </c>
      <c r="K2318" s="24" t="str">
        <f t="shared" si="185"/>
        <v/>
      </c>
      <c r="L2318" s="25" t="str">
        <f t="shared" si="186"/>
        <v/>
      </c>
      <c r="O2318" s="33" t="str">
        <f t="shared" si="187"/>
        <v/>
      </c>
      <c r="P2318" s="33" t="str">
        <f t="shared" si="188"/>
        <v/>
      </c>
    </row>
    <row r="2319" spans="9:16">
      <c r="I2319" s="23" t="str">
        <f>_xlfn.IFNA(VLOOKUP(A2319,A2320:$H$3524,8,0),"")</f>
        <v/>
      </c>
      <c r="J2319" s="40" t="str">
        <f t="shared" si="189"/>
        <v/>
      </c>
      <c r="K2319" s="24" t="str">
        <f t="shared" si="185"/>
        <v/>
      </c>
      <c r="L2319" s="25" t="str">
        <f t="shared" si="186"/>
        <v/>
      </c>
      <c r="O2319" s="33" t="str">
        <f t="shared" si="187"/>
        <v/>
      </c>
      <c r="P2319" s="33" t="str">
        <f t="shared" si="188"/>
        <v/>
      </c>
    </row>
    <row r="2320" spans="9:16">
      <c r="I2320" s="23" t="str">
        <f>_xlfn.IFNA(VLOOKUP(A2320,A2321:$H$3524,8,0),"")</f>
        <v/>
      </c>
      <c r="J2320" s="40" t="str">
        <f t="shared" si="189"/>
        <v/>
      </c>
      <c r="K2320" s="24" t="str">
        <f t="shared" si="185"/>
        <v/>
      </c>
      <c r="L2320" s="25" t="str">
        <f t="shared" si="186"/>
        <v/>
      </c>
      <c r="O2320" s="33" t="str">
        <f t="shared" si="187"/>
        <v/>
      </c>
      <c r="P2320" s="33" t="str">
        <f t="shared" si="188"/>
        <v/>
      </c>
    </row>
    <row r="2321" spans="9:16">
      <c r="I2321" s="23" t="str">
        <f>_xlfn.IFNA(VLOOKUP(A2321,A2322:$H$3524,8,0),"")</f>
        <v/>
      </c>
      <c r="J2321" s="40" t="str">
        <f t="shared" si="189"/>
        <v/>
      </c>
      <c r="K2321" s="24" t="str">
        <f t="shared" si="185"/>
        <v/>
      </c>
      <c r="L2321" s="25" t="str">
        <f t="shared" si="186"/>
        <v/>
      </c>
      <c r="O2321" s="33" t="str">
        <f t="shared" si="187"/>
        <v/>
      </c>
      <c r="P2321" s="33" t="str">
        <f t="shared" si="188"/>
        <v/>
      </c>
    </row>
    <row r="2322" spans="9:16">
      <c r="I2322" s="23" t="str">
        <f>_xlfn.IFNA(VLOOKUP(A2322,A2323:$H$3524,8,0),"")</f>
        <v/>
      </c>
      <c r="J2322" s="40" t="str">
        <f t="shared" si="189"/>
        <v/>
      </c>
      <c r="K2322" s="24" t="str">
        <f t="shared" si="185"/>
        <v/>
      </c>
      <c r="L2322" s="25" t="str">
        <f t="shared" si="186"/>
        <v/>
      </c>
      <c r="O2322" s="33" t="str">
        <f t="shared" si="187"/>
        <v/>
      </c>
      <c r="P2322" s="33" t="str">
        <f t="shared" si="188"/>
        <v/>
      </c>
    </row>
    <row r="2323" spans="9:16">
      <c r="I2323" s="23" t="str">
        <f>_xlfn.IFNA(VLOOKUP(A2323,A2324:$H$3524,8,0),"")</f>
        <v/>
      </c>
      <c r="J2323" s="40" t="str">
        <f t="shared" si="189"/>
        <v/>
      </c>
      <c r="K2323" s="24" t="str">
        <f t="shared" si="185"/>
        <v/>
      </c>
      <c r="L2323" s="25" t="str">
        <f t="shared" si="186"/>
        <v/>
      </c>
      <c r="O2323" s="33" t="str">
        <f t="shared" si="187"/>
        <v/>
      </c>
      <c r="P2323" s="33" t="str">
        <f t="shared" si="188"/>
        <v/>
      </c>
    </row>
    <row r="2324" spans="9:16">
      <c r="I2324" s="23" t="str">
        <f>_xlfn.IFNA(VLOOKUP(A2324,A2325:$H$3524,8,0),"")</f>
        <v/>
      </c>
      <c r="J2324" s="40" t="str">
        <f t="shared" si="189"/>
        <v/>
      </c>
      <c r="K2324" s="24" t="str">
        <f t="shared" si="185"/>
        <v/>
      </c>
      <c r="L2324" s="25" t="str">
        <f t="shared" si="186"/>
        <v/>
      </c>
      <c r="O2324" s="33" t="str">
        <f t="shared" si="187"/>
        <v/>
      </c>
      <c r="P2324" s="33" t="str">
        <f t="shared" si="188"/>
        <v/>
      </c>
    </row>
    <row r="2325" spans="9:16">
      <c r="I2325" s="23" t="str">
        <f>_xlfn.IFNA(VLOOKUP(A2325,A2326:$H$3524,8,0),"")</f>
        <v/>
      </c>
      <c r="J2325" s="40" t="str">
        <f t="shared" si="189"/>
        <v/>
      </c>
      <c r="K2325" s="24" t="str">
        <f t="shared" si="185"/>
        <v/>
      </c>
      <c r="L2325" s="25" t="str">
        <f t="shared" si="186"/>
        <v/>
      </c>
      <c r="O2325" s="33" t="str">
        <f t="shared" si="187"/>
        <v/>
      </c>
      <c r="P2325" s="33" t="str">
        <f t="shared" si="188"/>
        <v/>
      </c>
    </row>
    <row r="2326" spans="9:16">
      <c r="I2326" s="23" t="str">
        <f>_xlfn.IFNA(VLOOKUP(A2326,A2327:$H$3524,8,0),"")</f>
        <v/>
      </c>
      <c r="J2326" s="40" t="str">
        <f t="shared" si="189"/>
        <v/>
      </c>
      <c r="K2326" s="24" t="str">
        <f t="shared" ref="K2326:K2389" si="190">IF(H2326="","",IFERROR((I2326-H2326)*24,0))</f>
        <v/>
      </c>
      <c r="L2326" s="25" t="str">
        <f t="shared" si="186"/>
        <v/>
      </c>
      <c r="O2326" s="33" t="str">
        <f t="shared" si="187"/>
        <v/>
      </c>
      <c r="P2326" s="33" t="str">
        <f t="shared" si="188"/>
        <v/>
      </c>
    </row>
    <row r="2327" spans="9:16">
      <c r="I2327" s="23" t="str">
        <f>_xlfn.IFNA(VLOOKUP(A2327,A2328:$H$3524,8,0),"")</f>
        <v/>
      </c>
      <c r="J2327" s="40" t="str">
        <f t="shared" si="189"/>
        <v/>
      </c>
      <c r="K2327" s="24" t="str">
        <f t="shared" si="190"/>
        <v/>
      </c>
      <c r="L2327" s="25" t="str">
        <f t="shared" si="186"/>
        <v/>
      </c>
      <c r="O2327" s="33" t="str">
        <f t="shared" si="187"/>
        <v/>
      </c>
      <c r="P2327" s="33" t="str">
        <f t="shared" si="188"/>
        <v/>
      </c>
    </row>
    <row r="2328" spans="9:16">
      <c r="I2328" s="23" t="str">
        <f>_xlfn.IFNA(VLOOKUP(A2328,A2329:$H$3524,8,0),"")</f>
        <v/>
      </c>
      <c r="J2328" s="40" t="str">
        <f t="shared" si="189"/>
        <v/>
      </c>
      <c r="K2328" s="24" t="str">
        <f t="shared" si="190"/>
        <v/>
      </c>
      <c r="L2328" s="25" t="str">
        <f t="shared" si="186"/>
        <v/>
      </c>
      <c r="O2328" s="33" t="str">
        <f t="shared" si="187"/>
        <v/>
      </c>
      <c r="P2328" s="33" t="str">
        <f t="shared" si="188"/>
        <v/>
      </c>
    </row>
    <row r="2329" spans="9:16">
      <c r="I2329" s="23" t="str">
        <f>_xlfn.IFNA(VLOOKUP(A2329,A2330:$H$3524,8,0),"")</f>
        <v/>
      </c>
      <c r="J2329" s="40" t="str">
        <f t="shared" si="189"/>
        <v/>
      </c>
      <c r="K2329" s="24" t="str">
        <f t="shared" si="190"/>
        <v/>
      </c>
      <c r="L2329" s="25" t="str">
        <f t="shared" si="186"/>
        <v/>
      </c>
      <c r="O2329" s="33" t="str">
        <f t="shared" si="187"/>
        <v/>
      </c>
      <c r="P2329" s="33" t="str">
        <f t="shared" si="188"/>
        <v/>
      </c>
    </row>
    <row r="2330" spans="9:16">
      <c r="I2330" s="23" t="str">
        <f>_xlfn.IFNA(VLOOKUP(A2330,A2331:$H$3524,8,0),"")</f>
        <v/>
      </c>
      <c r="J2330" s="40" t="str">
        <f t="shared" si="189"/>
        <v/>
      </c>
      <c r="K2330" s="24" t="str">
        <f t="shared" si="190"/>
        <v/>
      </c>
      <c r="L2330" s="25" t="str">
        <f t="shared" si="186"/>
        <v/>
      </c>
      <c r="O2330" s="33" t="str">
        <f t="shared" si="187"/>
        <v/>
      </c>
      <c r="P2330" s="33" t="str">
        <f t="shared" si="188"/>
        <v/>
      </c>
    </row>
    <row r="2331" spans="9:16">
      <c r="I2331" s="23" t="str">
        <f>_xlfn.IFNA(VLOOKUP(A2331,A2332:$H$3524,8,0),"")</f>
        <v/>
      </c>
      <c r="J2331" s="40" t="str">
        <f t="shared" si="189"/>
        <v/>
      </c>
      <c r="K2331" s="24" t="str">
        <f t="shared" si="190"/>
        <v/>
      </c>
      <c r="L2331" s="25" t="str">
        <f t="shared" si="186"/>
        <v/>
      </c>
      <c r="O2331" s="33" t="str">
        <f t="shared" si="187"/>
        <v/>
      </c>
      <c r="P2331" s="33" t="str">
        <f t="shared" si="188"/>
        <v/>
      </c>
    </row>
    <row r="2332" spans="9:16">
      <c r="I2332" s="23" t="str">
        <f>_xlfn.IFNA(VLOOKUP(A2332,A2333:$H$3524,8,0),"")</f>
        <v/>
      </c>
      <c r="J2332" s="40" t="str">
        <f t="shared" si="189"/>
        <v/>
      </c>
      <c r="K2332" s="24" t="str">
        <f t="shared" si="190"/>
        <v/>
      </c>
      <c r="L2332" s="25" t="str">
        <f t="shared" si="186"/>
        <v/>
      </c>
      <c r="O2332" s="33" t="str">
        <f t="shared" si="187"/>
        <v/>
      </c>
      <c r="P2332" s="33" t="str">
        <f t="shared" si="188"/>
        <v/>
      </c>
    </row>
    <row r="2333" spans="9:16">
      <c r="I2333" s="23" t="str">
        <f>_xlfn.IFNA(VLOOKUP(A2333,A2334:$H$3524,8,0),"")</f>
        <v/>
      </c>
      <c r="J2333" s="40" t="str">
        <f t="shared" si="189"/>
        <v/>
      </c>
      <c r="K2333" s="24" t="str">
        <f t="shared" si="190"/>
        <v/>
      </c>
      <c r="L2333" s="25" t="str">
        <f t="shared" si="186"/>
        <v/>
      </c>
      <c r="O2333" s="33" t="str">
        <f t="shared" si="187"/>
        <v/>
      </c>
      <c r="P2333" s="33" t="str">
        <f t="shared" si="188"/>
        <v/>
      </c>
    </row>
    <row r="2334" spans="9:16">
      <c r="I2334" s="23" t="str">
        <f>_xlfn.IFNA(VLOOKUP(A2334,A2335:$H$3524,8,0),"")</f>
        <v/>
      </c>
      <c r="J2334" s="40" t="str">
        <f t="shared" si="189"/>
        <v/>
      </c>
      <c r="K2334" s="24" t="str">
        <f t="shared" si="190"/>
        <v/>
      </c>
      <c r="L2334" s="25" t="str">
        <f t="shared" si="186"/>
        <v/>
      </c>
      <c r="O2334" s="33" t="str">
        <f t="shared" si="187"/>
        <v/>
      </c>
      <c r="P2334" s="33" t="str">
        <f t="shared" si="188"/>
        <v/>
      </c>
    </row>
    <row r="2335" spans="9:16">
      <c r="I2335" s="23" t="str">
        <f>_xlfn.IFNA(VLOOKUP(A2335,A2336:$H$3524,8,0),"")</f>
        <v/>
      </c>
      <c r="J2335" s="40" t="str">
        <f t="shared" si="189"/>
        <v/>
      </c>
      <c r="K2335" s="24" t="str">
        <f t="shared" si="190"/>
        <v/>
      </c>
      <c r="L2335" s="25" t="str">
        <f t="shared" si="186"/>
        <v/>
      </c>
      <c r="O2335" s="33" t="str">
        <f t="shared" si="187"/>
        <v/>
      </c>
      <c r="P2335" s="33" t="str">
        <f t="shared" si="188"/>
        <v/>
      </c>
    </row>
    <row r="2336" spans="9:16">
      <c r="I2336" s="23" t="str">
        <f>_xlfn.IFNA(VLOOKUP(A2336,A2337:$H$3524,8,0),"")</f>
        <v/>
      </c>
      <c r="J2336" s="40" t="str">
        <f t="shared" si="189"/>
        <v/>
      </c>
      <c r="K2336" s="24" t="str">
        <f t="shared" si="190"/>
        <v/>
      </c>
      <c r="L2336" s="25" t="str">
        <f t="shared" si="186"/>
        <v/>
      </c>
      <c r="O2336" s="33" t="str">
        <f t="shared" si="187"/>
        <v/>
      </c>
      <c r="P2336" s="33" t="str">
        <f t="shared" si="188"/>
        <v/>
      </c>
    </row>
    <row r="2337" spans="9:16">
      <c r="I2337" s="23" t="str">
        <f>_xlfn.IFNA(VLOOKUP(A2337,A2338:$H$3524,8,0),"")</f>
        <v/>
      </c>
      <c r="J2337" s="40" t="str">
        <f t="shared" si="189"/>
        <v/>
      </c>
      <c r="K2337" s="24" t="str">
        <f t="shared" si="190"/>
        <v/>
      </c>
      <c r="L2337" s="25" t="str">
        <f t="shared" si="186"/>
        <v/>
      </c>
      <c r="O2337" s="33" t="str">
        <f t="shared" si="187"/>
        <v/>
      </c>
      <c r="P2337" s="33" t="str">
        <f t="shared" si="188"/>
        <v/>
      </c>
    </row>
    <row r="2338" spans="9:16">
      <c r="I2338" s="23" t="str">
        <f>_xlfn.IFNA(VLOOKUP(A2338,A2339:$H$3524,8,0),"")</f>
        <v/>
      </c>
      <c r="J2338" s="40" t="str">
        <f t="shared" si="189"/>
        <v/>
      </c>
      <c r="K2338" s="24" t="str">
        <f t="shared" si="190"/>
        <v/>
      </c>
      <c r="L2338" s="25" t="str">
        <f t="shared" si="186"/>
        <v/>
      </c>
      <c r="O2338" s="33" t="str">
        <f t="shared" si="187"/>
        <v/>
      </c>
      <c r="P2338" s="33" t="str">
        <f t="shared" si="188"/>
        <v/>
      </c>
    </row>
    <row r="2339" spans="9:16">
      <c r="I2339" s="23" t="str">
        <f>_xlfn.IFNA(VLOOKUP(A2339,A2340:$H$3524,8,0),"")</f>
        <v/>
      </c>
      <c r="J2339" s="40" t="str">
        <f t="shared" si="189"/>
        <v/>
      </c>
      <c r="K2339" s="24" t="str">
        <f t="shared" si="190"/>
        <v/>
      </c>
      <c r="L2339" s="25" t="str">
        <f t="shared" si="186"/>
        <v/>
      </c>
      <c r="O2339" s="33" t="str">
        <f t="shared" si="187"/>
        <v/>
      </c>
      <c r="P2339" s="33" t="str">
        <f t="shared" si="188"/>
        <v/>
      </c>
    </row>
    <row r="2340" spans="9:16">
      <c r="I2340" s="23" t="str">
        <f>_xlfn.IFNA(VLOOKUP(A2340,A2341:$H$3524,8,0),"")</f>
        <v/>
      </c>
      <c r="J2340" s="40" t="str">
        <f t="shared" si="189"/>
        <v/>
      </c>
      <c r="K2340" s="24" t="str">
        <f t="shared" si="190"/>
        <v/>
      </c>
      <c r="L2340" s="25" t="str">
        <f t="shared" si="186"/>
        <v/>
      </c>
      <c r="O2340" s="33" t="str">
        <f t="shared" si="187"/>
        <v/>
      </c>
      <c r="P2340" s="33" t="str">
        <f t="shared" si="188"/>
        <v/>
      </c>
    </row>
    <row r="2341" spans="9:16">
      <c r="I2341" s="23" t="str">
        <f>_xlfn.IFNA(VLOOKUP(A2341,A2342:$H$3524,8,0),"")</f>
        <v/>
      </c>
      <c r="J2341" s="40" t="str">
        <f t="shared" si="189"/>
        <v/>
      </c>
      <c r="K2341" s="24" t="str">
        <f t="shared" si="190"/>
        <v/>
      </c>
      <c r="L2341" s="25" t="str">
        <f t="shared" si="186"/>
        <v/>
      </c>
      <c r="O2341" s="33" t="str">
        <f t="shared" si="187"/>
        <v/>
      </c>
      <c r="P2341" s="33" t="str">
        <f t="shared" si="188"/>
        <v/>
      </c>
    </row>
    <row r="2342" spans="9:16">
      <c r="I2342" s="23" t="str">
        <f>_xlfn.IFNA(VLOOKUP(A2342,A2343:$H$3524,8,0),"")</f>
        <v/>
      </c>
      <c r="J2342" s="40" t="str">
        <f t="shared" si="189"/>
        <v/>
      </c>
      <c r="K2342" s="24" t="str">
        <f t="shared" si="190"/>
        <v/>
      </c>
      <c r="L2342" s="25" t="str">
        <f t="shared" si="186"/>
        <v/>
      </c>
      <c r="O2342" s="33" t="str">
        <f t="shared" si="187"/>
        <v/>
      </c>
      <c r="P2342" s="33" t="str">
        <f t="shared" si="188"/>
        <v/>
      </c>
    </row>
    <row r="2343" spans="9:16">
      <c r="I2343" s="23" t="str">
        <f>_xlfn.IFNA(VLOOKUP(A2343,A2344:$H$3524,8,0),"")</f>
        <v/>
      </c>
      <c r="J2343" s="40" t="str">
        <f t="shared" si="189"/>
        <v/>
      </c>
      <c r="K2343" s="24" t="str">
        <f t="shared" si="190"/>
        <v/>
      </c>
      <c r="L2343" s="25" t="str">
        <f t="shared" si="186"/>
        <v/>
      </c>
      <c r="O2343" s="33" t="str">
        <f t="shared" si="187"/>
        <v/>
      </c>
      <c r="P2343" s="33" t="str">
        <f t="shared" si="188"/>
        <v/>
      </c>
    </row>
    <row r="2344" spans="9:16">
      <c r="I2344" s="23" t="str">
        <f>_xlfn.IFNA(VLOOKUP(A2344,A2345:$H$3524,8,0),"")</f>
        <v/>
      </c>
      <c r="J2344" s="40" t="str">
        <f t="shared" si="189"/>
        <v/>
      </c>
      <c r="K2344" s="24" t="str">
        <f t="shared" si="190"/>
        <v/>
      </c>
      <c r="L2344" s="25" t="str">
        <f t="shared" si="186"/>
        <v/>
      </c>
      <c r="O2344" s="33" t="str">
        <f t="shared" si="187"/>
        <v/>
      </c>
      <c r="P2344" s="33" t="str">
        <f t="shared" si="188"/>
        <v/>
      </c>
    </row>
    <row r="2345" spans="9:16">
      <c r="I2345" s="23" t="str">
        <f>_xlfn.IFNA(VLOOKUP(A2345,A2346:$H$3524,8,0),"")</f>
        <v/>
      </c>
      <c r="J2345" s="40" t="str">
        <f t="shared" si="189"/>
        <v/>
      </c>
      <c r="K2345" s="24" t="str">
        <f t="shared" si="190"/>
        <v/>
      </c>
      <c r="L2345" s="25" t="str">
        <f t="shared" si="186"/>
        <v/>
      </c>
      <c r="O2345" s="33" t="str">
        <f t="shared" si="187"/>
        <v/>
      </c>
      <c r="P2345" s="33" t="str">
        <f t="shared" si="188"/>
        <v/>
      </c>
    </row>
    <row r="2346" spans="9:16">
      <c r="I2346" s="23" t="str">
        <f>_xlfn.IFNA(VLOOKUP(A2346,A2347:$H$3524,8,0),"")</f>
        <v/>
      </c>
      <c r="J2346" s="40" t="str">
        <f t="shared" si="189"/>
        <v/>
      </c>
      <c r="K2346" s="24" t="str">
        <f t="shared" si="190"/>
        <v/>
      </c>
      <c r="L2346" s="25" t="str">
        <f t="shared" si="186"/>
        <v/>
      </c>
      <c r="O2346" s="33" t="str">
        <f t="shared" si="187"/>
        <v/>
      </c>
      <c r="P2346" s="33" t="str">
        <f t="shared" si="188"/>
        <v/>
      </c>
    </row>
    <row r="2347" spans="9:16">
      <c r="I2347" s="23" t="str">
        <f>_xlfn.IFNA(VLOOKUP(A2347,A2348:$H$3524,8,0),"")</f>
        <v/>
      </c>
      <c r="J2347" s="40" t="str">
        <f t="shared" si="189"/>
        <v/>
      </c>
      <c r="K2347" s="24" t="str">
        <f t="shared" si="190"/>
        <v/>
      </c>
      <c r="L2347" s="25" t="str">
        <f t="shared" si="186"/>
        <v/>
      </c>
      <c r="O2347" s="33" t="str">
        <f t="shared" si="187"/>
        <v/>
      </c>
      <c r="P2347" s="33" t="str">
        <f t="shared" si="188"/>
        <v/>
      </c>
    </row>
    <row r="2348" spans="9:16">
      <c r="I2348" s="23" t="str">
        <f>_xlfn.IFNA(VLOOKUP(A2348,A2349:$H$3524,8,0),"")</f>
        <v/>
      </c>
      <c r="J2348" s="40" t="str">
        <f t="shared" si="189"/>
        <v/>
      </c>
      <c r="K2348" s="24" t="str">
        <f t="shared" si="190"/>
        <v/>
      </c>
      <c r="L2348" s="25" t="str">
        <f t="shared" si="186"/>
        <v/>
      </c>
      <c r="O2348" s="33" t="str">
        <f t="shared" si="187"/>
        <v/>
      </c>
      <c r="P2348" s="33" t="str">
        <f t="shared" si="188"/>
        <v/>
      </c>
    </row>
    <row r="2349" spans="9:16">
      <c r="I2349" s="23" t="str">
        <f>_xlfn.IFNA(VLOOKUP(A2349,A2350:$H$3524,8,0),"")</f>
        <v/>
      </c>
      <c r="J2349" s="40" t="str">
        <f t="shared" si="189"/>
        <v/>
      </c>
      <c r="K2349" s="24" t="str">
        <f t="shared" si="190"/>
        <v/>
      </c>
      <c r="L2349" s="25" t="str">
        <f t="shared" si="186"/>
        <v/>
      </c>
      <c r="O2349" s="33" t="str">
        <f t="shared" si="187"/>
        <v/>
      </c>
      <c r="P2349" s="33" t="str">
        <f t="shared" si="188"/>
        <v/>
      </c>
    </row>
    <row r="2350" spans="9:16">
      <c r="I2350" s="23" t="str">
        <f>_xlfn.IFNA(VLOOKUP(A2350,A2351:$H$3524,8,0),"")</f>
        <v/>
      </c>
      <c r="J2350" s="40" t="str">
        <f t="shared" si="189"/>
        <v/>
      </c>
      <c r="K2350" s="24" t="str">
        <f t="shared" si="190"/>
        <v/>
      </c>
      <c r="L2350" s="25" t="str">
        <f t="shared" si="186"/>
        <v/>
      </c>
      <c r="O2350" s="33" t="str">
        <f t="shared" si="187"/>
        <v/>
      </c>
      <c r="P2350" s="33" t="str">
        <f t="shared" si="188"/>
        <v/>
      </c>
    </row>
    <row r="2351" spans="9:16">
      <c r="I2351" s="23" t="str">
        <f>_xlfn.IFNA(VLOOKUP(A2351,A2352:$H$3524,8,0),"")</f>
        <v/>
      </c>
      <c r="J2351" s="40" t="str">
        <f t="shared" si="189"/>
        <v/>
      </c>
      <c r="K2351" s="24" t="str">
        <f t="shared" si="190"/>
        <v/>
      </c>
      <c r="L2351" s="25" t="str">
        <f t="shared" si="186"/>
        <v/>
      </c>
      <c r="O2351" s="33" t="str">
        <f t="shared" si="187"/>
        <v/>
      </c>
      <c r="P2351" s="33" t="str">
        <f t="shared" si="188"/>
        <v/>
      </c>
    </row>
    <row r="2352" spans="9:16">
      <c r="I2352" s="23" t="str">
        <f>_xlfn.IFNA(VLOOKUP(A2352,A2353:$H$3524,8,0),"")</f>
        <v/>
      </c>
      <c r="J2352" s="40" t="str">
        <f t="shared" si="189"/>
        <v/>
      </c>
      <c r="K2352" s="24" t="str">
        <f t="shared" si="190"/>
        <v/>
      </c>
      <c r="L2352" s="25" t="str">
        <f t="shared" si="186"/>
        <v/>
      </c>
      <c r="O2352" s="33" t="str">
        <f t="shared" si="187"/>
        <v/>
      </c>
      <c r="P2352" s="33" t="str">
        <f t="shared" si="188"/>
        <v/>
      </c>
    </row>
    <row r="2353" spans="9:16">
      <c r="I2353" s="23" t="str">
        <f>_xlfn.IFNA(VLOOKUP(A2353,A2354:$H$3524,8,0),"")</f>
        <v/>
      </c>
      <c r="J2353" s="40" t="str">
        <f t="shared" si="189"/>
        <v/>
      </c>
      <c r="K2353" s="24" t="str">
        <f t="shared" si="190"/>
        <v/>
      </c>
      <c r="L2353" s="25" t="str">
        <f t="shared" si="186"/>
        <v/>
      </c>
      <c r="O2353" s="33" t="str">
        <f t="shared" si="187"/>
        <v/>
      </c>
      <c r="P2353" s="33" t="str">
        <f t="shared" si="188"/>
        <v/>
      </c>
    </row>
    <row r="2354" spans="9:16">
      <c r="I2354" s="23" t="str">
        <f>_xlfn.IFNA(VLOOKUP(A2354,A2355:$H$3524,8,0),"")</f>
        <v/>
      </c>
      <c r="J2354" s="40" t="str">
        <f t="shared" si="189"/>
        <v/>
      </c>
      <c r="K2354" s="24" t="str">
        <f t="shared" si="190"/>
        <v/>
      </c>
      <c r="L2354" s="25" t="str">
        <f t="shared" si="186"/>
        <v/>
      </c>
      <c r="O2354" s="33" t="str">
        <f t="shared" si="187"/>
        <v/>
      </c>
      <c r="P2354" s="33" t="str">
        <f t="shared" si="188"/>
        <v/>
      </c>
    </row>
    <row r="2355" spans="9:16">
      <c r="I2355" s="23" t="str">
        <f>_xlfn.IFNA(VLOOKUP(A2355,A2356:$H$3524,8,0),"")</f>
        <v/>
      </c>
      <c r="J2355" s="40" t="str">
        <f t="shared" si="189"/>
        <v/>
      </c>
      <c r="K2355" s="24" t="str">
        <f t="shared" si="190"/>
        <v/>
      </c>
      <c r="L2355" s="25" t="str">
        <f t="shared" si="186"/>
        <v/>
      </c>
      <c r="O2355" s="33" t="str">
        <f t="shared" si="187"/>
        <v/>
      </c>
      <c r="P2355" s="33" t="str">
        <f t="shared" si="188"/>
        <v/>
      </c>
    </row>
    <row r="2356" spans="9:16">
      <c r="I2356" s="23" t="str">
        <f>_xlfn.IFNA(VLOOKUP(A2356,A2357:$H$3524,8,0),"")</f>
        <v/>
      </c>
      <c r="J2356" s="40" t="str">
        <f t="shared" si="189"/>
        <v/>
      </c>
      <c r="K2356" s="24" t="str">
        <f t="shared" si="190"/>
        <v/>
      </c>
      <c r="L2356" s="25" t="str">
        <f t="shared" si="186"/>
        <v/>
      </c>
      <c r="O2356" s="33" t="str">
        <f t="shared" si="187"/>
        <v/>
      </c>
      <c r="P2356" s="33" t="str">
        <f t="shared" si="188"/>
        <v/>
      </c>
    </row>
    <row r="2357" spans="9:16">
      <c r="I2357" s="23" t="str">
        <f>_xlfn.IFNA(VLOOKUP(A2357,A2358:$H$3524,8,0),"")</f>
        <v/>
      </c>
      <c r="J2357" s="40" t="str">
        <f t="shared" si="189"/>
        <v/>
      </c>
      <c r="K2357" s="24" t="str">
        <f t="shared" si="190"/>
        <v/>
      </c>
      <c r="L2357" s="25" t="str">
        <f t="shared" si="186"/>
        <v/>
      </c>
      <c r="O2357" s="33" t="str">
        <f t="shared" si="187"/>
        <v/>
      </c>
      <c r="P2357" s="33" t="str">
        <f t="shared" si="188"/>
        <v/>
      </c>
    </row>
    <row r="2358" spans="9:16">
      <c r="I2358" s="23" t="str">
        <f>_xlfn.IFNA(VLOOKUP(A2358,A2359:$H$3524,8,0),"")</f>
        <v/>
      </c>
      <c r="J2358" s="40" t="str">
        <f t="shared" si="189"/>
        <v/>
      </c>
      <c r="K2358" s="24" t="str">
        <f t="shared" si="190"/>
        <v/>
      </c>
      <c r="L2358" s="25" t="str">
        <f t="shared" si="186"/>
        <v/>
      </c>
      <c r="O2358" s="33" t="str">
        <f t="shared" si="187"/>
        <v/>
      </c>
      <c r="P2358" s="33" t="str">
        <f t="shared" si="188"/>
        <v/>
      </c>
    </row>
    <row r="2359" spans="9:16">
      <c r="I2359" s="23" t="str">
        <f>_xlfn.IFNA(VLOOKUP(A2359,A2360:$H$3524,8,0),"")</f>
        <v/>
      </c>
      <c r="J2359" s="40" t="str">
        <f t="shared" si="189"/>
        <v/>
      </c>
      <c r="K2359" s="24" t="str">
        <f t="shared" si="190"/>
        <v/>
      </c>
      <c r="L2359" s="25" t="str">
        <f t="shared" ref="L2359:L2422" si="191">IF(K2359="","",IF(B2359="Break","Break",IF(K2359&lt;&gt;0,"Work Finished",IF(B2359="OFF","Work Finished",IF(I2359="","Working","Work Finished")))))</f>
        <v/>
      </c>
      <c r="O2359" s="33" t="str">
        <f t="shared" ref="O2359:O2422" si="192">IF(AND(J2359="",M2359="",N2359=""),"",J2359-M2359-N2359)</f>
        <v/>
      </c>
      <c r="P2359" s="33" t="str">
        <f t="shared" ref="P2359:P2422" si="193">IF(HOUR(H2359)=0,"",HOUR(H2359))</f>
        <v/>
      </c>
    </row>
    <row r="2360" spans="9:16">
      <c r="I2360" s="23" t="str">
        <f>_xlfn.IFNA(VLOOKUP(A2360,A2361:$H$3524,8,0),"")</f>
        <v/>
      </c>
      <c r="J2360" s="40" t="str">
        <f t="shared" si="189"/>
        <v/>
      </c>
      <c r="K2360" s="24" t="str">
        <f t="shared" si="190"/>
        <v/>
      </c>
      <c r="L2360" s="25" t="str">
        <f t="shared" si="191"/>
        <v/>
      </c>
      <c r="O2360" s="33" t="str">
        <f t="shared" si="192"/>
        <v/>
      </c>
      <c r="P2360" s="33" t="str">
        <f t="shared" si="193"/>
        <v/>
      </c>
    </row>
    <row r="2361" spans="9:16">
      <c r="I2361" s="23" t="str">
        <f>_xlfn.IFNA(VLOOKUP(A2361,A2362:$H$3524,8,0),"")</f>
        <v/>
      </c>
      <c r="J2361" s="40" t="str">
        <f t="shared" si="189"/>
        <v/>
      </c>
      <c r="K2361" s="24" t="str">
        <f t="shared" si="190"/>
        <v/>
      </c>
      <c r="L2361" s="25" t="str">
        <f t="shared" si="191"/>
        <v/>
      </c>
      <c r="O2361" s="33" t="str">
        <f t="shared" si="192"/>
        <v/>
      </c>
      <c r="P2361" s="33" t="str">
        <f t="shared" si="193"/>
        <v/>
      </c>
    </row>
    <row r="2362" spans="9:16">
      <c r="I2362" s="23" t="str">
        <f>_xlfn.IFNA(VLOOKUP(A2362,A2363:$H$3524,8,0),"")</f>
        <v/>
      </c>
      <c r="J2362" s="40" t="str">
        <f t="shared" si="189"/>
        <v/>
      </c>
      <c r="K2362" s="24" t="str">
        <f t="shared" si="190"/>
        <v/>
      </c>
      <c r="L2362" s="25" t="str">
        <f t="shared" si="191"/>
        <v/>
      </c>
      <c r="O2362" s="33" t="str">
        <f t="shared" si="192"/>
        <v/>
      </c>
      <c r="P2362" s="33" t="str">
        <f t="shared" si="193"/>
        <v/>
      </c>
    </row>
    <row r="2363" spans="9:16">
      <c r="I2363" s="23" t="str">
        <f>_xlfn.IFNA(VLOOKUP(A2363,A2364:$H$3524,8,0),"")</f>
        <v/>
      </c>
      <c r="J2363" s="40" t="str">
        <f t="shared" si="189"/>
        <v/>
      </c>
      <c r="K2363" s="24" t="str">
        <f t="shared" si="190"/>
        <v/>
      </c>
      <c r="L2363" s="25" t="str">
        <f t="shared" si="191"/>
        <v/>
      </c>
      <c r="O2363" s="33" t="str">
        <f t="shared" si="192"/>
        <v/>
      </c>
      <c r="P2363" s="33" t="str">
        <f t="shared" si="193"/>
        <v/>
      </c>
    </row>
    <row r="2364" spans="9:16">
      <c r="I2364" s="23" t="str">
        <f>_xlfn.IFNA(VLOOKUP(A2364,A2365:$H$3524,8,0),"")</f>
        <v/>
      </c>
      <c r="J2364" s="40" t="str">
        <f t="shared" si="189"/>
        <v/>
      </c>
      <c r="K2364" s="24" t="str">
        <f t="shared" si="190"/>
        <v/>
      </c>
      <c r="L2364" s="25" t="str">
        <f t="shared" si="191"/>
        <v/>
      </c>
      <c r="O2364" s="33" t="str">
        <f t="shared" si="192"/>
        <v/>
      </c>
      <c r="P2364" s="33" t="str">
        <f t="shared" si="193"/>
        <v/>
      </c>
    </row>
    <row r="2365" spans="9:16">
      <c r="I2365" s="23" t="str">
        <f>_xlfn.IFNA(VLOOKUP(A2365,A2366:$H$3524,8,0),"")</f>
        <v/>
      </c>
      <c r="J2365" s="40" t="str">
        <f t="shared" si="189"/>
        <v/>
      </c>
      <c r="K2365" s="24" t="str">
        <f t="shared" si="190"/>
        <v/>
      </c>
      <c r="L2365" s="25" t="str">
        <f t="shared" si="191"/>
        <v/>
      </c>
      <c r="O2365" s="33" t="str">
        <f t="shared" si="192"/>
        <v/>
      </c>
      <c r="P2365" s="33" t="str">
        <f t="shared" si="193"/>
        <v/>
      </c>
    </row>
    <row r="2366" spans="9:16">
      <c r="I2366" s="23" t="str">
        <f>_xlfn.IFNA(VLOOKUP(A2366,A2367:$H$3524,8,0),"")</f>
        <v/>
      </c>
      <c r="J2366" s="40" t="str">
        <f t="shared" si="189"/>
        <v/>
      </c>
      <c r="K2366" s="24" t="str">
        <f t="shared" si="190"/>
        <v/>
      </c>
      <c r="L2366" s="25" t="str">
        <f t="shared" si="191"/>
        <v/>
      </c>
      <c r="O2366" s="33" t="str">
        <f t="shared" si="192"/>
        <v/>
      </c>
      <c r="P2366" s="33" t="str">
        <f t="shared" si="193"/>
        <v/>
      </c>
    </row>
    <row r="2367" spans="9:16">
      <c r="I2367" s="23" t="str">
        <f>_xlfn.IFNA(VLOOKUP(A2367,A2368:$H$3524,8,0),"")</f>
        <v/>
      </c>
      <c r="J2367" s="40" t="str">
        <f t="shared" si="189"/>
        <v/>
      </c>
      <c r="K2367" s="24" t="str">
        <f t="shared" si="190"/>
        <v/>
      </c>
      <c r="L2367" s="25" t="str">
        <f t="shared" si="191"/>
        <v/>
      </c>
      <c r="O2367" s="33" t="str">
        <f t="shared" si="192"/>
        <v/>
      </c>
      <c r="P2367" s="33" t="str">
        <f t="shared" si="193"/>
        <v/>
      </c>
    </row>
    <row r="2368" spans="9:16">
      <c r="I2368" s="23" t="str">
        <f>_xlfn.IFNA(VLOOKUP(A2368,A2369:$H$3524,8,0),"")</f>
        <v/>
      </c>
      <c r="J2368" s="40" t="str">
        <f t="shared" si="189"/>
        <v/>
      </c>
      <c r="K2368" s="24" t="str">
        <f t="shared" si="190"/>
        <v/>
      </c>
      <c r="L2368" s="25" t="str">
        <f t="shared" si="191"/>
        <v/>
      </c>
      <c r="O2368" s="33" t="str">
        <f t="shared" si="192"/>
        <v/>
      </c>
      <c r="P2368" s="33" t="str">
        <f t="shared" si="193"/>
        <v/>
      </c>
    </row>
    <row r="2369" spans="9:16">
      <c r="I2369" s="23" t="str">
        <f>_xlfn.IFNA(VLOOKUP(A2369,A2370:$H$3524,8,0),"")</f>
        <v/>
      </c>
      <c r="J2369" s="40" t="str">
        <f t="shared" si="189"/>
        <v/>
      </c>
      <c r="K2369" s="24" t="str">
        <f t="shared" si="190"/>
        <v/>
      </c>
      <c r="L2369" s="25" t="str">
        <f t="shared" si="191"/>
        <v/>
      </c>
      <c r="O2369" s="33" t="str">
        <f t="shared" si="192"/>
        <v/>
      </c>
      <c r="P2369" s="33" t="str">
        <f t="shared" si="193"/>
        <v/>
      </c>
    </row>
    <row r="2370" spans="9:16">
      <c r="I2370" s="23" t="str">
        <f>_xlfn.IFNA(VLOOKUP(A2370,A2371:$H$3524,8,0),"")</f>
        <v/>
      </c>
      <c r="J2370" s="40" t="str">
        <f t="shared" si="189"/>
        <v/>
      </c>
      <c r="K2370" s="24" t="str">
        <f t="shared" si="190"/>
        <v/>
      </c>
      <c r="L2370" s="25" t="str">
        <f t="shared" si="191"/>
        <v/>
      </c>
      <c r="O2370" s="33" t="str">
        <f t="shared" si="192"/>
        <v/>
      </c>
      <c r="P2370" s="33" t="str">
        <f t="shared" si="193"/>
        <v/>
      </c>
    </row>
    <row r="2371" spans="9:16">
      <c r="I2371" s="23" t="str">
        <f>_xlfn.IFNA(VLOOKUP(A2371,A2372:$H$3524,8,0),"")</f>
        <v/>
      </c>
      <c r="J2371" s="40" t="str">
        <f t="shared" si="189"/>
        <v/>
      </c>
      <c r="K2371" s="24" t="str">
        <f t="shared" si="190"/>
        <v/>
      </c>
      <c r="L2371" s="25" t="str">
        <f t="shared" si="191"/>
        <v/>
      </c>
      <c r="O2371" s="33" t="str">
        <f t="shared" si="192"/>
        <v/>
      </c>
      <c r="P2371" s="33" t="str">
        <f t="shared" si="193"/>
        <v/>
      </c>
    </row>
    <row r="2372" spans="9:16">
      <c r="I2372" s="23" t="str">
        <f>_xlfn.IFNA(VLOOKUP(A2372,A2373:$H$3524,8,0),"")</f>
        <v/>
      </c>
      <c r="J2372" s="40" t="str">
        <f t="shared" si="189"/>
        <v/>
      </c>
      <c r="K2372" s="24" t="str">
        <f t="shared" si="190"/>
        <v/>
      </c>
      <c r="L2372" s="25" t="str">
        <f t="shared" si="191"/>
        <v/>
      </c>
      <c r="O2372" s="33" t="str">
        <f t="shared" si="192"/>
        <v/>
      </c>
      <c r="P2372" s="33" t="str">
        <f t="shared" si="193"/>
        <v/>
      </c>
    </row>
    <row r="2373" spans="9:16">
      <c r="I2373" s="23" t="str">
        <f>_xlfn.IFNA(VLOOKUP(A2373,A2374:$H$3524,8,0),"")</f>
        <v/>
      </c>
      <c r="J2373" s="40" t="str">
        <f t="shared" si="189"/>
        <v/>
      </c>
      <c r="K2373" s="24" t="str">
        <f t="shared" si="190"/>
        <v/>
      </c>
      <c r="L2373" s="25" t="str">
        <f t="shared" si="191"/>
        <v/>
      </c>
      <c r="O2373" s="33" t="str">
        <f t="shared" si="192"/>
        <v/>
      </c>
      <c r="P2373" s="33" t="str">
        <f t="shared" si="193"/>
        <v/>
      </c>
    </row>
    <row r="2374" spans="9:16">
      <c r="I2374" s="23" t="str">
        <f>_xlfn.IFNA(VLOOKUP(A2374,A2375:$H$3524,8,0),"")</f>
        <v/>
      </c>
      <c r="J2374" s="40" t="str">
        <f t="shared" ref="J2374:J2437" si="194">IF(B2374="OFF",0,IF(AND(D2374&lt;&gt;"",E2374&lt;&gt;""),E2374-D2374+1,""))</f>
        <v/>
      </c>
      <c r="K2374" s="24" t="str">
        <f t="shared" si="190"/>
        <v/>
      </c>
      <c r="L2374" s="25" t="str">
        <f t="shared" si="191"/>
        <v/>
      </c>
      <c r="O2374" s="33" t="str">
        <f t="shared" si="192"/>
        <v/>
      </c>
      <c r="P2374" s="33" t="str">
        <f t="shared" si="193"/>
        <v/>
      </c>
    </row>
    <row r="2375" spans="9:16">
      <c r="I2375" s="23" t="str">
        <f>_xlfn.IFNA(VLOOKUP(A2375,A2376:$H$3524,8,0),"")</f>
        <v/>
      </c>
      <c r="J2375" s="40" t="str">
        <f t="shared" si="194"/>
        <v/>
      </c>
      <c r="K2375" s="24" t="str">
        <f t="shared" si="190"/>
        <v/>
      </c>
      <c r="L2375" s="25" t="str">
        <f t="shared" si="191"/>
        <v/>
      </c>
      <c r="O2375" s="33" t="str">
        <f t="shared" si="192"/>
        <v/>
      </c>
      <c r="P2375" s="33" t="str">
        <f t="shared" si="193"/>
        <v/>
      </c>
    </row>
    <row r="2376" spans="9:16">
      <c r="I2376" s="23" t="str">
        <f>_xlfn.IFNA(VLOOKUP(A2376,A2377:$H$3524,8,0),"")</f>
        <v/>
      </c>
      <c r="J2376" s="40" t="str">
        <f t="shared" si="194"/>
        <v/>
      </c>
      <c r="K2376" s="24" t="str">
        <f t="shared" si="190"/>
        <v/>
      </c>
      <c r="L2376" s="25" t="str">
        <f t="shared" si="191"/>
        <v/>
      </c>
      <c r="O2376" s="33" t="str">
        <f t="shared" si="192"/>
        <v/>
      </c>
      <c r="P2376" s="33" t="str">
        <f t="shared" si="193"/>
        <v/>
      </c>
    </row>
    <row r="2377" spans="9:16">
      <c r="I2377" s="23" t="str">
        <f>_xlfn.IFNA(VLOOKUP(A2377,A2378:$H$3524,8,0),"")</f>
        <v/>
      </c>
      <c r="J2377" s="40" t="str">
        <f t="shared" si="194"/>
        <v/>
      </c>
      <c r="K2377" s="24" t="str">
        <f t="shared" si="190"/>
        <v/>
      </c>
      <c r="L2377" s="25" t="str">
        <f t="shared" si="191"/>
        <v/>
      </c>
      <c r="O2377" s="33" t="str">
        <f t="shared" si="192"/>
        <v/>
      </c>
      <c r="P2377" s="33" t="str">
        <f t="shared" si="193"/>
        <v/>
      </c>
    </row>
    <row r="2378" spans="9:16">
      <c r="I2378" s="23" t="str">
        <f>_xlfn.IFNA(VLOOKUP(A2378,A2379:$H$3524,8,0),"")</f>
        <v/>
      </c>
      <c r="J2378" s="40" t="str">
        <f t="shared" si="194"/>
        <v/>
      </c>
      <c r="K2378" s="24" t="str">
        <f t="shared" si="190"/>
        <v/>
      </c>
      <c r="L2378" s="25" t="str">
        <f t="shared" si="191"/>
        <v/>
      </c>
      <c r="O2378" s="33" t="str">
        <f t="shared" si="192"/>
        <v/>
      </c>
      <c r="P2378" s="33" t="str">
        <f t="shared" si="193"/>
        <v/>
      </c>
    </row>
    <row r="2379" spans="9:16">
      <c r="I2379" s="23" t="str">
        <f>_xlfn.IFNA(VLOOKUP(A2379,A2380:$H$3524,8,0),"")</f>
        <v/>
      </c>
      <c r="J2379" s="40" t="str">
        <f t="shared" si="194"/>
        <v/>
      </c>
      <c r="K2379" s="24" t="str">
        <f t="shared" si="190"/>
        <v/>
      </c>
      <c r="L2379" s="25" t="str">
        <f t="shared" si="191"/>
        <v/>
      </c>
      <c r="O2379" s="33" t="str">
        <f t="shared" si="192"/>
        <v/>
      </c>
      <c r="P2379" s="33" t="str">
        <f t="shared" si="193"/>
        <v/>
      </c>
    </row>
    <row r="2380" spans="9:16">
      <c r="I2380" s="23" t="str">
        <f>_xlfn.IFNA(VLOOKUP(A2380,A2381:$H$3524,8,0),"")</f>
        <v/>
      </c>
      <c r="J2380" s="40" t="str">
        <f t="shared" si="194"/>
        <v/>
      </c>
      <c r="K2380" s="24" t="str">
        <f t="shared" si="190"/>
        <v/>
      </c>
      <c r="L2380" s="25" t="str">
        <f t="shared" si="191"/>
        <v/>
      </c>
      <c r="O2380" s="33" t="str">
        <f t="shared" si="192"/>
        <v/>
      </c>
      <c r="P2380" s="33" t="str">
        <f t="shared" si="193"/>
        <v/>
      </c>
    </row>
    <row r="2381" spans="9:16">
      <c r="I2381" s="23" t="str">
        <f>_xlfn.IFNA(VLOOKUP(A2381,A2382:$H$3524,8,0),"")</f>
        <v/>
      </c>
      <c r="J2381" s="40" t="str">
        <f t="shared" si="194"/>
        <v/>
      </c>
      <c r="K2381" s="24" t="str">
        <f t="shared" si="190"/>
        <v/>
      </c>
      <c r="L2381" s="25" t="str">
        <f t="shared" si="191"/>
        <v/>
      </c>
      <c r="O2381" s="33" t="str">
        <f t="shared" si="192"/>
        <v/>
      </c>
      <c r="P2381" s="33" t="str">
        <f t="shared" si="193"/>
        <v/>
      </c>
    </row>
    <row r="2382" spans="9:16">
      <c r="I2382" s="23" t="str">
        <f>_xlfn.IFNA(VLOOKUP(A2382,A2383:$H$3524,8,0),"")</f>
        <v/>
      </c>
      <c r="J2382" s="40" t="str">
        <f t="shared" si="194"/>
        <v/>
      </c>
      <c r="K2382" s="24" t="str">
        <f t="shared" si="190"/>
        <v/>
      </c>
      <c r="L2382" s="25" t="str">
        <f t="shared" si="191"/>
        <v/>
      </c>
      <c r="O2382" s="33" t="str">
        <f t="shared" si="192"/>
        <v/>
      </c>
      <c r="P2382" s="33" t="str">
        <f t="shared" si="193"/>
        <v/>
      </c>
    </row>
    <row r="2383" spans="9:16">
      <c r="I2383" s="23" t="str">
        <f>_xlfn.IFNA(VLOOKUP(A2383,A2384:$H$3524,8,0),"")</f>
        <v/>
      </c>
      <c r="J2383" s="40" t="str">
        <f t="shared" si="194"/>
        <v/>
      </c>
      <c r="K2383" s="24" t="str">
        <f t="shared" si="190"/>
        <v/>
      </c>
      <c r="L2383" s="25" t="str">
        <f t="shared" si="191"/>
        <v/>
      </c>
      <c r="O2383" s="33" t="str">
        <f t="shared" si="192"/>
        <v/>
      </c>
      <c r="P2383" s="33" t="str">
        <f t="shared" si="193"/>
        <v/>
      </c>
    </row>
    <row r="2384" spans="9:16">
      <c r="I2384" s="23" t="str">
        <f>_xlfn.IFNA(VLOOKUP(A2384,A2385:$H$3524,8,0),"")</f>
        <v/>
      </c>
      <c r="J2384" s="40" t="str">
        <f t="shared" si="194"/>
        <v/>
      </c>
      <c r="K2384" s="24" t="str">
        <f t="shared" si="190"/>
        <v/>
      </c>
      <c r="L2384" s="25" t="str">
        <f t="shared" si="191"/>
        <v/>
      </c>
      <c r="O2384" s="33" t="str">
        <f t="shared" si="192"/>
        <v/>
      </c>
      <c r="P2384" s="33" t="str">
        <f t="shared" si="193"/>
        <v/>
      </c>
    </row>
    <row r="2385" spans="9:16">
      <c r="I2385" s="23" t="str">
        <f>_xlfn.IFNA(VLOOKUP(A2385,A2386:$H$3524,8,0),"")</f>
        <v/>
      </c>
      <c r="J2385" s="40" t="str">
        <f t="shared" si="194"/>
        <v/>
      </c>
      <c r="K2385" s="24" t="str">
        <f t="shared" si="190"/>
        <v/>
      </c>
      <c r="L2385" s="25" t="str">
        <f t="shared" si="191"/>
        <v/>
      </c>
      <c r="O2385" s="33" t="str">
        <f t="shared" si="192"/>
        <v/>
      </c>
      <c r="P2385" s="33" t="str">
        <f t="shared" si="193"/>
        <v/>
      </c>
    </row>
    <row r="2386" spans="9:16">
      <c r="I2386" s="23" t="str">
        <f>_xlfn.IFNA(VLOOKUP(A2386,A2387:$H$3524,8,0),"")</f>
        <v/>
      </c>
      <c r="J2386" s="40" t="str">
        <f t="shared" si="194"/>
        <v/>
      </c>
      <c r="K2386" s="24" t="str">
        <f t="shared" si="190"/>
        <v/>
      </c>
      <c r="L2386" s="25" t="str">
        <f t="shared" si="191"/>
        <v/>
      </c>
      <c r="O2386" s="33" t="str">
        <f t="shared" si="192"/>
        <v/>
      </c>
      <c r="P2386" s="33" t="str">
        <f t="shared" si="193"/>
        <v/>
      </c>
    </row>
    <row r="2387" spans="9:16">
      <c r="I2387" s="23" t="str">
        <f>_xlfn.IFNA(VLOOKUP(A2387,A2388:$H$3524,8,0),"")</f>
        <v/>
      </c>
      <c r="J2387" s="40" t="str">
        <f t="shared" si="194"/>
        <v/>
      </c>
      <c r="K2387" s="24" t="str">
        <f t="shared" si="190"/>
        <v/>
      </c>
      <c r="L2387" s="25" t="str">
        <f t="shared" si="191"/>
        <v/>
      </c>
      <c r="O2387" s="33" t="str">
        <f t="shared" si="192"/>
        <v/>
      </c>
      <c r="P2387" s="33" t="str">
        <f t="shared" si="193"/>
        <v/>
      </c>
    </row>
    <row r="2388" spans="9:16">
      <c r="I2388" s="23" t="str">
        <f>_xlfn.IFNA(VLOOKUP(A2388,A2389:$H$3524,8,0),"")</f>
        <v/>
      </c>
      <c r="J2388" s="40" t="str">
        <f t="shared" si="194"/>
        <v/>
      </c>
      <c r="K2388" s="24" t="str">
        <f t="shared" si="190"/>
        <v/>
      </c>
      <c r="L2388" s="25" t="str">
        <f t="shared" si="191"/>
        <v/>
      </c>
      <c r="O2388" s="33" t="str">
        <f t="shared" si="192"/>
        <v/>
      </c>
      <c r="P2388" s="33" t="str">
        <f t="shared" si="193"/>
        <v/>
      </c>
    </row>
    <row r="2389" spans="9:16">
      <c r="I2389" s="23" t="str">
        <f>_xlfn.IFNA(VLOOKUP(A2389,A2390:$H$3524,8,0),"")</f>
        <v/>
      </c>
      <c r="J2389" s="40" t="str">
        <f t="shared" si="194"/>
        <v/>
      </c>
      <c r="K2389" s="24" t="str">
        <f t="shared" si="190"/>
        <v/>
      </c>
      <c r="L2389" s="25" t="str">
        <f t="shared" si="191"/>
        <v/>
      </c>
      <c r="O2389" s="33" t="str">
        <f t="shared" si="192"/>
        <v/>
      </c>
      <c r="P2389" s="33" t="str">
        <f t="shared" si="193"/>
        <v/>
      </c>
    </row>
    <row r="2390" spans="9:16">
      <c r="I2390" s="23" t="str">
        <f>_xlfn.IFNA(VLOOKUP(A2390,A2391:$H$3524,8,0),"")</f>
        <v/>
      </c>
      <c r="J2390" s="40" t="str">
        <f t="shared" si="194"/>
        <v/>
      </c>
      <c r="K2390" s="24" t="str">
        <f t="shared" ref="K2390:K2453" si="195">IF(H2390="","",IFERROR((I2390-H2390)*24,0))</f>
        <v/>
      </c>
      <c r="L2390" s="25" t="str">
        <f t="shared" si="191"/>
        <v/>
      </c>
      <c r="O2390" s="33" t="str">
        <f t="shared" si="192"/>
        <v/>
      </c>
      <c r="P2390" s="33" t="str">
        <f t="shared" si="193"/>
        <v/>
      </c>
    </row>
    <row r="2391" spans="9:16">
      <c r="I2391" s="23" t="str">
        <f>_xlfn.IFNA(VLOOKUP(A2391,A2392:$H$3524,8,0),"")</f>
        <v/>
      </c>
      <c r="J2391" s="40" t="str">
        <f t="shared" si="194"/>
        <v/>
      </c>
      <c r="K2391" s="24" t="str">
        <f t="shared" si="195"/>
        <v/>
      </c>
      <c r="L2391" s="25" t="str">
        <f t="shared" si="191"/>
        <v/>
      </c>
      <c r="O2391" s="33" t="str">
        <f t="shared" si="192"/>
        <v/>
      </c>
      <c r="P2391" s="33" t="str">
        <f t="shared" si="193"/>
        <v/>
      </c>
    </row>
    <row r="2392" spans="9:16">
      <c r="I2392" s="23" t="str">
        <f>_xlfn.IFNA(VLOOKUP(A2392,A2393:$H$3524,8,0),"")</f>
        <v/>
      </c>
      <c r="J2392" s="40" t="str">
        <f t="shared" si="194"/>
        <v/>
      </c>
      <c r="K2392" s="24" t="str">
        <f t="shared" si="195"/>
        <v/>
      </c>
      <c r="L2392" s="25" t="str">
        <f t="shared" si="191"/>
        <v/>
      </c>
      <c r="O2392" s="33" t="str">
        <f t="shared" si="192"/>
        <v/>
      </c>
      <c r="P2392" s="33" t="str">
        <f t="shared" si="193"/>
        <v/>
      </c>
    </row>
    <row r="2393" spans="9:16">
      <c r="I2393" s="23" t="str">
        <f>_xlfn.IFNA(VLOOKUP(A2393,A2394:$H$3524,8,0),"")</f>
        <v/>
      </c>
      <c r="J2393" s="40" t="str">
        <f t="shared" si="194"/>
        <v/>
      </c>
      <c r="K2393" s="24" t="str">
        <f t="shared" si="195"/>
        <v/>
      </c>
      <c r="L2393" s="25" t="str">
        <f t="shared" si="191"/>
        <v/>
      </c>
      <c r="O2393" s="33" t="str">
        <f t="shared" si="192"/>
        <v/>
      </c>
      <c r="P2393" s="33" t="str">
        <f t="shared" si="193"/>
        <v/>
      </c>
    </row>
    <row r="2394" spans="9:16">
      <c r="I2394" s="23" t="str">
        <f>_xlfn.IFNA(VLOOKUP(A2394,A2395:$H$3524,8,0),"")</f>
        <v/>
      </c>
      <c r="J2394" s="40" t="str">
        <f t="shared" si="194"/>
        <v/>
      </c>
      <c r="K2394" s="24" t="str">
        <f t="shared" si="195"/>
        <v/>
      </c>
      <c r="L2394" s="25" t="str">
        <f t="shared" si="191"/>
        <v/>
      </c>
      <c r="O2394" s="33" t="str">
        <f t="shared" si="192"/>
        <v/>
      </c>
      <c r="P2394" s="33" t="str">
        <f t="shared" si="193"/>
        <v/>
      </c>
    </row>
    <row r="2395" spans="9:16">
      <c r="I2395" s="23" t="str">
        <f>_xlfn.IFNA(VLOOKUP(A2395,A2396:$H$3524,8,0),"")</f>
        <v/>
      </c>
      <c r="J2395" s="40" t="str">
        <f t="shared" si="194"/>
        <v/>
      </c>
      <c r="K2395" s="24" t="str">
        <f t="shared" si="195"/>
        <v/>
      </c>
      <c r="L2395" s="25" t="str">
        <f t="shared" si="191"/>
        <v/>
      </c>
      <c r="O2395" s="33" t="str">
        <f t="shared" si="192"/>
        <v/>
      </c>
      <c r="P2395" s="33" t="str">
        <f t="shared" si="193"/>
        <v/>
      </c>
    </row>
    <row r="2396" spans="9:16">
      <c r="I2396" s="23" t="str">
        <f>_xlfn.IFNA(VLOOKUP(A2396,A2397:$H$3524,8,0),"")</f>
        <v/>
      </c>
      <c r="J2396" s="40" t="str">
        <f t="shared" si="194"/>
        <v/>
      </c>
      <c r="K2396" s="24" t="str">
        <f t="shared" si="195"/>
        <v/>
      </c>
      <c r="L2396" s="25" t="str">
        <f t="shared" si="191"/>
        <v/>
      </c>
      <c r="O2396" s="33" t="str">
        <f t="shared" si="192"/>
        <v/>
      </c>
      <c r="P2396" s="33" t="str">
        <f t="shared" si="193"/>
        <v/>
      </c>
    </row>
    <row r="2397" spans="9:16">
      <c r="I2397" s="23" t="str">
        <f>_xlfn.IFNA(VLOOKUP(A2397,A2398:$H$3524,8,0),"")</f>
        <v/>
      </c>
      <c r="J2397" s="40" t="str">
        <f t="shared" si="194"/>
        <v/>
      </c>
      <c r="K2397" s="24" t="str">
        <f t="shared" si="195"/>
        <v/>
      </c>
      <c r="L2397" s="25" t="str">
        <f t="shared" si="191"/>
        <v/>
      </c>
      <c r="O2397" s="33" t="str">
        <f t="shared" si="192"/>
        <v/>
      </c>
      <c r="P2397" s="33" t="str">
        <f t="shared" si="193"/>
        <v/>
      </c>
    </row>
    <row r="2398" spans="9:16">
      <c r="I2398" s="23" t="str">
        <f>_xlfn.IFNA(VLOOKUP(A2398,A2399:$H$3524,8,0),"")</f>
        <v/>
      </c>
      <c r="J2398" s="40" t="str">
        <f t="shared" si="194"/>
        <v/>
      </c>
      <c r="K2398" s="24" t="str">
        <f t="shared" si="195"/>
        <v/>
      </c>
      <c r="L2398" s="25" t="str">
        <f t="shared" si="191"/>
        <v/>
      </c>
      <c r="O2398" s="33" t="str">
        <f t="shared" si="192"/>
        <v/>
      </c>
      <c r="P2398" s="33" t="str">
        <f t="shared" si="193"/>
        <v/>
      </c>
    </row>
    <row r="2399" spans="9:16">
      <c r="I2399" s="23" t="str">
        <f>_xlfn.IFNA(VLOOKUP(A2399,A2400:$H$3524,8,0),"")</f>
        <v/>
      </c>
      <c r="J2399" s="40" t="str">
        <f t="shared" si="194"/>
        <v/>
      </c>
      <c r="K2399" s="24" t="str">
        <f t="shared" si="195"/>
        <v/>
      </c>
      <c r="L2399" s="25" t="str">
        <f t="shared" si="191"/>
        <v/>
      </c>
      <c r="O2399" s="33" t="str">
        <f t="shared" si="192"/>
        <v/>
      </c>
      <c r="P2399" s="33" t="str">
        <f t="shared" si="193"/>
        <v/>
      </c>
    </row>
    <row r="2400" spans="9:16">
      <c r="I2400" s="23" t="str">
        <f>_xlfn.IFNA(VLOOKUP(A2400,A2401:$H$3524,8,0),"")</f>
        <v/>
      </c>
      <c r="J2400" s="40" t="str">
        <f t="shared" si="194"/>
        <v/>
      </c>
      <c r="K2400" s="24" t="str">
        <f t="shared" si="195"/>
        <v/>
      </c>
      <c r="L2400" s="25" t="str">
        <f t="shared" si="191"/>
        <v/>
      </c>
      <c r="O2400" s="33" t="str">
        <f t="shared" si="192"/>
        <v/>
      </c>
      <c r="P2400" s="33" t="str">
        <f t="shared" si="193"/>
        <v/>
      </c>
    </row>
    <row r="2401" spans="9:16">
      <c r="I2401" s="23" t="str">
        <f>_xlfn.IFNA(VLOOKUP(A2401,A2402:$H$3524,8,0),"")</f>
        <v/>
      </c>
      <c r="J2401" s="40" t="str">
        <f t="shared" si="194"/>
        <v/>
      </c>
      <c r="K2401" s="24" t="str">
        <f t="shared" si="195"/>
        <v/>
      </c>
      <c r="L2401" s="25" t="str">
        <f t="shared" si="191"/>
        <v/>
      </c>
      <c r="O2401" s="33" t="str">
        <f t="shared" si="192"/>
        <v/>
      </c>
      <c r="P2401" s="33" t="str">
        <f t="shared" si="193"/>
        <v/>
      </c>
    </row>
    <row r="2402" spans="9:16">
      <c r="I2402" s="23" t="str">
        <f>_xlfn.IFNA(VLOOKUP(A2402,A2403:$H$3524,8,0),"")</f>
        <v/>
      </c>
      <c r="J2402" s="40" t="str">
        <f t="shared" si="194"/>
        <v/>
      </c>
      <c r="K2402" s="24" t="str">
        <f t="shared" si="195"/>
        <v/>
      </c>
      <c r="L2402" s="25" t="str">
        <f t="shared" si="191"/>
        <v/>
      </c>
      <c r="O2402" s="33" t="str">
        <f t="shared" si="192"/>
        <v/>
      </c>
      <c r="P2402" s="33" t="str">
        <f t="shared" si="193"/>
        <v/>
      </c>
    </row>
    <row r="2403" spans="9:16">
      <c r="I2403" s="23" t="str">
        <f>_xlfn.IFNA(VLOOKUP(A2403,A2404:$H$3524,8,0),"")</f>
        <v/>
      </c>
      <c r="J2403" s="40" t="str">
        <f t="shared" si="194"/>
        <v/>
      </c>
      <c r="K2403" s="24" t="str">
        <f t="shared" si="195"/>
        <v/>
      </c>
      <c r="L2403" s="25" t="str">
        <f t="shared" si="191"/>
        <v/>
      </c>
      <c r="O2403" s="33" t="str">
        <f t="shared" si="192"/>
        <v/>
      </c>
      <c r="P2403" s="33" t="str">
        <f t="shared" si="193"/>
        <v/>
      </c>
    </row>
    <row r="2404" spans="9:16">
      <c r="I2404" s="23" t="str">
        <f>_xlfn.IFNA(VLOOKUP(A2404,A2405:$H$3524,8,0),"")</f>
        <v/>
      </c>
      <c r="J2404" s="40" t="str">
        <f t="shared" si="194"/>
        <v/>
      </c>
      <c r="K2404" s="24" t="str">
        <f t="shared" si="195"/>
        <v/>
      </c>
      <c r="L2404" s="25" t="str">
        <f t="shared" si="191"/>
        <v/>
      </c>
      <c r="O2404" s="33" t="str">
        <f t="shared" si="192"/>
        <v/>
      </c>
      <c r="P2404" s="33" t="str">
        <f t="shared" si="193"/>
        <v/>
      </c>
    </row>
    <row r="2405" spans="9:16">
      <c r="I2405" s="23" t="str">
        <f>_xlfn.IFNA(VLOOKUP(A2405,A2406:$H$3524,8,0),"")</f>
        <v/>
      </c>
      <c r="J2405" s="40" t="str">
        <f t="shared" si="194"/>
        <v/>
      </c>
      <c r="K2405" s="24" t="str">
        <f t="shared" si="195"/>
        <v/>
      </c>
      <c r="L2405" s="25" t="str">
        <f t="shared" si="191"/>
        <v/>
      </c>
      <c r="O2405" s="33" t="str">
        <f t="shared" si="192"/>
        <v/>
      </c>
      <c r="P2405" s="33" t="str">
        <f t="shared" si="193"/>
        <v/>
      </c>
    </row>
    <row r="2406" spans="9:16">
      <c r="I2406" s="23" t="str">
        <f>_xlfn.IFNA(VLOOKUP(A2406,A2407:$H$3524,8,0),"")</f>
        <v/>
      </c>
      <c r="J2406" s="40" t="str">
        <f t="shared" si="194"/>
        <v/>
      </c>
      <c r="K2406" s="24" t="str">
        <f t="shared" si="195"/>
        <v/>
      </c>
      <c r="L2406" s="25" t="str">
        <f t="shared" si="191"/>
        <v/>
      </c>
      <c r="O2406" s="33" t="str">
        <f t="shared" si="192"/>
        <v/>
      </c>
      <c r="P2406" s="33" t="str">
        <f t="shared" si="193"/>
        <v/>
      </c>
    </row>
    <row r="2407" spans="9:16">
      <c r="I2407" s="23" t="str">
        <f>_xlfn.IFNA(VLOOKUP(A2407,A2408:$H$3524,8,0),"")</f>
        <v/>
      </c>
      <c r="J2407" s="40" t="str">
        <f t="shared" si="194"/>
        <v/>
      </c>
      <c r="K2407" s="24" t="str">
        <f t="shared" si="195"/>
        <v/>
      </c>
      <c r="L2407" s="25" t="str">
        <f t="shared" si="191"/>
        <v/>
      </c>
      <c r="O2407" s="33" t="str">
        <f t="shared" si="192"/>
        <v/>
      </c>
      <c r="P2407" s="33" t="str">
        <f t="shared" si="193"/>
        <v/>
      </c>
    </row>
    <row r="2408" spans="9:16">
      <c r="I2408" s="23" t="str">
        <f>_xlfn.IFNA(VLOOKUP(A2408,A2409:$H$3524,8,0),"")</f>
        <v/>
      </c>
      <c r="J2408" s="40" t="str">
        <f t="shared" si="194"/>
        <v/>
      </c>
      <c r="K2408" s="24" t="str">
        <f t="shared" si="195"/>
        <v/>
      </c>
      <c r="L2408" s="25" t="str">
        <f t="shared" si="191"/>
        <v/>
      </c>
      <c r="O2408" s="33" t="str">
        <f t="shared" si="192"/>
        <v/>
      </c>
      <c r="P2408" s="33" t="str">
        <f t="shared" si="193"/>
        <v/>
      </c>
    </row>
    <row r="2409" spans="9:16">
      <c r="I2409" s="23" t="str">
        <f>_xlfn.IFNA(VLOOKUP(A2409,A2410:$H$3524,8,0),"")</f>
        <v/>
      </c>
      <c r="J2409" s="40" t="str">
        <f t="shared" si="194"/>
        <v/>
      </c>
      <c r="K2409" s="24" t="str">
        <f t="shared" si="195"/>
        <v/>
      </c>
      <c r="L2409" s="25" t="str">
        <f t="shared" si="191"/>
        <v/>
      </c>
      <c r="O2409" s="33" t="str">
        <f t="shared" si="192"/>
        <v/>
      </c>
      <c r="P2409" s="33" t="str">
        <f t="shared" si="193"/>
        <v/>
      </c>
    </row>
    <row r="2410" spans="9:16">
      <c r="I2410" s="23" t="str">
        <f>_xlfn.IFNA(VLOOKUP(A2410,A2411:$H$3524,8,0),"")</f>
        <v/>
      </c>
      <c r="J2410" s="40" t="str">
        <f t="shared" si="194"/>
        <v/>
      </c>
      <c r="K2410" s="24" t="str">
        <f t="shared" si="195"/>
        <v/>
      </c>
      <c r="L2410" s="25" t="str">
        <f t="shared" si="191"/>
        <v/>
      </c>
      <c r="O2410" s="33" t="str">
        <f t="shared" si="192"/>
        <v/>
      </c>
      <c r="P2410" s="33" t="str">
        <f t="shared" si="193"/>
        <v/>
      </c>
    </row>
    <row r="2411" spans="9:16">
      <c r="I2411" s="23" t="str">
        <f>_xlfn.IFNA(VLOOKUP(A2411,A2412:$H$3524,8,0),"")</f>
        <v/>
      </c>
      <c r="J2411" s="40" t="str">
        <f t="shared" si="194"/>
        <v/>
      </c>
      <c r="K2411" s="24" t="str">
        <f t="shared" si="195"/>
        <v/>
      </c>
      <c r="L2411" s="25" t="str">
        <f t="shared" si="191"/>
        <v/>
      </c>
      <c r="O2411" s="33" t="str">
        <f t="shared" si="192"/>
        <v/>
      </c>
      <c r="P2411" s="33" t="str">
        <f t="shared" si="193"/>
        <v/>
      </c>
    </row>
    <row r="2412" spans="9:16">
      <c r="I2412" s="23" t="str">
        <f>_xlfn.IFNA(VLOOKUP(A2412,A2413:$H$3524,8,0),"")</f>
        <v/>
      </c>
      <c r="J2412" s="40" t="str">
        <f t="shared" si="194"/>
        <v/>
      </c>
      <c r="K2412" s="24" t="str">
        <f t="shared" si="195"/>
        <v/>
      </c>
      <c r="L2412" s="25" t="str">
        <f t="shared" si="191"/>
        <v/>
      </c>
      <c r="O2412" s="33" t="str">
        <f t="shared" si="192"/>
        <v/>
      </c>
      <c r="P2412" s="33" t="str">
        <f t="shared" si="193"/>
        <v/>
      </c>
    </row>
    <row r="2413" spans="9:16">
      <c r="I2413" s="23" t="str">
        <f>_xlfn.IFNA(VLOOKUP(A2413,A2414:$H$3524,8,0),"")</f>
        <v/>
      </c>
      <c r="J2413" s="40" t="str">
        <f t="shared" si="194"/>
        <v/>
      </c>
      <c r="K2413" s="24" t="str">
        <f t="shared" si="195"/>
        <v/>
      </c>
      <c r="L2413" s="25" t="str">
        <f t="shared" si="191"/>
        <v/>
      </c>
      <c r="O2413" s="33" t="str">
        <f t="shared" si="192"/>
        <v/>
      </c>
      <c r="P2413" s="33" t="str">
        <f t="shared" si="193"/>
        <v/>
      </c>
    </row>
    <row r="2414" spans="9:16">
      <c r="I2414" s="23" t="str">
        <f>_xlfn.IFNA(VLOOKUP(A2414,A2415:$H$3524,8,0),"")</f>
        <v/>
      </c>
      <c r="J2414" s="40" t="str">
        <f t="shared" si="194"/>
        <v/>
      </c>
      <c r="K2414" s="24" t="str">
        <f t="shared" si="195"/>
        <v/>
      </c>
      <c r="L2414" s="25" t="str">
        <f t="shared" si="191"/>
        <v/>
      </c>
      <c r="O2414" s="33" t="str">
        <f t="shared" si="192"/>
        <v/>
      </c>
      <c r="P2414" s="33" t="str">
        <f t="shared" si="193"/>
        <v/>
      </c>
    </row>
    <row r="2415" spans="9:16">
      <c r="I2415" s="23" t="str">
        <f>_xlfn.IFNA(VLOOKUP(A2415,A2416:$H$3524,8,0),"")</f>
        <v/>
      </c>
      <c r="J2415" s="40" t="str">
        <f t="shared" si="194"/>
        <v/>
      </c>
      <c r="K2415" s="24" t="str">
        <f t="shared" si="195"/>
        <v/>
      </c>
      <c r="L2415" s="25" t="str">
        <f t="shared" si="191"/>
        <v/>
      </c>
      <c r="O2415" s="33" t="str">
        <f t="shared" si="192"/>
        <v/>
      </c>
      <c r="P2415" s="33" t="str">
        <f t="shared" si="193"/>
        <v/>
      </c>
    </row>
    <row r="2416" spans="9:16">
      <c r="I2416" s="23" t="str">
        <f>_xlfn.IFNA(VLOOKUP(A2416,A2417:$H$3524,8,0),"")</f>
        <v/>
      </c>
      <c r="J2416" s="40" t="str">
        <f t="shared" si="194"/>
        <v/>
      </c>
      <c r="K2416" s="24" t="str">
        <f t="shared" si="195"/>
        <v/>
      </c>
      <c r="L2416" s="25" t="str">
        <f t="shared" si="191"/>
        <v/>
      </c>
      <c r="O2416" s="33" t="str">
        <f t="shared" si="192"/>
        <v/>
      </c>
      <c r="P2416" s="33" t="str">
        <f t="shared" si="193"/>
        <v/>
      </c>
    </row>
    <row r="2417" spans="9:16">
      <c r="I2417" s="23" t="str">
        <f>_xlfn.IFNA(VLOOKUP(A2417,A2418:$H$3524,8,0),"")</f>
        <v/>
      </c>
      <c r="J2417" s="40" t="str">
        <f t="shared" si="194"/>
        <v/>
      </c>
      <c r="K2417" s="24" t="str">
        <f t="shared" si="195"/>
        <v/>
      </c>
      <c r="L2417" s="25" t="str">
        <f t="shared" si="191"/>
        <v/>
      </c>
      <c r="O2417" s="33" t="str">
        <f t="shared" si="192"/>
        <v/>
      </c>
      <c r="P2417" s="33" t="str">
        <f t="shared" si="193"/>
        <v/>
      </c>
    </row>
    <row r="2418" spans="9:16">
      <c r="I2418" s="23" t="str">
        <f>_xlfn.IFNA(VLOOKUP(A2418,A2419:$H$3524,8,0),"")</f>
        <v/>
      </c>
      <c r="J2418" s="40" t="str">
        <f t="shared" si="194"/>
        <v/>
      </c>
      <c r="K2418" s="24" t="str">
        <f t="shared" si="195"/>
        <v/>
      </c>
      <c r="L2418" s="25" t="str">
        <f t="shared" si="191"/>
        <v/>
      </c>
      <c r="O2418" s="33" t="str">
        <f t="shared" si="192"/>
        <v/>
      </c>
      <c r="P2418" s="33" t="str">
        <f t="shared" si="193"/>
        <v/>
      </c>
    </row>
    <row r="2419" spans="9:16">
      <c r="I2419" s="23" t="str">
        <f>_xlfn.IFNA(VLOOKUP(A2419,A2420:$H$3524,8,0),"")</f>
        <v/>
      </c>
      <c r="J2419" s="40" t="str">
        <f t="shared" si="194"/>
        <v/>
      </c>
      <c r="K2419" s="24" t="str">
        <f t="shared" si="195"/>
        <v/>
      </c>
      <c r="L2419" s="25" t="str">
        <f t="shared" si="191"/>
        <v/>
      </c>
      <c r="O2419" s="33" t="str">
        <f t="shared" si="192"/>
        <v/>
      </c>
      <c r="P2419" s="33" t="str">
        <f t="shared" si="193"/>
        <v/>
      </c>
    </row>
    <row r="2420" spans="9:16">
      <c r="I2420" s="23" t="str">
        <f>_xlfn.IFNA(VLOOKUP(A2420,A2421:$H$3524,8,0),"")</f>
        <v/>
      </c>
      <c r="J2420" s="40" t="str">
        <f t="shared" si="194"/>
        <v/>
      </c>
      <c r="K2420" s="24" t="str">
        <f t="shared" si="195"/>
        <v/>
      </c>
      <c r="L2420" s="25" t="str">
        <f t="shared" si="191"/>
        <v/>
      </c>
      <c r="O2420" s="33" t="str">
        <f t="shared" si="192"/>
        <v/>
      </c>
      <c r="P2420" s="33" t="str">
        <f t="shared" si="193"/>
        <v/>
      </c>
    </row>
    <row r="2421" spans="9:16">
      <c r="I2421" s="23" t="str">
        <f>_xlfn.IFNA(VLOOKUP(A2421,A2422:$H$3524,8,0),"")</f>
        <v/>
      </c>
      <c r="J2421" s="40" t="str">
        <f t="shared" si="194"/>
        <v/>
      </c>
      <c r="K2421" s="24" t="str">
        <f t="shared" si="195"/>
        <v/>
      </c>
      <c r="L2421" s="25" t="str">
        <f t="shared" si="191"/>
        <v/>
      </c>
      <c r="O2421" s="33" t="str">
        <f t="shared" si="192"/>
        <v/>
      </c>
      <c r="P2421" s="33" t="str">
        <f t="shared" si="193"/>
        <v/>
      </c>
    </row>
    <row r="2422" spans="9:16">
      <c r="I2422" s="23" t="str">
        <f>_xlfn.IFNA(VLOOKUP(A2422,A2423:$H$3524,8,0),"")</f>
        <v/>
      </c>
      <c r="J2422" s="40" t="str">
        <f t="shared" si="194"/>
        <v/>
      </c>
      <c r="K2422" s="24" t="str">
        <f t="shared" si="195"/>
        <v/>
      </c>
      <c r="L2422" s="25" t="str">
        <f t="shared" si="191"/>
        <v/>
      </c>
      <c r="O2422" s="33" t="str">
        <f t="shared" si="192"/>
        <v/>
      </c>
      <c r="P2422" s="33" t="str">
        <f t="shared" si="193"/>
        <v/>
      </c>
    </row>
    <row r="2423" spans="9:16">
      <c r="I2423" s="23" t="str">
        <f>_xlfn.IFNA(VLOOKUP(A2423,A2424:$H$3524,8,0),"")</f>
        <v/>
      </c>
      <c r="J2423" s="40" t="str">
        <f t="shared" si="194"/>
        <v/>
      </c>
      <c r="K2423" s="24" t="str">
        <f t="shared" si="195"/>
        <v/>
      </c>
      <c r="L2423" s="25" t="str">
        <f t="shared" ref="L2423:L2486" si="196">IF(K2423="","",IF(B2423="Break","Break",IF(K2423&lt;&gt;0,"Work Finished",IF(B2423="OFF","Work Finished",IF(I2423="","Working","Work Finished")))))</f>
        <v/>
      </c>
      <c r="O2423" s="33" t="str">
        <f t="shared" ref="O2423:O2486" si="197">IF(AND(J2423="",M2423="",N2423=""),"",J2423-M2423-N2423)</f>
        <v/>
      </c>
      <c r="P2423" s="33" t="str">
        <f t="shared" ref="P2423:P2486" si="198">IF(HOUR(H2423)=0,"",HOUR(H2423))</f>
        <v/>
      </c>
    </row>
    <row r="2424" spans="9:16">
      <c r="I2424" s="23" t="str">
        <f>_xlfn.IFNA(VLOOKUP(A2424,A2425:$H$3524,8,0),"")</f>
        <v/>
      </c>
      <c r="J2424" s="40" t="str">
        <f t="shared" si="194"/>
        <v/>
      </c>
      <c r="K2424" s="24" t="str">
        <f t="shared" si="195"/>
        <v/>
      </c>
      <c r="L2424" s="25" t="str">
        <f t="shared" si="196"/>
        <v/>
      </c>
      <c r="O2424" s="33" t="str">
        <f t="shared" si="197"/>
        <v/>
      </c>
      <c r="P2424" s="33" t="str">
        <f t="shared" si="198"/>
        <v/>
      </c>
    </row>
    <row r="2425" spans="9:16">
      <c r="I2425" s="23" t="str">
        <f>_xlfn.IFNA(VLOOKUP(A2425,A2426:$H$3524,8,0),"")</f>
        <v/>
      </c>
      <c r="J2425" s="40" t="str">
        <f t="shared" si="194"/>
        <v/>
      </c>
      <c r="K2425" s="24" t="str">
        <f t="shared" si="195"/>
        <v/>
      </c>
      <c r="L2425" s="25" t="str">
        <f t="shared" si="196"/>
        <v/>
      </c>
      <c r="O2425" s="33" t="str">
        <f t="shared" si="197"/>
        <v/>
      </c>
      <c r="P2425" s="33" t="str">
        <f t="shared" si="198"/>
        <v/>
      </c>
    </row>
    <row r="2426" spans="9:16">
      <c r="I2426" s="23" t="str">
        <f>_xlfn.IFNA(VLOOKUP(A2426,A2427:$H$3524,8,0),"")</f>
        <v/>
      </c>
      <c r="J2426" s="40" t="str">
        <f t="shared" si="194"/>
        <v/>
      </c>
      <c r="K2426" s="24" t="str">
        <f t="shared" si="195"/>
        <v/>
      </c>
      <c r="L2426" s="25" t="str">
        <f t="shared" si="196"/>
        <v/>
      </c>
      <c r="O2426" s="33" t="str">
        <f t="shared" si="197"/>
        <v/>
      </c>
      <c r="P2426" s="33" t="str">
        <f t="shared" si="198"/>
        <v/>
      </c>
    </row>
    <row r="2427" spans="9:16">
      <c r="I2427" s="23" t="str">
        <f>_xlfn.IFNA(VLOOKUP(A2427,A2428:$H$3524,8,0),"")</f>
        <v/>
      </c>
      <c r="J2427" s="40" t="str">
        <f t="shared" si="194"/>
        <v/>
      </c>
      <c r="K2427" s="24" t="str">
        <f t="shared" si="195"/>
        <v/>
      </c>
      <c r="L2427" s="25" t="str">
        <f t="shared" si="196"/>
        <v/>
      </c>
      <c r="O2427" s="33" t="str">
        <f t="shared" si="197"/>
        <v/>
      </c>
      <c r="P2427" s="33" t="str">
        <f t="shared" si="198"/>
        <v/>
      </c>
    </row>
    <row r="2428" spans="9:16">
      <c r="I2428" s="23" t="str">
        <f>_xlfn.IFNA(VLOOKUP(A2428,A2429:$H$3524,8,0),"")</f>
        <v/>
      </c>
      <c r="J2428" s="40" t="str">
        <f t="shared" si="194"/>
        <v/>
      </c>
      <c r="K2428" s="24" t="str">
        <f t="shared" si="195"/>
        <v/>
      </c>
      <c r="L2428" s="25" t="str">
        <f t="shared" si="196"/>
        <v/>
      </c>
      <c r="O2428" s="33" t="str">
        <f t="shared" si="197"/>
        <v/>
      </c>
      <c r="P2428" s="33" t="str">
        <f t="shared" si="198"/>
        <v/>
      </c>
    </row>
    <row r="2429" spans="9:16">
      <c r="I2429" s="23" t="str">
        <f>_xlfn.IFNA(VLOOKUP(A2429,A2430:$H$3524,8,0),"")</f>
        <v/>
      </c>
      <c r="J2429" s="40" t="str">
        <f t="shared" si="194"/>
        <v/>
      </c>
      <c r="K2429" s="24" t="str">
        <f t="shared" si="195"/>
        <v/>
      </c>
      <c r="L2429" s="25" t="str">
        <f t="shared" si="196"/>
        <v/>
      </c>
      <c r="O2429" s="33" t="str">
        <f t="shared" si="197"/>
        <v/>
      </c>
      <c r="P2429" s="33" t="str">
        <f t="shared" si="198"/>
        <v/>
      </c>
    </row>
    <row r="2430" spans="9:16">
      <c r="I2430" s="23" t="str">
        <f>_xlfn.IFNA(VLOOKUP(A2430,A2431:$H$3524,8,0),"")</f>
        <v/>
      </c>
      <c r="J2430" s="40" t="str">
        <f t="shared" si="194"/>
        <v/>
      </c>
      <c r="K2430" s="24" t="str">
        <f t="shared" si="195"/>
        <v/>
      </c>
      <c r="L2430" s="25" t="str">
        <f t="shared" si="196"/>
        <v/>
      </c>
      <c r="O2430" s="33" t="str">
        <f t="shared" si="197"/>
        <v/>
      </c>
      <c r="P2430" s="33" t="str">
        <f t="shared" si="198"/>
        <v/>
      </c>
    </row>
    <row r="2431" spans="9:16">
      <c r="I2431" s="23" t="str">
        <f>_xlfn.IFNA(VLOOKUP(A2431,A2432:$H$3524,8,0),"")</f>
        <v/>
      </c>
      <c r="J2431" s="40" t="str">
        <f t="shared" si="194"/>
        <v/>
      </c>
      <c r="K2431" s="24" t="str">
        <f t="shared" si="195"/>
        <v/>
      </c>
      <c r="L2431" s="25" t="str">
        <f t="shared" si="196"/>
        <v/>
      </c>
      <c r="O2431" s="33" t="str">
        <f t="shared" si="197"/>
        <v/>
      </c>
      <c r="P2431" s="33" t="str">
        <f t="shared" si="198"/>
        <v/>
      </c>
    </row>
    <row r="2432" spans="9:16">
      <c r="I2432" s="23" t="str">
        <f>_xlfn.IFNA(VLOOKUP(A2432,A2433:$H$3524,8,0),"")</f>
        <v/>
      </c>
      <c r="J2432" s="40" t="str">
        <f t="shared" si="194"/>
        <v/>
      </c>
      <c r="K2432" s="24" t="str">
        <f t="shared" si="195"/>
        <v/>
      </c>
      <c r="L2432" s="25" t="str">
        <f t="shared" si="196"/>
        <v/>
      </c>
      <c r="O2432" s="33" t="str">
        <f t="shared" si="197"/>
        <v/>
      </c>
      <c r="P2432" s="33" t="str">
        <f t="shared" si="198"/>
        <v/>
      </c>
    </row>
    <row r="2433" spans="9:16">
      <c r="I2433" s="23" t="str">
        <f>_xlfn.IFNA(VLOOKUP(A2433,A2434:$H$3524,8,0),"")</f>
        <v/>
      </c>
      <c r="J2433" s="40" t="str">
        <f t="shared" si="194"/>
        <v/>
      </c>
      <c r="K2433" s="24" t="str">
        <f t="shared" si="195"/>
        <v/>
      </c>
      <c r="L2433" s="25" t="str">
        <f t="shared" si="196"/>
        <v/>
      </c>
      <c r="O2433" s="33" t="str">
        <f t="shared" si="197"/>
        <v/>
      </c>
      <c r="P2433" s="33" t="str">
        <f t="shared" si="198"/>
        <v/>
      </c>
    </row>
    <row r="2434" spans="9:16">
      <c r="I2434" s="23" t="str">
        <f>_xlfn.IFNA(VLOOKUP(A2434,A2435:$H$3524,8,0),"")</f>
        <v/>
      </c>
      <c r="J2434" s="40" t="str">
        <f t="shared" si="194"/>
        <v/>
      </c>
      <c r="K2434" s="24" t="str">
        <f t="shared" si="195"/>
        <v/>
      </c>
      <c r="L2434" s="25" t="str">
        <f t="shared" si="196"/>
        <v/>
      </c>
      <c r="O2434" s="33" t="str">
        <f t="shared" si="197"/>
        <v/>
      </c>
      <c r="P2434" s="33" t="str">
        <f t="shared" si="198"/>
        <v/>
      </c>
    </row>
    <row r="2435" spans="9:16">
      <c r="I2435" s="23" t="str">
        <f>_xlfn.IFNA(VLOOKUP(A2435,A2436:$H$3524,8,0),"")</f>
        <v/>
      </c>
      <c r="J2435" s="40" t="str">
        <f t="shared" si="194"/>
        <v/>
      </c>
      <c r="K2435" s="24" t="str">
        <f t="shared" si="195"/>
        <v/>
      </c>
      <c r="L2435" s="25" t="str">
        <f t="shared" si="196"/>
        <v/>
      </c>
      <c r="O2435" s="33" t="str">
        <f t="shared" si="197"/>
        <v/>
      </c>
      <c r="P2435" s="33" t="str">
        <f t="shared" si="198"/>
        <v/>
      </c>
    </row>
    <row r="2436" spans="9:16">
      <c r="I2436" s="23" t="str">
        <f>_xlfn.IFNA(VLOOKUP(A2436,A2437:$H$3524,8,0),"")</f>
        <v/>
      </c>
      <c r="J2436" s="40" t="str">
        <f t="shared" si="194"/>
        <v/>
      </c>
      <c r="K2436" s="24" t="str">
        <f t="shared" si="195"/>
        <v/>
      </c>
      <c r="L2436" s="25" t="str">
        <f t="shared" si="196"/>
        <v/>
      </c>
      <c r="O2436" s="33" t="str">
        <f t="shared" si="197"/>
        <v/>
      </c>
      <c r="P2436" s="33" t="str">
        <f t="shared" si="198"/>
        <v/>
      </c>
    </row>
    <row r="2437" spans="9:16">
      <c r="I2437" s="23" t="str">
        <f>_xlfn.IFNA(VLOOKUP(A2437,A2438:$H$3524,8,0),"")</f>
        <v/>
      </c>
      <c r="J2437" s="40" t="str">
        <f t="shared" si="194"/>
        <v/>
      </c>
      <c r="K2437" s="24" t="str">
        <f t="shared" si="195"/>
        <v/>
      </c>
      <c r="L2437" s="25" t="str">
        <f t="shared" si="196"/>
        <v/>
      </c>
      <c r="O2437" s="33" t="str">
        <f t="shared" si="197"/>
        <v/>
      </c>
      <c r="P2437" s="33" t="str">
        <f t="shared" si="198"/>
        <v/>
      </c>
    </row>
    <row r="2438" spans="9:16">
      <c r="I2438" s="23" t="str">
        <f>_xlfn.IFNA(VLOOKUP(A2438,A2439:$H$3524,8,0),"")</f>
        <v/>
      </c>
      <c r="J2438" s="40" t="str">
        <f t="shared" ref="J2438:J2501" si="199">IF(B2438="OFF",0,IF(AND(D2438&lt;&gt;"",E2438&lt;&gt;""),E2438-D2438+1,""))</f>
        <v/>
      </c>
      <c r="K2438" s="24" t="str">
        <f t="shared" si="195"/>
        <v/>
      </c>
      <c r="L2438" s="25" t="str">
        <f t="shared" si="196"/>
        <v/>
      </c>
      <c r="O2438" s="33" t="str">
        <f t="shared" si="197"/>
        <v/>
      </c>
      <c r="P2438" s="33" t="str">
        <f t="shared" si="198"/>
        <v/>
      </c>
    </row>
    <row r="2439" spans="9:16">
      <c r="I2439" s="23" t="str">
        <f>_xlfn.IFNA(VLOOKUP(A2439,A2440:$H$3524,8,0),"")</f>
        <v/>
      </c>
      <c r="J2439" s="40" t="str">
        <f t="shared" si="199"/>
        <v/>
      </c>
      <c r="K2439" s="24" t="str">
        <f t="shared" si="195"/>
        <v/>
      </c>
      <c r="L2439" s="25" t="str">
        <f t="shared" si="196"/>
        <v/>
      </c>
      <c r="O2439" s="33" t="str">
        <f t="shared" si="197"/>
        <v/>
      </c>
      <c r="P2439" s="33" t="str">
        <f t="shared" si="198"/>
        <v/>
      </c>
    </row>
    <row r="2440" spans="9:16">
      <c r="I2440" s="23" t="str">
        <f>_xlfn.IFNA(VLOOKUP(A2440,A2441:$H$3524,8,0),"")</f>
        <v/>
      </c>
      <c r="J2440" s="40" t="str">
        <f t="shared" si="199"/>
        <v/>
      </c>
      <c r="K2440" s="24" t="str">
        <f t="shared" si="195"/>
        <v/>
      </c>
      <c r="L2440" s="25" t="str">
        <f t="shared" si="196"/>
        <v/>
      </c>
      <c r="O2440" s="33" t="str">
        <f t="shared" si="197"/>
        <v/>
      </c>
      <c r="P2440" s="33" t="str">
        <f t="shared" si="198"/>
        <v/>
      </c>
    </row>
    <row r="2441" spans="9:16">
      <c r="I2441" s="23" t="str">
        <f>_xlfn.IFNA(VLOOKUP(A2441,A2442:$H$3524,8,0),"")</f>
        <v/>
      </c>
      <c r="J2441" s="40" t="str">
        <f t="shared" si="199"/>
        <v/>
      </c>
      <c r="K2441" s="24" t="str">
        <f t="shared" si="195"/>
        <v/>
      </c>
      <c r="L2441" s="25" t="str">
        <f t="shared" si="196"/>
        <v/>
      </c>
      <c r="O2441" s="33" t="str">
        <f t="shared" si="197"/>
        <v/>
      </c>
      <c r="P2441" s="33" t="str">
        <f t="shared" si="198"/>
        <v/>
      </c>
    </row>
    <row r="2442" spans="9:16">
      <c r="I2442" s="23" t="str">
        <f>_xlfn.IFNA(VLOOKUP(A2442,A2443:$H$3524,8,0),"")</f>
        <v/>
      </c>
      <c r="J2442" s="40" t="str">
        <f t="shared" si="199"/>
        <v/>
      </c>
      <c r="K2442" s="24" t="str">
        <f t="shared" si="195"/>
        <v/>
      </c>
      <c r="L2442" s="25" t="str">
        <f t="shared" si="196"/>
        <v/>
      </c>
      <c r="O2442" s="33" t="str">
        <f t="shared" si="197"/>
        <v/>
      </c>
      <c r="P2442" s="33" t="str">
        <f t="shared" si="198"/>
        <v/>
      </c>
    </row>
    <row r="2443" spans="9:16">
      <c r="I2443" s="23" t="str">
        <f>_xlfn.IFNA(VLOOKUP(A2443,A2444:$H$3524,8,0),"")</f>
        <v/>
      </c>
      <c r="J2443" s="40" t="str">
        <f t="shared" si="199"/>
        <v/>
      </c>
      <c r="K2443" s="24" t="str">
        <f t="shared" si="195"/>
        <v/>
      </c>
      <c r="L2443" s="25" t="str">
        <f t="shared" si="196"/>
        <v/>
      </c>
      <c r="O2443" s="33" t="str">
        <f t="shared" si="197"/>
        <v/>
      </c>
      <c r="P2443" s="33" t="str">
        <f t="shared" si="198"/>
        <v/>
      </c>
    </row>
    <row r="2444" spans="9:16">
      <c r="I2444" s="23" t="str">
        <f>_xlfn.IFNA(VLOOKUP(A2444,A2445:$H$3524,8,0),"")</f>
        <v/>
      </c>
      <c r="J2444" s="40" t="str">
        <f t="shared" si="199"/>
        <v/>
      </c>
      <c r="K2444" s="24" t="str">
        <f t="shared" si="195"/>
        <v/>
      </c>
      <c r="L2444" s="25" t="str">
        <f t="shared" si="196"/>
        <v/>
      </c>
      <c r="O2444" s="33" t="str">
        <f t="shared" si="197"/>
        <v/>
      </c>
      <c r="P2444" s="33" t="str">
        <f t="shared" si="198"/>
        <v/>
      </c>
    </row>
    <row r="2445" spans="9:16">
      <c r="I2445" s="23" t="str">
        <f>_xlfn.IFNA(VLOOKUP(A2445,A2446:$H$3524,8,0),"")</f>
        <v/>
      </c>
      <c r="J2445" s="40" t="str">
        <f t="shared" si="199"/>
        <v/>
      </c>
      <c r="K2445" s="24" t="str">
        <f t="shared" si="195"/>
        <v/>
      </c>
      <c r="L2445" s="25" t="str">
        <f t="shared" si="196"/>
        <v/>
      </c>
      <c r="O2445" s="33" t="str">
        <f t="shared" si="197"/>
        <v/>
      </c>
      <c r="P2445" s="33" t="str">
        <f t="shared" si="198"/>
        <v/>
      </c>
    </row>
    <row r="2446" spans="9:16">
      <c r="I2446" s="23" t="str">
        <f>_xlfn.IFNA(VLOOKUP(A2446,A2447:$H$3524,8,0),"")</f>
        <v/>
      </c>
      <c r="J2446" s="40" t="str">
        <f t="shared" si="199"/>
        <v/>
      </c>
      <c r="K2446" s="24" t="str">
        <f t="shared" si="195"/>
        <v/>
      </c>
      <c r="L2446" s="25" t="str">
        <f t="shared" si="196"/>
        <v/>
      </c>
      <c r="O2446" s="33" t="str">
        <f t="shared" si="197"/>
        <v/>
      </c>
      <c r="P2446" s="33" t="str">
        <f t="shared" si="198"/>
        <v/>
      </c>
    </row>
    <row r="2447" spans="9:16">
      <c r="I2447" s="23" t="str">
        <f>_xlfn.IFNA(VLOOKUP(A2447,A2448:$H$3524,8,0),"")</f>
        <v/>
      </c>
      <c r="J2447" s="40" t="str">
        <f t="shared" si="199"/>
        <v/>
      </c>
      <c r="K2447" s="24" t="str">
        <f t="shared" si="195"/>
        <v/>
      </c>
      <c r="L2447" s="25" t="str">
        <f t="shared" si="196"/>
        <v/>
      </c>
      <c r="O2447" s="33" t="str">
        <f t="shared" si="197"/>
        <v/>
      </c>
      <c r="P2447" s="33" t="str">
        <f t="shared" si="198"/>
        <v/>
      </c>
    </row>
    <row r="2448" spans="9:16">
      <c r="I2448" s="23" t="str">
        <f>_xlfn.IFNA(VLOOKUP(A2448,A2449:$H$3524,8,0),"")</f>
        <v/>
      </c>
      <c r="J2448" s="40" t="str">
        <f t="shared" si="199"/>
        <v/>
      </c>
      <c r="K2448" s="24" t="str">
        <f t="shared" si="195"/>
        <v/>
      </c>
      <c r="L2448" s="25" t="str">
        <f t="shared" si="196"/>
        <v/>
      </c>
      <c r="O2448" s="33" t="str">
        <f t="shared" si="197"/>
        <v/>
      </c>
      <c r="P2448" s="33" t="str">
        <f t="shared" si="198"/>
        <v/>
      </c>
    </row>
    <row r="2449" spans="9:16">
      <c r="I2449" s="23" t="str">
        <f>_xlfn.IFNA(VLOOKUP(A2449,A2450:$H$3524,8,0),"")</f>
        <v/>
      </c>
      <c r="J2449" s="40" t="str">
        <f t="shared" si="199"/>
        <v/>
      </c>
      <c r="K2449" s="24" t="str">
        <f t="shared" si="195"/>
        <v/>
      </c>
      <c r="L2449" s="25" t="str">
        <f t="shared" si="196"/>
        <v/>
      </c>
      <c r="O2449" s="33" t="str">
        <f t="shared" si="197"/>
        <v/>
      </c>
      <c r="P2449" s="33" t="str">
        <f t="shared" si="198"/>
        <v/>
      </c>
    </row>
    <row r="2450" spans="9:16">
      <c r="I2450" s="23" t="str">
        <f>_xlfn.IFNA(VLOOKUP(A2450,A2451:$H$3524,8,0),"")</f>
        <v/>
      </c>
      <c r="J2450" s="40" t="str">
        <f t="shared" si="199"/>
        <v/>
      </c>
      <c r="K2450" s="24" t="str">
        <f t="shared" si="195"/>
        <v/>
      </c>
      <c r="L2450" s="25" t="str">
        <f t="shared" si="196"/>
        <v/>
      </c>
      <c r="O2450" s="33" t="str">
        <f t="shared" si="197"/>
        <v/>
      </c>
      <c r="P2450" s="33" t="str">
        <f t="shared" si="198"/>
        <v/>
      </c>
    </row>
    <row r="2451" spans="9:16">
      <c r="I2451" s="23" t="str">
        <f>_xlfn.IFNA(VLOOKUP(A2451,A2452:$H$3524,8,0),"")</f>
        <v/>
      </c>
      <c r="J2451" s="40" t="str">
        <f t="shared" si="199"/>
        <v/>
      </c>
      <c r="K2451" s="24" t="str">
        <f t="shared" si="195"/>
        <v/>
      </c>
      <c r="L2451" s="25" t="str">
        <f t="shared" si="196"/>
        <v/>
      </c>
      <c r="O2451" s="33" t="str">
        <f t="shared" si="197"/>
        <v/>
      </c>
      <c r="P2451" s="33" t="str">
        <f t="shared" si="198"/>
        <v/>
      </c>
    </row>
    <row r="2452" spans="9:16">
      <c r="I2452" s="23" t="str">
        <f>_xlfn.IFNA(VLOOKUP(A2452,A2453:$H$3524,8,0),"")</f>
        <v/>
      </c>
      <c r="J2452" s="40" t="str">
        <f t="shared" si="199"/>
        <v/>
      </c>
      <c r="K2452" s="24" t="str">
        <f t="shared" si="195"/>
        <v/>
      </c>
      <c r="L2452" s="25" t="str">
        <f t="shared" si="196"/>
        <v/>
      </c>
      <c r="O2452" s="33" t="str">
        <f t="shared" si="197"/>
        <v/>
      </c>
      <c r="P2452" s="33" t="str">
        <f t="shared" si="198"/>
        <v/>
      </c>
    </row>
    <row r="2453" spans="9:16">
      <c r="I2453" s="23" t="str">
        <f>_xlfn.IFNA(VLOOKUP(A2453,A2454:$H$3524,8,0),"")</f>
        <v/>
      </c>
      <c r="J2453" s="40" t="str">
        <f t="shared" si="199"/>
        <v/>
      </c>
      <c r="K2453" s="24" t="str">
        <f t="shared" si="195"/>
        <v/>
      </c>
      <c r="L2453" s="25" t="str">
        <f t="shared" si="196"/>
        <v/>
      </c>
      <c r="O2453" s="33" t="str">
        <f t="shared" si="197"/>
        <v/>
      </c>
      <c r="P2453" s="33" t="str">
        <f t="shared" si="198"/>
        <v/>
      </c>
    </row>
    <row r="2454" spans="9:16">
      <c r="I2454" s="23" t="str">
        <f>_xlfn.IFNA(VLOOKUP(A2454,A2455:$H$3524,8,0),"")</f>
        <v/>
      </c>
      <c r="J2454" s="40" t="str">
        <f t="shared" si="199"/>
        <v/>
      </c>
      <c r="K2454" s="24" t="str">
        <f t="shared" ref="K2454:K2517" si="200">IF(H2454="","",IFERROR((I2454-H2454)*24,0))</f>
        <v/>
      </c>
      <c r="L2454" s="25" t="str">
        <f t="shared" si="196"/>
        <v/>
      </c>
      <c r="O2454" s="33" t="str">
        <f t="shared" si="197"/>
        <v/>
      </c>
      <c r="P2454" s="33" t="str">
        <f t="shared" si="198"/>
        <v/>
      </c>
    </row>
    <row r="2455" spans="9:16">
      <c r="I2455" s="23" t="str">
        <f>_xlfn.IFNA(VLOOKUP(A2455,A2456:$H$3524,8,0),"")</f>
        <v/>
      </c>
      <c r="J2455" s="40" t="str">
        <f t="shared" si="199"/>
        <v/>
      </c>
      <c r="K2455" s="24" t="str">
        <f t="shared" si="200"/>
        <v/>
      </c>
      <c r="L2455" s="25" t="str">
        <f t="shared" si="196"/>
        <v/>
      </c>
      <c r="O2455" s="33" t="str">
        <f t="shared" si="197"/>
        <v/>
      </c>
      <c r="P2455" s="33" t="str">
        <f t="shared" si="198"/>
        <v/>
      </c>
    </row>
    <row r="2456" spans="9:16">
      <c r="I2456" s="23" t="str">
        <f>_xlfn.IFNA(VLOOKUP(A2456,A2457:$H$3524,8,0),"")</f>
        <v/>
      </c>
      <c r="J2456" s="40" t="str">
        <f t="shared" si="199"/>
        <v/>
      </c>
      <c r="K2456" s="24" t="str">
        <f t="shared" si="200"/>
        <v/>
      </c>
      <c r="L2456" s="25" t="str">
        <f t="shared" si="196"/>
        <v/>
      </c>
      <c r="O2456" s="33" t="str">
        <f t="shared" si="197"/>
        <v/>
      </c>
      <c r="P2456" s="33" t="str">
        <f t="shared" si="198"/>
        <v/>
      </c>
    </row>
    <row r="2457" spans="9:16">
      <c r="I2457" s="23" t="str">
        <f>_xlfn.IFNA(VLOOKUP(A2457,A2458:$H$3524,8,0),"")</f>
        <v/>
      </c>
      <c r="J2457" s="40" t="str">
        <f t="shared" si="199"/>
        <v/>
      </c>
      <c r="K2457" s="24" t="str">
        <f t="shared" si="200"/>
        <v/>
      </c>
      <c r="L2457" s="25" t="str">
        <f t="shared" si="196"/>
        <v/>
      </c>
      <c r="O2457" s="33" t="str">
        <f t="shared" si="197"/>
        <v/>
      </c>
      <c r="P2457" s="33" t="str">
        <f t="shared" si="198"/>
        <v/>
      </c>
    </row>
    <row r="2458" spans="9:16">
      <c r="I2458" s="23" t="str">
        <f>_xlfn.IFNA(VLOOKUP(A2458,A2459:$H$3524,8,0),"")</f>
        <v/>
      </c>
      <c r="J2458" s="40" t="str">
        <f t="shared" si="199"/>
        <v/>
      </c>
      <c r="K2458" s="24" t="str">
        <f t="shared" si="200"/>
        <v/>
      </c>
      <c r="L2458" s="25" t="str">
        <f t="shared" si="196"/>
        <v/>
      </c>
      <c r="O2458" s="33" t="str">
        <f t="shared" si="197"/>
        <v/>
      </c>
      <c r="P2458" s="33" t="str">
        <f t="shared" si="198"/>
        <v/>
      </c>
    </row>
    <row r="2459" spans="9:16">
      <c r="I2459" s="23" t="str">
        <f>_xlfn.IFNA(VLOOKUP(A2459,A2460:$H$3524,8,0),"")</f>
        <v/>
      </c>
      <c r="J2459" s="40" t="str">
        <f t="shared" si="199"/>
        <v/>
      </c>
      <c r="K2459" s="24" t="str">
        <f t="shared" si="200"/>
        <v/>
      </c>
      <c r="L2459" s="25" t="str">
        <f t="shared" si="196"/>
        <v/>
      </c>
      <c r="O2459" s="33" t="str">
        <f t="shared" si="197"/>
        <v/>
      </c>
      <c r="P2459" s="33" t="str">
        <f t="shared" si="198"/>
        <v/>
      </c>
    </row>
    <row r="2460" spans="9:16">
      <c r="I2460" s="23" t="str">
        <f>_xlfn.IFNA(VLOOKUP(A2460,A2461:$H$3524,8,0),"")</f>
        <v/>
      </c>
      <c r="J2460" s="40" t="str">
        <f t="shared" si="199"/>
        <v/>
      </c>
      <c r="K2460" s="24" t="str">
        <f t="shared" si="200"/>
        <v/>
      </c>
      <c r="L2460" s="25" t="str">
        <f t="shared" si="196"/>
        <v/>
      </c>
      <c r="O2460" s="33" t="str">
        <f t="shared" si="197"/>
        <v/>
      </c>
      <c r="P2460" s="33" t="str">
        <f t="shared" si="198"/>
        <v/>
      </c>
    </row>
    <row r="2461" spans="9:16">
      <c r="I2461" s="23" t="str">
        <f>_xlfn.IFNA(VLOOKUP(A2461,A2462:$H$3524,8,0),"")</f>
        <v/>
      </c>
      <c r="J2461" s="40" t="str">
        <f t="shared" si="199"/>
        <v/>
      </c>
      <c r="K2461" s="24" t="str">
        <f t="shared" si="200"/>
        <v/>
      </c>
      <c r="L2461" s="25" t="str">
        <f t="shared" si="196"/>
        <v/>
      </c>
      <c r="O2461" s="33" t="str">
        <f t="shared" si="197"/>
        <v/>
      </c>
      <c r="P2461" s="33" t="str">
        <f t="shared" si="198"/>
        <v/>
      </c>
    </row>
    <row r="2462" spans="9:16">
      <c r="I2462" s="23" t="str">
        <f>_xlfn.IFNA(VLOOKUP(A2462,A2463:$H$3524,8,0),"")</f>
        <v/>
      </c>
      <c r="J2462" s="40" t="str">
        <f t="shared" si="199"/>
        <v/>
      </c>
      <c r="K2462" s="24" t="str">
        <f t="shared" si="200"/>
        <v/>
      </c>
      <c r="L2462" s="25" t="str">
        <f t="shared" si="196"/>
        <v/>
      </c>
      <c r="O2462" s="33" t="str">
        <f t="shared" si="197"/>
        <v/>
      </c>
      <c r="P2462" s="33" t="str">
        <f t="shared" si="198"/>
        <v/>
      </c>
    </row>
    <row r="2463" spans="9:16">
      <c r="I2463" s="23" t="str">
        <f>_xlfn.IFNA(VLOOKUP(A2463,A2464:$H$3524,8,0),"")</f>
        <v/>
      </c>
      <c r="J2463" s="40" t="str">
        <f t="shared" si="199"/>
        <v/>
      </c>
      <c r="K2463" s="24" t="str">
        <f t="shared" si="200"/>
        <v/>
      </c>
      <c r="L2463" s="25" t="str">
        <f t="shared" si="196"/>
        <v/>
      </c>
      <c r="O2463" s="33" t="str">
        <f t="shared" si="197"/>
        <v/>
      </c>
      <c r="P2463" s="33" t="str">
        <f t="shared" si="198"/>
        <v/>
      </c>
    </row>
    <row r="2464" spans="9:16">
      <c r="I2464" s="23" t="str">
        <f>_xlfn.IFNA(VLOOKUP(A2464,A2465:$H$3524,8,0),"")</f>
        <v/>
      </c>
      <c r="J2464" s="40" t="str">
        <f t="shared" si="199"/>
        <v/>
      </c>
      <c r="K2464" s="24" t="str">
        <f t="shared" si="200"/>
        <v/>
      </c>
      <c r="L2464" s="25" t="str">
        <f t="shared" si="196"/>
        <v/>
      </c>
      <c r="O2464" s="33" t="str">
        <f t="shared" si="197"/>
        <v/>
      </c>
      <c r="P2464" s="33" t="str">
        <f t="shared" si="198"/>
        <v/>
      </c>
    </row>
    <row r="2465" spans="9:16">
      <c r="I2465" s="23" t="str">
        <f>_xlfn.IFNA(VLOOKUP(A2465,A2466:$H$3524,8,0),"")</f>
        <v/>
      </c>
      <c r="J2465" s="40" t="str">
        <f t="shared" si="199"/>
        <v/>
      </c>
      <c r="K2465" s="24" t="str">
        <f t="shared" si="200"/>
        <v/>
      </c>
      <c r="L2465" s="25" t="str">
        <f t="shared" si="196"/>
        <v/>
      </c>
      <c r="O2465" s="33" t="str">
        <f t="shared" si="197"/>
        <v/>
      </c>
      <c r="P2465" s="33" t="str">
        <f t="shared" si="198"/>
        <v/>
      </c>
    </row>
    <row r="2466" spans="9:16">
      <c r="I2466" s="23" t="str">
        <f>_xlfn.IFNA(VLOOKUP(A2466,A2467:$H$3524,8,0),"")</f>
        <v/>
      </c>
      <c r="J2466" s="40" t="str">
        <f t="shared" si="199"/>
        <v/>
      </c>
      <c r="K2466" s="24" t="str">
        <f t="shared" si="200"/>
        <v/>
      </c>
      <c r="L2466" s="25" t="str">
        <f t="shared" si="196"/>
        <v/>
      </c>
      <c r="O2466" s="33" t="str">
        <f t="shared" si="197"/>
        <v/>
      </c>
      <c r="P2466" s="33" t="str">
        <f t="shared" si="198"/>
        <v/>
      </c>
    </row>
    <row r="2467" spans="9:16">
      <c r="I2467" s="23" t="str">
        <f>_xlfn.IFNA(VLOOKUP(A2467,A2468:$H$3524,8,0),"")</f>
        <v/>
      </c>
      <c r="J2467" s="40" t="str">
        <f t="shared" si="199"/>
        <v/>
      </c>
      <c r="K2467" s="24" t="str">
        <f t="shared" si="200"/>
        <v/>
      </c>
      <c r="L2467" s="25" t="str">
        <f t="shared" si="196"/>
        <v/>
      </c>
      <c r="O2467" s="33" t="str">
        <f t="shared" si="197"/>
        <v/>
      </c>
      <c r="P2467" s="33" t="str">
        <f t="shared" si="198"/>
        <v/>
      </c>
    </row>
    <row r="2468" spans="9:16">
      <c r="I2468" s="23" t="str">
        <f>_xlfn.IFNA(VLOOKUP(A2468,A2469:$H$3524,8,0),"")</f>
        <v/>
      </c>
      <c r="J2468" s="40" t="str">
        <f t="shared" si="199"/>
        <v/>
      </c>
      <c r="K2468" s="24" t="str">
        <f t="shared" si="200"/>
        <v/>
      </c>
      <c r="L2468" s="25" t="str">
        <f t="shared" si="196"/>
        <v/>
      </c>
      <c r="O2468" s="33" t="str">
        <f t="shared" si="197"/>
        <v/>
      </c>
      <c r="P2468" s="33" t="str">
        <f t="shared" si="198"/>
        <v/>
      </c>
    </row>
    <row r="2469" spans="9:16">
      <c r="I2469" s="23" t="str">
        <f>_xlfn.IFNA(VLOOKUP(A2469,A2470:$H$3524,8,0),"")</f>
        <v/>
      </c>
      <c r="J2469" s="40" t="str">
        <f t="shared" si="199"/>
        <v/>
      </c>
      <c r="K2469" s="24" t="str">
        <f t="shared" si="200"/>
        <v/>
      </c>
      <c r="L2469" s="25" t="str">
        <f t="shared" si="196"/>
        <v/>
      </c>
      <c r="O2469" s="33" t="str">
        <f t="shared" si="197"/>
        <v/>
      </c>
      <c r="P2469" s="33" t="str">
        <f t="shared" si="198"/>
        <v/>
      </c>
    </row>
    <row r="2470" spans="9:16">
      <c r="I2470" s="23" t="str">
        <f>_xlfn.IFNA(VLOOKUP(A2470,A2471:$H$3524,8,0),"")</f>
        <v/>
      </c>
      <c r="J2470" s="40" t="str">
        <f t="shared" si="199"/>
        <v/>
      </c>
      <c r="K2470" s="24" t="str">
        <f t="shared" si="200"/>
        <v/>
      </c>
      <c r="L2470" s="25" t="str">
        <f t="shared" si="196"/>
        <v/>
      </c>
      <c r="O2470" s="33" t="str">
        <f t="shared" si="197"/>
        <v/>
      </c>
      <c r="P2470" s="33" t="str">
        <f t="shared" si="198"/>
        <v/>
      </c>
    </row>
    <row r="2471" spans="9:16">
      <c r="I2471" s="23" t="str">
        <f>_xlfn.IFNA(VLOOKUP(A2471,A2472:$H$3524,8,0),"")</f>
        <v/>
      </c>
      <c r="J2471" s="40" t="str">
        <f t="shared" si="199"/>
        <v/>
      </c>
      <c r="K2471" s="24" t="str">
        <f t="shared" si="200"/>
        <v/>
      </c>
      <c r="L2471" s="25" t="str">
        <f t="shared" si="196"/>
        <v/>
      </c>
      <c r="O2471" s="33" t="str">
        <f t="shared" si="197"/>
        <v/>
      </c>
      <c r="P2471" s="33" t="str">
        <f t="shared" si="198"/>
        <v/>
      </c>
    </row>
    <row r="2472" spans="9:16">
      <c r="I2472" s="23" t="str">
        <f>_xlfn.IFNA(VLOOKUP(A2472,A2473:$H$3524,8,0),"")</f>
        <v/>
      </c>
      <c r="J2472" s="40" t="str">
        <f t="shared" si="199"/>
        <v/>
      </c>
      <c r="K2472" s="24" t="str">
        <f t="shared" si="200"/>
        <v/>
      </c>
      <c r="L2472" s="25" t="str">
        <f t="shared" si="196"/>
        <v/>
      </c>
      <c r="O2472" s="33" t="str">
        <f t="shared" si="197"/>
        <v/>
      </c>
      <c r="P2472" s="33" t="str">
        <f t="shared" si="198"/>
        <v/>
      </c>
    </row>
    <row r="2473" spans="9:16">
      <c r="I2473" s="23" t="str">
        <f>_xlfn.IFNA(VLOOKUP(A2473,A2474:$H$3524,8,0),"")</f>
        <v/>
      </c>
      <c r="J2473" s="40" t="str">
        <f t="shared" si="199"/>
        <v/>
      </c>
      <c r="K2473" s="24" t="str">
        <f t="shared" si="200"/>
        <v/>
      </c>
      <c r="L2473" s="25" t="str">
        <f t="shared" si="196"/>
        <v/>
      </c>
      <c r="O2473" s="33" t="str">
        <f t="shared" si="197"/>
        <v/>
      </c>
      <c r="P2473" s="33" t="str">
        <f t="shared" si="198"/>
        <v/>
      </c>
    </row>
    <row r="2474" spans="9:16">
      <c r="I2474" s="23" t="str">
        <f>_xlfn.IFNA(VLOOKUP(A2474,A2475:$H$3524,8,0),"")</f>
        <v/>
      </c>
      <c r="J2474" s="40" t="str">
        <f t="shared" si="199"/>
        <v/>
      </c>
      <c r="K2474" s="24" t="str">
        <f t="shared" si="200"/>
        <v/>
      </c>
      <c r="L2474" s="25" t="str">
        <f t="shared" si="196"/>
        <v/>
      </c>
      <c r="O2474" s="33" t="str">
        <f t="shared" si="197"/>
        <v/>
      </c>
      <c r="P2474" s="33" t="str">
        <f t="shared" si="198"/>
        <v/>
      </c>
    </row>
    <row r="2475" spans="9:16">
      <c r="I2475" s="23" t="str">
        <f>_xlfn.IFNA(VLOOKUP(A2475,A2476:$H$3524,8,0),"")</f>
        <v/>
      </c>
      <c r="J2475" s="40" t="str">
        <f t="shared" si="199"/>
        <v/>
      </c>
      <c r="K2475" s="24" t="str">
        <f t="shared" si="200"/>
        <v/>
      </c>
      <c r="L2475" s="25" t="str">
        <f t="shared" si="196"/>
        <v/>
      </c>
      <c r="O2475" s="33" t="str">
        <f t="shared" si="197"/>
        <v/>
      </c>
      <c r="P2475" s="33" t="str">
        <f t="shared" si="198"/>
        <v/>
      </c>
    </row>
    <row r="2476" spans="9:16">
      <c r="I2476" s="23" t="str">
        <f>_xlfn.IFNA(VLOOKUP(A2476,A2477:$H$3524,8,0),"")</f>
        <v/>
      </c>
      <c r="J2476" s="40" t="str">
        <f t="shared" si="199"/>
        <v/>
      </c>
      <c r="K2476" s="24" t="str">
        <f t="shared" si="200"/>
        <v/>
      </c>
      <c r="L2476" s="25" t="str">
        <f t="shared" si="196"/>
        <v/>
      </c>
      <c r="O2476" s="33" t="str">
        <f t="shared" si="197"/>
        <v/>
      </c>
      <c r="P2476" s="33" t="str">
        <f t="shared" si="198"/>
        <v/>
      </c>
    </row>
    <row r="2477" spans="9:16">
      <c r="I2477" s="23" t="str">
        <f>_xlfn.IFNA(VLOOKUP(A2477,A2478:$H$3524,8,0),"")</f>
        <v/>
      </c>
      <c r="J2477" s="40" t="str">
        <f t="shared" si="199"/>
        <v/>
      </c>
      <c r="K2477" s="24" t="str">
        <f t="shared" si="200"/>
        <v/>
      </c>
      <c r="L2477" s="25" t="str">
        <f t="shared" si="196"/>
        <v/>
      </c>
      <c r="O2477" s="33" t="str">
        <f t="shared" si="197"/>
        <v/>
      </c>
      <c r="P2477" s="33" t="str">
        <f t="shared" si="198"/>
        <v/>
      </c>
    </row>
    <row r="2478" spans="9:16">
      <c r="I2478" s="23" t="str">
        <f>_xlfn.IFNA(VLOOKUP(A2478,A2479:$H$3524,8,0),"")</f>
        <v/>
      </c>
      <c r="J2478" s="40" t="str">
        <f t="shared" si="199"/>
        <v/>
      </c>
      <c r="K2478" s="24" t="str">
        <f t="shared" si="200"/>
        <v/>
      </c>
      <c r="L2478" s="25" t="str">
        <f t="shared" si="196"/>
        <v/>
      </c>
      <c r="O2478" s="33" t="str">
        <f t="shared" si="197"/>
        <v/>
      </c>
      <c r="P2478" s="33" t="str">
        <f t="shared" si="198"/>
        <v/>
      </c>
    </row>
    <row r="2479" spans="9:16">
      <c r="I2479" s="23" t="str">
        <f>_xlfn.IFNA(VLOOKUP(A2479,A2480:$H$3524,8,0),"")</f>
        <v/>
      </c>
      <c r="J2479" s="40" t="str">
        <f t="shared" si="199"/>
        <v/>
      </c>
      <c r="K2479" s="24" t="str">
        <f t="shared" si="200"/>
        <v/>
      </c>
      <c r="L2479" s="25" t="str">
        <f t="shared" si="196"/>
        <v/>
      </c>
      <c r="O2479" s="33" t="str">
        <f t="shared" si="197"/>
        <v/>
      </c>
      <c r="P2479" s="33" t="str">
        <f t="shared" si="198"/>
        <v/>
      </c>
    </row>
    <row r="2480" spans="9:16">
      <c r="I2480" s="23" t="str">
        <f>_xlfn.IFNA(VLOOKUP(A2480,A2481:$H$3524,8,0),"")</f>
        <v/>
      </c>
      <c r="J2480" s="40" t="str">
        <f t="shared" si="199"/>
        <v/>
      </c>
      <c r="K2480" s="24" t="str">
        <f t="shared" si="200"/>
        <v/>
      </c>
      <c r="L2480" s="25" t="str">
        <f t="shared" si="196"/>
        <v/>
      </c>
      <c r="O2480" s="33" t="str">
        <f t="shared" si="197"/>
        <v/>
      </c>
      <c r="P2480" s="33" t="str">
        <f t="shared" si="198"/>
        <v/>
      </c>
    </row>
    <row r="2481" spans="9:16">
      <c r="I2481" s="23" t="str">
        <f>_xlfn.IFNA(VLOOKUP(A2481,A2482:$H$3524,8,0),"")</f>
        <v/>
      </c>
      <c r="J2481" s="40" t="str">
        <f t="shared" si="199"/>
        <v/>
      </c>
      <c r="K2481" s="24" t="str">
        <f t="shared" si="200"/>
        <v/>
      </c>
      <c r="L2481" s="25" t="str">
        <f t="shared" si="196"/>
        <v/>
      </c>
      <c r="O2481" s="33" t="str">
        <f t="shared" si="197"/>
        <v/>
      </c>
      <c r="P2481" s="33" t="str">
        <f t="shared" si="198"/>
        <v/>
      </c>
    </row>
    <row r="2482" spans="9:16">
      <c r="I2482" s="23" t="str">
        <f>_xlfn.IFNA(VLOOKUP(A2482,A2483:$H$3524,8,0),"")</f>
        <v/>
      </c>
      <c r="J2482" s="40" t="str">
        <f t="shared" si="199"/>
        <v/>
      </c>
      <c r="K2482" s="24" t="str">
        <f t="shared" si="200"/>
        <v/>
      </c>
      <c r="L2482" s="25" t="str">
        <f t="shared" si="196"/>
        <v/>
      </c>
      <c r="O2482" s="33" t="str">
        <f t="shared" si="197"/>
        <v/>
      </c>
      <c r="P2482" s="33" t="str">
        <f t="shared" si="198"/>
        <v/>
      </c>
    </row>
    <row r="2483" spans="9:16">
      <c r="I2483" s="23" t="str">
        <f>_xlfn.IFNA(VLOOKUP(A2483,A2484:$H$3524,8,0),"")</f>
        <v/>
      </c>
      <c r="J2483" s="40" t="str">
        <f t="shared" si="199"/>
        <v/>
      </c>
      <c r="K2483" s="24" t="str">
        <f t="shared" si="200"/>
        <v/>
      </c>
      <c r="L2483" s="25" t="str">
        <f t="shared" si="196"/>
        <v/>
      </c>
      <c r="O2483" s="33" t="str">
        <f t="shared" si="197"/>
        <v/>
      </c>
      <c r="P2483" s="33" t="str">
        <f t="shared" si="198"/>
        <v/>
      </c>
    </row>
    <row r="2484" spans="9:16">
      <c r="I2484" s="23" t="str">
        <f>_xlfn.IFNA(VLOOKUP(A2484,A2485:$H$3524,8,0),"")</f>
        <v/>
      </c>
      <c r="J2484" s="40" t="str">
        <f t="shared" si="199"/>
        <v/>
      </c>
      <c r="K2484" s="24" t="str">
        <f t="shared" si="200"/>
        <v/>
      </c>
      <c r="L2484" s="25" t="str">
        <f t="shared" si="196"/>
        <v/>
      </c>
      <c r="O2484" s="33" t="str">
        <f t="shared" si="197"/>
        <v/>
      </c>
      <c r="P2484" s="33" t="str">
        <f t="shared" si="198"/>
        <v/>
      </c>
    </row>
    <row r="2485" spans="9:16">
      <c r="I2485" s="23" t="str">
        <f>_xlfn.IFNA(VLOOKUP(A2485,A2486:$H$3524,8,0),"")</f>
        <v/>
      </c>
      <c r="J2485" s="40" t="str">
        <f t="shared" si="199"/>
        <v/>
      </c>
      <c r="K2485" s="24" t="str">
        <f t="shared" si="200"/>
        <v/>
      </c>
      <c r="L2485" s="25" t="str">
        <f t="shared" si="196"/>
        <v/>
      </c>
      <c r="O2485" s="33" t="str">
        <f t="shared" si="197"/>
        <v/>
      </c>
      <c r="P2485" s="33" t="str">
        <f t="shared" si="198"/>
        <v/>
      </c>
    </row>
    <row r="2486" spans="9:16">
      <c r="I2486" s="23" t="str">
        <f>_xlfn.IFNA(VLOOKUP(A2486,A2487:$H$3524,8,0),"")</f>
        <v/>
      </c>
      <c r="J2486" s="40" t="str">
        <f t="shared" si="199"/>
        <v/>
      </c>
      <c r="K2486" s="24" t="str">
        <f t="shared" si="200"/>
        <v/>
      </c>
      <c r="L2486" s="25" t="str">
        <f t="shared" si="196"/>
        <v/>
      </c>
      <c r="O2486" s="33" t="str">
        <f t="shared" si="197"/>
        <v/>
      </c>
      <c r="P2486" s="33" t="str">
        <f t="shared" si="198"/>
        <v/>
      </c>
    </row>
    <row r="2487" spans="9:16">
      <c r="I2487" s="23" t="str">
        <f>_xlfn.IFNA(VLOOKUP(A2487,A2488:$H$3524,8,0),"")</f>
        <v/>
      </c>
      <c r="J2487" s="40" t="str">
        <f t="shared" si="199"/>
        <v/>
      </c>
      <c r="K2487" s="24" t="str">
        <f t="shared" si="200"/>
        <v/>
      </c>
      <c r="L2487" s="25" t="str">
        <f t="shared" ref="L2487:L2550" si="201">IF(K2487="","",IF(B2487="Break","Break",IF(K2487&lt;&gt;0,"Work Finished",IF(B2487="OFF","Work Finished",IF(I2487="","Working","Work Finished")))))</f>
        <v/>
      </c>
      <c r="O2487" s="33" t="str">
        <f t="shared" ref="O2487:O2550" si="202">IF(AND(J2487="",M2487="",N2487=""),"",J2487-M2487-N2487)</f>
        <v/>
      </c>
      <c r="P2487" s="33" t="str">
        <f t="shared" ref="P2487:P2550" si="203">IF(HOUR(H2487)=0,"",HOUR(H2487))</f>
        <v/>
      </c>
    </row>
    <row r="2488" spans="9:16">
      <c r="I2488" s="23" t="str">
        <f>_xlfn.IFNA(VLOOKUP(A2488,A2489:$H$3524,8,0),"")</f>
        <v/>
      </c>
      <c r="J2488" s="40" t="str">
        <f t="shared" si="199"/>
        <v/>
      </c>
      <c r="K2488" s="24" t="str">
        <f t="shared" si="200"/>
        <v/>
      </c>
      <c r="L2488" s="25" t="str">
        <f t="shared" si="201"/>
        <v/>
      </c>
      <c r="O2488" s="33" t="str">
        <f t="shared" si="202"/>
        <v/>
      </c>
      <c r="P2488" s="33" t="str">
        <f t="shared" si="203"/>
        <v/>
      </c>
    </row>
    <row r="2489" spans="9:16">
      <c r="I2489" s="23" t="str">
        <f>_xlfn.IFNA(VLOOKUP(A2489,A2490:$H$3524,8,0),"")</f>
        <v/>
      </c>
      <c r="J2489" s="40" t="str">
        <f t="shared" si="199"/>
        <v/>
      </c>
      <c r="K2489" s="24" t="str">
        <f t="shared" si="200"/>
        <v/>
      </c>
      <c r="L2489" s="25" t="str">
        <f t="shared" si="201"/>
        <v/>
      </c>
      <c r="O2489" s="33" t="str">
        <f t="shared" si="202"/>
        <v/>
      </c>
      <c r="P2489" s="33" t="str">
        <f t="shared" si="203"/>
        <v/>
      </c>
    </row>
    <row r="2490" spans="9:16">
      <c r="I2490" s="23" t="str">
        <f>_xlfn.IFNA(VLOOKUP(A2490,A2491:$H$3524,8,0),"")</f>
        <v/>
      </c>
      <c r="J2490" s="40" t="str">
        <f t="shared" si="199"/>
        <v/>
      </c>
      <c r="K2490" s="24" t="str">
        <f t="shared" si="200"/>
        <v/>
      </c>
      <c r="L2490" s="25" t="str">
        <f t="shared" si="201"/>
        <v/>
      </c>
      <c r="O2490" s="33" t="str">
        <f t="shared" si="202"/>
        <v/>
      </c>
      <c r="P2490" s="33" t="str">
        <f t="shared" si="203"/>
        <v/>
      </c>
    </row>
    <row r="2491" spans="9:16">
      <c r="I2491" s="23" t="str">
        <f>_xlfn.IFNA(VLOOKUP(A2491,A2492:$H$3524,8,0),"")</f>
        <v/>
      </c>
      <c r="J2491" s="40" t="str">
        <f t="shared" si="199"/>
        <v/>
      </c>
      <c r="K2491" s="24" t="str">
        <f t="shared" si="200"/>
        <v/>
      </c>
      <c r="L2491" s="25" t="str">
        <f t="shared" si="201"/>
        <v/>
      </c>
      <c r="O2491" s="33" t="str">
        <f t="shared" si="202"/>
        <v/>
      </c>
      <c r="P2491" s="33" t="str">
        <f t="shared" si="203"/>
        <v/>
      </c>
    </row>
    <row r="2492" spans="9:16">
      <c r="I2492" s="23" t="str">
        <f>_xlfn.IFNA(VLOOKUP(A2492,A2493:$H$3524,8,0),"")</f>
        <v/>
      </c>
      <c r="J2492" s="40" t="str">
        <f t="shared" si="199"/>
        <v/>
      </c>
      <c r="K2492" s="24" t="str">
        <f t="shared" si="200"/>
        <v/>
      </c>
      <c r="L2492" s="25" t="str">
        <f t="shared" si="201"/>
        <v/>
      </c>
      <c r="O2492" s="33" t="str">
        <f t="shared" si="202"/>
        <v/>
      </c>
      <c r="P2492" s="33" t="str">
        <f t="shared" si="203"/>
        <v/>
      </c>
    </row>
    <row r="2493" spans="9:16">
      <c r="I2493" s="23" t="str">
        <f>_xlfn.IFNA(VLOOKUP(A2493,A2494:$H$3524,8,0),"")</f>
        <v/>
      </c>
      <c r="J2493" s="40" t="str">
        <f t="shared" si="199"/>
        <v/>
      </c>
      <c r="K2493" s="24" t="str">
        <f t="shared" si="200"/>
        <v/>
      </c>
      <c r="L2493" s="25" t="str">
        <f t="shared" si="201"/>
        <v/>
      </c>
      <c r="O2493" s="33" t="str">
        <f t="shared" si="202"/>
        <v/>
      </c>
      <c r="P2493" s="33" t="str">
        <f t="shared" si="203"/>
        <v/>
      </c>
    </row>
    <row r="2494" spans="9:16">
      <c r="I2494" s="23" t="str">
        <f>_xlfn.IFNA(VLOOKUP(A2494,A2495:$H$3524,8,0),"")</f>
        <v/>
      </c>
      <c r="J2494" s="40" t="str">
        <f t="shared" si="199"/>
        <v/>
      </c>
      <c r="K2494" s="24" t="str">
        <f t="shared" si="200"/>
        <v/>
      </c>
      <c r="L2494" s="25" t="str">
        <f t="shared" si="201"/>
        <v/>
      </c>
      <c r="O2494" s="33" t="str">
        <f t="shared" si="202"/>
        <v/>
      </c>
      <c r="P2494" s="33" t="str">
        <f t="shared" si="203"/>
        <v/>
      </c>
    </row>
    <row r="2495" spans="9:16">
      <c r="I2495" s="23" t="str">
        <f>_xlfn.IFNA(VLOOKUP(A2495,A2496:$H$3524,8,0),"")</f>
        <v/>
      </c>
      <c r="J2495" s="40" t="str">
        <f t="shared" si="199"/>
        <v/>
      </c>
      <c r="K2495" s="24" t="str">
        <f t="shared" si="200"/>
        <v/>
      </c>
      <c r="L2495" s="25" t="str">
        <f t="shared" si="201"/>
        <v/>
      </c>
      <c r="O2495" s="33" t="str">
        <f t="shared" si="202"/>
        <v/>
      </c>
      <c r="P2495" s="33" t="str">
        <f t="shared" si="203"/>
        <v/>
      </c>
    </row>
    <row r="2496" spans="9:16">
      <c r="I2496" s="23" t="str">
        <f>_xlfn.IFNA(VLOOKUP(A2496,A2497:$H$3524,8,0),"")</f>
        <v/>
      </c>
      <c r="J2496" s="40" t="str">
        <f t="shared" si="199"/>
        <v/>
      </c>
      <c r="K2496" s="24" t="str">
        <f t="shared" si="200"/>
        <v/>
      </c>
      <c r="L2496" s="25" t="str">
        <f t="shared" si="201"/>
        <v/>
      </c>
      <c r="O2496" s="33" t="str">
        <f t="shared" si="202"/>
        <v/>
      </c>
      <c r="P2496" s="33" t="str">
        <f t="shared" si="203"/>
        <v/>
      </c>
    </row>
    <row r="2497" spans="9:16">
      <c r="I2497" s="23" t="str">
        <f>_xlfn.IFNA(VLOOKUP(A2497,A2498:$H$3524,8,0),"")</f>
        <v/>
      </c>
      <c r="J2497" s="40" t="str">
        <f t="shared" si="199"/>
        <v/>
      </c>
      <c r="K2497" s="24" t="str">
        <f t="shared" si="200"/>
        <v/>
      </c>
      <c r="L2497" s="25" t="str">
        <f t="shared" si="201"/>
        <v/>
      </c>
      <c r="O2497" s="33" t="str">
        <f t="shared" si="202"/>
        <v/>
      </c>
      <c r="P2497" s="33" t="str">
        <f t="shared" si="203"/>
        <v/>
      </c>
    </row>
    <row r="2498" spans="9:16">
      <c r="I2498" s="23" t="str">
        <f>_xlfn.IFNA(VLOOKUP(A2498,A2499:$H$3524,8,0),"")</f>
        <v/>
      </c>
      <c r="J2498" s="40" t="str">
        <f t="shared" si="199"/>
        <v/>
      </c>
      <c r="K2498" s="24" t="str">
        <f t="shared" si="200"/>
        <v/>
      </c>
      <c r="L2498" s="25" t="str">
        <f t="shared" si="201"/>
        <v/>
      </c>
      <c r="O2498" s="33" t="str">
        <f t="shared" si="202"/>
        <v/>
      </c>
      <c r="P2498" s="33" t="str">
        <f t="shared" si="203"/>
        <v/>
      </c>
    </row>
    <row r="2499" spans="9:16">
      <c r="I2499" s="23" t="str">
        <f>_xlfn.IFNA(VLOOKUP(A2499,A2500:$H$3524,8,0),"")</f>
        <v/>
      </c>
      <c r="J2499" s="40" t="str">
        <f t="shared" si="199"/>
        <v/>
      </c>
      <c r="K2499" s="24" t="str">
        <f t="shared" si="200"/>
        <v/>
      </c>
      <c r="L2499" s="25" t="str">
        <f t="shared" si="201"/>
        <v/>
      </c>
      <c r="O2499" s="33" t="str">
        <f t="shared" si="202"/>
        <v/>
      </c>
      <c r="P2499" s="33" t="str">
        <f t="shared" si="203"/>
        <v/>
      </c>
    </row>
    <row r="2500" spans="9:16">
      <c r="I2500" s="23" t="str">
        <f>_xlfn.IFNA(VLOOKUP(A2500,A2501:$H$3524,8,0),"")</f>
        <v/>
      </c>
      <c r="J2500" s="40" t="str">
        <f t="shared" si="199"/>
        <v/>
      </c>
      <c r="K2500" s="24" t="str">
        <f t="shared" si="200"/>
        <v/>
      </c>
      <c r="L2500" s="25" t="str">
        <f t="shared" si="201"/>
        <v/>
      </c>
      <c r="O2500" s="33" t="str">
        <f t="shared" si="202"/>
        <v/>
      </c>
      <c r="P2500" s="33" t="str">
        <f t="shared" si="203"/>
        <v/>
      </c>
    </row>
    <row r="2501" spans="9:16">
      <c r="I2501" s="23" t="str">
        <f>_xlfn.IFNA(VLOOKUP(A2501,A2502:$H$3524,8,0),"")</f>
        <v/>
      </c>
      <c r="J2501" s="40" t="str">
        <f t="shared" si="199"/>
        <v/>
      </c>
      <c r="K2501" s="24" t="str">
        <f t="shared" si="200"/>
        <v/>
      </c>
      <c r="L2501" s="25" t="str">
        <f t="shared" si="201"/>
        <v/>
      </c>
      <c r="O2501" s="33" t="str">
        <f t="shared" si="202"/>
        <v/>
      </c>
      <c r="P2501" s="33" t="str">
        <f t="shared" si="203"/>
        <v/>
      </c>
    </row>
    <row r="2502" spans="9:16">
      <c r="I2502" s="23" t="str">
        <f>_xlfn.IFNA(VLOOKUP(A2502,A2503:$H$3524,8,0),"")</f>
        <v/>
      </c>
      <c r="J2502" s="40" t="str">
        <f t="shared" ref="J2502:J2565" si="204">IF(B2502="OFF",0,IF(AND(D2502&lt;&gt;"",E2502&lt;&gt;""),E2502-D2502+1,""))</f>
        <v/>
      </c>
      <c r="K2502" s="24" t="str">
        <f t="shared" si="200"/>
        <v/>
      </c>
      <c r="L2502" s="25" t="str">
        <f t="shared" si="201"/>
        <v/>
      </c>
      <c r="O2502" s="33" t="str">
        <f t="shared" si="202"/>
        <v/>
      </c>
      <c r="P2502" s="33" t="str">
        <f t="shared" si="203"/>
        <v/>
      </c>
    </row>
    <row r="2503" spans="9:16">
      <c r="I2503" s="23" t="str">
        <f>_xlfn.IFNA(VLOOKUP(A2503,A2504:$H$3524,8,0),"")</f>
        <v/>
      </c>
      <c r="J2503" s="40" t="str">
        <f t="shared" si="204"/>
        <v/>
      </c>
      <c r="K2503" s="24" t="str">
        <f t="shared" si="200"/>
        <v/>
      </c>
      <c r="L2503" s="25" t="str">
        <f t="shared" si="201"/>
        <v/>
      </c>
      <c r="O2503" s="33" t="str">
        <f t="shared" si="202"/>
        <v/>
      </c>
      <c r="P2503" s="33" t="str">
        <f t="shared" si="203"/>
        <v/>
      </c>
    </row>
    <row r="2504" spans="9:16">
      <c r="I2504" s="23" t="str">
        <f>_xlfn.IFNA(VLOOKUP(A2504,A2505:$H$3524,8,0),"")</f>
        <v/>
      </c>
      <c r="J2504" s="40" t="str">
        <f t="shared" si="204"/>
        <v/>
      </c>
      <c r="K2504" s="24" t="str">
        <f t="shared" si="200"/>
        <v/>
      </c>
      <c r="L2504" s="25" t="str">
        <f t="shared" si="201"/>
        <v/>
      </c>
      <c r="O2504" s="33" t="str">
        <f t="shared" si="202"/>
        <v/>
      </c>
      <c r="P2504" s="33" t="str">
        <f t="shared" si="203"/>
        <v/>
      </c>
    </row>
    <row r="2505" spans="9:16">
      <c r="I2505" s="23" t="str">
        <f>_xlfn.IFNA(VLOOKUP(A2505,A2506:$H$3524,8,0),"")</f>
        <v/>
      </c>
      <c r="J2505" s="40" t="str">
        <f t="shared" si="204"/>
        <v/>
      </c>
      <c r="K2505" s="24" t="str">
        <f t="shared" si="200"/>
        <v/>
      </c>
      <c r="L2505" s="25" t="str">
        <f t="shared" si="201"/>
        <v/>
      </c>
      <c r="O2505" s="33" t="str">
        <f t="shared" si="202"/>
        <v/>
      </c>
      <c r="P2505" s="33" t="str">
        <f t="shared" si="203"/>
        <v/>
      </c>
    </row>
    <row r="2506" spans="9:16">
      <c r="I2506" s="23" t="str">
        <f>_xlfn.IFNA(VLOOKUP(A2506,A2507:$H$3524,8,0),"")</f>
        <v/>
      </c>
      <c r="J2506" s="40" t="str">
        <f t="shared" si="204"/>
        <v/>
      </c>
      <c r="K2506" s="24" t="str">
        <f t="shared" si="200"/>
        <v/>
      </c>
      <c r="L2506" s="25" t="str">
        <f t="shared" si="201"/>
        <v/>
      </c>
      <c r="O2506" s="33" t="str">
        <f t="shared" si="202"/>
        <v/>
      </c>
      <c r="P2506" s="33" t="str">
        <f t="shared" si="203"/>
        <v/>
      </c>
    </row>
    <row r="2507" spans="9:16">
      <c r="I2507" s="23" t="str">
        <f>_xlfn.IFNA(VLOOKUP(A2507,A2508:$H$3524,8,0),"")</f>
        <v/>
      </c>
      <c r="J2507" s="40" t="str">
        <f t="shared" si="204"/>
        <v/>
      </c>
      <c r="K2507" s="24" t="str">
        <f t="shared" si="200"/>
        <v/>
      </c>
      <c r="L2507" s="25" t="str">
        <f t="shared" si="201"/>
        <v/>
      </c>
      <c r="O2507" s="33" t="str">
        <f t="shared" si="202"/>
        <v/>
      </c>
      <c r="P2507" s="33" t="str">
        <f t="shared" si="203"/>
        <v/>
      </c>
    </row>
    <row r="2508" spans="9:16">
      <c r="I2508" s="23" t="str">
        <f>_xlfn.IFNA(VLOOKUP(A2508,A2509:$H$3524,8,0),"")</f>
        <v/>
      </c>
      <c r="J2508" s="40" t="str">
        <f t="shared" si="204"/>
        <v/>
      </c>
      <c r="K2508" s="24" t="str">
        <f t="shared" si="200"/>
        <v/>
      </c>
      <c r="L2508" s="25" t="str">
        <f t="shared" si="201"/>
        <v/>
      </c>
      <c r="O2508" s="33" t="str">
        <f t="shared" si="202"/>
        <v/>
      </c>
      <c r="P2508" s="33" t="str">
        <f t="shared" si="203"/>
        <v/>
      </c>
    </row>
    <row r="2509" spans="9:16">
      <c r="I2509" s="23" t="str">
        <f>_xlfn.IFNA(VLOOKUP(A2509,A2510:$H$3524,8,0),"")</f>
        <v/>
      </c>
      <c r="J2509" s="40" t="str">
        <f t="shared" si="204"/>
        <v/>
      </c>
      <c r="K2509" s="24" t="str">
        <f t="shared" si="200"/>
        <v/>
      </c>
      <c r="L2509" s="25" t="str">
        <f t="shared" si="201"/>
        <v/>
      </c>
      <c r="O2509" s="33" t="str">
        <f t="shared" si="202"/>
        <v/>
      </c>
      <c r="P2509" s="33" t="str">
        <f t="shared" si="203"/>
        <v/>
      </c>
    </row>
    <row r="2510" spans="9:16">
      <c r="I2510" s="23" t="str">
        <f>_xlfn.IFNA(VLOOKUP(A2510,A2511:$H$3524,8,0),"")</f>
        <v/>
      </c>
      <c r="J2510" s="40" t="str">
        <f t="shared" si="204"/>
        <v/>
      </c>
      <c r="K2510" s="24" t="str">
        <f t="shared" si="200"/>
        <v/>
      </c>
      <c r="L2510" s="25" t="str">
        <f t="shared" si="201"/>
        <v/>
      </c>
      <c r="O2510" s="33" t="str">
        <f t="shared" si="202"/>
        <v/>
      </c>
      <c r="P2510" s="33" t="str">
        <f t="shared" si="203"/>
        <v/>
      </c>
    </row>
    <row r="2511" spans="9:16">
      <c r="I2511" s="23" t="str">
        <f>_xlfn.IFNA(VLOOKUP(A2511,A2512:$H$3524,8,0),"")</f>
        <v/>
      </c>
      <c r="J2511" s="40" t="str">
        <f t="shared" si="204"/>
        <v/>
      </c>
      <c r="K2511" s="24" t="str">
        <f t="shared" si="200"/>
        <v/>
      </c>
      <c r="L2511" s="25" t="str">
        <f t="shared" si="201"/>
        <v/>
      </c>
      <c r="O2511" s="33" t="str">
        <f t="shared" si="202"/>
        <v/>
      </c>
      <c r="P2511" s="33" t="str">
        <f t="shared" si="203"/>
        <v/>
      </c>
    </row>
    <row r="2512" spans="9:16">
      <c r="I2512" s="23" t="str">
        <f>_xlfn.IFNA(VLOOKUP(A2512,A2513:$H$3524,8,0),"")</f>
        <v/>
      </c>
      <c r="J2512" s="40" t="str">
        <f t="shared" si="204"/>
        <v/>
      </c>
      <c r="K2512" s="24" t="str">
        <f t="shared" si="200"/>
        <v/>
      </c>
      <c r="L2512" s="25" t="str">
        <f t="shared" si="201"/>
        <v/>
      </c>
      <c r="O2512" s="33" t="str">
        <f t="shared" si="202"/>
        <v/>
      </c>
      <c r="P2512" s="33" t="str">
        <f t="shared" si="203"/>
        <v/>
      </c>
    </row>
    <row r="2513" spans="9:16">
      <c r="I2513" s="23" t="str">
        <f>_xlfn.IFNA(VLOOKUP(A2513,A2514:$H$3524,8,0),"")</f>
        <v/>
      </c>
      <c r="J2513" s="40" t="str">
        <f t="shared" si="204"/>
        <v/>
      </c>
      <c r="K2513" s="24" t="str">
        <f t="shared" si="200"/>
        <v/>
      </c>
      <c r="L2513" s="25" t="str">
        <f t="shared" si="201"/>
        <v/>
      </c>
      <c r="O2513" s="33" t="str">
        <f t="shared" si="202"/>
        <v/>
      </c>
      <c r="P2513" s="33" t="str">
        <f t="shared" si="203"/>
        <v/>
      </c>
    </row>
    <row r="2514" spans="9:16">
      <c r="I2514" s="23" t="str">
        <f>_xlfn.IFNA(VLOOKUP(A2514,A2515:$H$3524,8,0),"")</f>
        <v/>
      </c>
      <c r="J2514" s="40" t="str">
        <f t="shared" si="204"/>
        <v/>
      </c>
      <c r="K2514" s="24" t="str">
        <f t="shared" si="200"/>
        <v/>
      </c>
      <c r="L2514" s="25" t="str">
        <f t="shared" si="201"/>
        <v/>
      </c>
      <c r="O2514" s="33" t="str">
        <f t="shared" si="202"/>
        <v/>
      </c>
      <c r="P2514" s="33" t="str">
        <f t="shared" si="203"/>
        <v/>
      </c>
    </row>
    <row r="2515" spans="9:16">
      <c r="I2515" s="23" t="str">
        <f>_xlfn.IFNA(VLOOKUP(A2515,A2516:$H$3524,8,0),"")</f>
        <v/>
      </c>
      <c r="J2515" s="40" t="str">
        <f t="shared" si="204"/>
        <v/>
      </c>
      <c r="K2515" s="24" t="str">
        <f t="shared" si="200"/>
        <v/>
      </c>
      <c r="L2515" s="25" t="str">
        <f t="shared" si="201"/>
        <v/>
      </c>
      <c r="O2515" s="33" t="str">
        <f t="shared" si="202"/>
        <v/>
      </c>
      <c r="P2515" s="33" t="str">
        <f t="shared" si="203"/>
        <v/>
      </c>
    </row>
    <row r="2516" spans="9:16">
      <c r="I2516" s="23" t="str">
        <f>_xlfn.IFNA(VLOOKUP(A2516,A2517:$H$3524,8,0),"")</f>
        <v/>
      </c>
      <c r="J2516" s="40" t="str">
        <f t="shared" si="204"/>
        <v/>
      </c>
      <c r="K2516" s="24" t="str">
        <f t="shared" si="200"/>
        <v/>
      </c>
      <c r="L2516" s="25" t="str">
        <f t="shared" si="201"/>
        <v/>
      </c>
      <c r="O2516" s="33" t="str">
        <f t="shared" si="202"/>
        <v/>
      </c>
      <c r="P2516" s="33" t="str">
        <f t="shared" si="203"/>
        <v/>
      </c>
    </row>
    <row r="2517" spans="9:16">
      <c r="I2517" s="23" t="str">
        <f>_xlfn.IFNA(VLOOKUP(A2517,A2518:$H$3524,8,0),"")</f>
        <v/>
      </c>
      <c r="J2517" s="40" t="str">
        <f t="shared" si="204"/>
        <v/>
      </c>
      <c r="K2517" s="24" t="str">
        <f t="shared" si="200"/>
        <v/>
      </c>
      <c r="L2517" s="25" t="str">
        <f t="shared" si="201"/>
        <v/>
      </c>
      <c r="O2517" s="33" t="str">
        <f t="shared" si="202"/>
        <v/>
      </c>
      <c r="P2517" s="33" t="str">
        <f t="shared" si="203"/>
        <v/>
      </c>
    </row>
    <row r="2518" spans="9:16">
      <c r="I2518" s="23" t="str">
        <f>_xlfn.IFNA(VLOOKUP(A2518,A2519:$H$3524,8,0),"")</f>
        <v/>
      </c>
      <c r="J2518" s="40" t="str">
        <f t="shared" si="204"/>
        <v/>
      </c>
      <c r="K2518" s="24" t="str">
        <f t="shared" ref="K2518:K2581" si="205">IF(H2518="","",IFERROR((I2518-H2518)*24,0))</f>
        <v/>
      </c>
      <c r="L2518" s="25" t="str">
        <f t="shared" si="201"/>
        <v/>
      </c>
      <c r="O2518" s="33" t="str">
        <f t="shared" si="202"/>
        <v/>
      </c>
      <c r="P2518" s="33" t="str">
        <f t="shared" si="203"/>
        <v/>
      </c>
    </row>
    <row r="2519" spans="9:16">
      <c r="I2519" s="23" t="str">
        <f>_xlfn.IFNA(VLOOKUP(A2519,A2520:$H$3524,8,0),"")</f>
        <v/>
      </c>
      <c r="J2519" s="40" t="str">
        <f t="shared" si="204"/>
        <v/>
      </c>
      <c r="K2519" s="24" t="str">
        <f t="shared" si="205"/>
        <v/>
      </c>
      <c r="L2519" s="25" t="str">
        <f t="shared" si="201"/>
        <v/>
      </c>
      <c r="O2519" s="33" t="str">
        <f t="shared" si="202"/>
        <v/>
      </c>
      <c r="P2519" s="33" t="str">
        <f t="shared" si="203"/>
        <v/>
      </c>
    </row>
    <row r="2520" spans="9:16">
      <c r="I2520" s="23" t="str">
        <f>_xlfn.IFNA(VLOOKUP(A2520,A2521:$H$3524,8,0),"")</f>
        <v/>
      </c>
      <c r="J2520" s="40" t="str">
        <f t="shared" si="204"/>
        <v/>
      </c>
      <c r="K2520" s="24" t="str">
        <f t="shared" si="205"/>
        <v/>
      </c>
      <c r="L2520" s="25" t="str">
        <f t="shared" si="201"/>
        <v/>
      </c>
      <c r="O2520" s="33" t="str">
        <f t="shared" si="202"/>
        <v/>
      </c>
      <c r="P2520" s="33" t="str">
        <f t="shared" si="203"/>
        <v/>
      </c>
    </row>
    <row r="2521" spans="9:16">
      <c r="I2521" s="23" t="str">
        <f>_xlfn.IFNA(VLOOKUP(A2521,A2522:$H$3524,8,0),"")</f>
        <v/>
      </c>
      <c r="J2521" s="40" t="str">
        <f t="shared" si="204"/>
        <v/>
      </c>
      <c r="K2521" s="24" t="str">
        <f t="shared" si="205"/>
        <v/>
      </c>
      <c r="L2521" s="25" t="str">
        <f t="shared" si="201"/>
        <v/>
      </c>
      <c r="O2521" s="33" t="str">
        <f t="shared" si="202"/>
        <v/>
      </c>
      <c r="P2521" s="33" t="str">
        <f t="shared" si="203"/>
        <v/>
      </c>
    </row>
    <row r="2522" spans="9:16">
      <c r="I2522" s="23" t="str">
        <f>_xlfn.IFNA(VLOOKUP(A2522,A2523:$H$3524,8,0),"")</f>
        <v/>
      </c>
      <c r="J2522" s="40" t="str">
        <f t="shared" si="204"/>
        <v/>
      </c>
      <c r="K2522" s="24" t="str">
        <f t="shared" si="205"/>
        <v/>
      </c>
      <c r="L2522" s="25" t="str">
        <f t="shared" si="201"/>
        <v/>
      </c>
      <c r="O2522" s="33" t="str">
        <f t="shared" si="202"/>
        <v/>
      </c>
      <c r="P2522" s="33" t="str">
        <f t="shared" si="203"/>
        <v/>
      </c>
    </row>
    <row r="2523" spans="9:16">
      <c r="I2523" s="23" t="str">
        <f>_xlfn.IFNA(VLOOKUP(A2523,A2524:$H$3524,8,0),"")</f>
        <v/>
      </c>
      <c r="J2523" s="40" t="str">
        <f t="shared" si="204"/>
        <v/>
      </c>
      <c r="K2523" s="24" t="str">
        <f t="shared" si="205"/>
        <v/>
      </c>
      <c r="L2523" s="25" t="str">
        <f t="shared" si="201"/>
        <v/>
      </c>
      <c r="O2523" s="33" t="str">
        <f t="shared" si="202"/>
        <v/>
      </c>
      <c r="P2523" s="33" t="str">
        <f t="shared" si="203"/>
        <v/>
      </c>
    </row>
    <row r="2524" spans="9:16">
      <c r="I2524" s="23" t="str">
        <f>_xlfn.IFNA(VLOOKUP(A2524,A2525:$H$3524,8,0),"")</f>
        <v/>
      </c>
      <c r="J2524" s="40" t="str">
        <f t="shared" si="204"/>
        <v/>
      </c>
      <c r="K2524" s="24" t="str">
        <f t="shared" si="205"/>
        <v/>
      </c>
      <c r="L2524" s="25" t="str">
        <f t="shared" si="201"/>
        <v/>
      </c>
      <c r="O2524" s="33" t="str">
        <f t="shared" si="202"/>
        <v/>
      </c>
      <c r="P2524" s="33" t="str">
        <f t="shared" si="203"/>
        <v/>
      </c>
    </row>
    <row r="2525" spans="9:16">
      <c r="I2525" s="23" t="str">
        <f>_xlfn.IFNA(VLOOKUP(A2525,A2526:$H$3524,8,0),"")</f>
        <v/>
      </c>
      <c r="J2525" s="40" t="str">
        <f t="shared" si="204"/>
        <v/>
      </c>
      <c r="K2525" s="24" t="str">
        <f t="shared" si="205"/>
        <v/>
      </c>
      <c r="L2525" s="25" t="str">
        <f t="shared" si="201"/>
        <v/>
      </c>
      <c r="O2525" s="33" t="str">
        <f t="shared" si="202"/>
        <v/>
      </c>
      <c r="P2525" s="33" t="str">
        <f t="shared" si="203"/>
        <v/>
      </c>
    </row>
    <row r="2526" spans="9:16">
      <c r="I2526" s="23" t="str">
        <f>_xlfn.IFNA(VLOOKUP(A2526,A2527:$H$3524,8,0),"")</f>
        <v/>
      </c>
      <c r="J2526" s="40" t="str">
        <f t="shared" si="204"/>
        <v/>
      </c>
      <c r="K2526" s="24" t="str">
        <f t="shared" si="205"/>
        <v/>
      </c>
      <c r="L2526" s="25" t="str">
        <f t="shared" si="201"/>
        <v/>
      </c>
      <c r="O2526" s="33" t="str">
        <f t="shared" si="202"/>
        <v/>
      </c>
      <c r="P2526" s="33" t="str">
        <f t="shared" si="203"/>
        <v/>
      </c>
    </row>
    <row r="2527" spans="9:16">
      <c r="I2527" s="23" t="str">
        <f>_xlfn.IFNA(VLOOKUP(A2527,A2528:$H$3524,8,0),"")</f>
        <v/>
      </c>
      <c r="J2527" s="40" t="str">
        <f t="shared" si="204"/>
        <v/>
      </c>
      <c r="K2527" s="24" t="str">
        <f t="shared" si="205"/>
        <v/>
      </c>
      <c r="L2527" s="25" t="str">
        <f t="shared" si="201"/>
        <v/>
      </c>
      <c r="O2527" s="33" t="str">
        <f t="shared" si="202"/>
        <v/>
      </c>
      <c r="P2527" s="33" t="str">
        <f t="shared" si="203"/>
        <v/>
      </c>
    </row>
    <row r="2528" spans="9:16">
      <c r="I2528" s="23" t="str">
        <f>_xlfn.IFNA(VLOOKUP(A2528,A2529:$H$3524,8,0),"")</f>
        <v/>
      </c>
      <c r="J2528" s="40" t="str">
        <f t="shared" si="204"/>
        <v/>
      </c>
      <c r="K2528" s="24" t="str">
        <f t="shared" si="205"/>
        <v/>
      </c>
      <c r="L2528" s="25" t="str">
        <f t="shared" si="201"/>
        <v/>
      </c>
      <c r="O2528" s="33" t="str">
        <f t="shared" si="202"/>
        <v/>
      </c>
      <c r="P2528" s="33" t="str">
        <f t="shared" si="203"/>
        <v/>
      </c>
    </row>
    <row r="2529" spans="9:16">
      <c r="I2529" s="23" t="str">
        <f>_xlfn.IFNA(VLOOKUP(A2529,A2530:$H$3524,8,0),"")</f>
        <v/>
      </c>
      <c r="J2529" s="40" t="str">
        <f t="shared" si="204"/>
        <v/>
      </c>
      <c r="K2529" s="24" t="str">
        <f t="shared" si="205"/>
        <v/>
      </c>
      <c r="L2529" s="25" t="str">
        <f t="shared" si="201"/>
        <v/>
      </c>
      <c r="O2529" s="33" t="str">
        <f t="shared" si="202"/>
        <v/>
      </c>
      <c r="P2529" s="33" t="str">
        <f t="shared" si="203"/>
        <v/>
      </c>
    </row>
    <row r="2530" spans="9:16">
      <c r="I2530" s="23" t="str">
        <f>_xlfn.IFNA(VLOOKUP(A2530,A2531:$H$3524,8,0),"")</f>
        <v/>
      </c>
      <c r="J2530" s="40" t="str">
        <f t="shared" si="204"/>
        <v/>
      </c>
      <c r="K2530" s="24" t="str">
        <f t="shared" si="205"/>
        <v/>
      </c>
      <c r="L2530" s="25" t="str">
        <f t="shared" si="201"/>
        <v/>
      </c>
      <c r="O2530" s="33" t="str">
        <f t="shared" si="202"/>
        <v/>
      </c>
      <c r="P2530" s="33" t="str">
        <f t="shared" si="203"/>
        <v/>
      </c>
    </row>
    <row r="2531" spans="9:16">
      <c r="I2531" s="23" t="str">
        <f>_xlfn.IFNA(VLOOKUP(A2531,A2532:$H$3524,8,0),"")</f>
        <v/>
      </c>
      <c r="J2531" s="40" t="str">
        <f t="shared" si="204"/>
        <v/>
      </c>
      <c r="K2531" s="24" t="str">
        <f t="shared" si="205"/>
        <v/>
      </c>
      <c r="L2531" s="25" t="str">
        <f t="shared" si="201"/>
        <v/>
      </c>
      <c r="O2531" s="33" t="str">
        <f t="shared" si="202"/>
        <v/>
      </c>
      <c r="P2531" s="33" t="str">
        <f t="shared" si="203"/>
        <v/>
      </c>
    </row>
    <row r="2532" spans="9:16">
      <c r="I2532" s="23" t="str">
        <f>_xlfn.IFNA(VLOOKUP(A2532,A2533:$H$3524,8,0),"")</f>
        <v/>
      </c>
      <c r="J2532" s="40" t="str">
        <f t="shared" si="204"/>
        <v/>
      </c>
      <c r="K2532" s="24" t="str">
        <f t="shared" si="205"/>
        <v/>
      </c>
      <c r="L2532" s="25" t="str">
        <f t="shared" si="201"/>
        <v/>
      </c>
      <c r="O2532" s="33" t="str">
        <f t="shared" si="202"/>
        <v/>
      </c>
      <c r="P2532" s="33" t="str">
        <f t="shared" si="203"/>
        <v/>
      </c>
    </row>
    <row r="2533" spans="9:16">
      <c r="I2533" s="23" t="str">
        <f>_xlfn.IFNA(VLOOKUP(A2533,A2534:$H$3524,8,0),"")</f>
        <v/>
      </c>
      <c r="J2533" s="40" t="str">
        <f t="shared" si="204"/>
        <v/>
      </c>
      <c r="K2533" s="24" t="str">
        <f t="shared" si="205"/>
        <v/>
      </c>
      <c r="L2533" s="25" t="str">
        <f t="shared" si="201"/>
        <v/>
      </c>
      <c r="O2533" s="33" t="str">
        <f t="shared" si="202"/>
        <v/>
      </c>
      <c r="P2533" s="33" t="str">
        <f t="shared" si="203"/>
        <v/>
      </c>
    </row>
    <row r="2534" spans="9:16">
      <c r="I2534" s="23" t="str">
        <f>_xlfn.IFNA(VLOOKUP(A2534,A2535:$H$3524,8,0),"")</f>
        <v/>
      </c>
      <c r="J2534" s="40" t="str">
        <f t="shared" si="204"/>
        <v/>
      </c>
      <c r="K2534" s="24" t="str">
        <f t="shared" si="205"/>
        <v/>
      </c>
      <c r="L2534" s="25" t="str">
        <f t="shared" si="201"/>
        <v/>
      </c>
      <c r="O2534" s="33" t="str">
        <f t="shared" si="202"/>
        <v/>
      </c>
      <c r="P2534" s="33" t="str">
        <f t="shared" si="203"/>
        <v/>
      </c>
    </row>
    <row r="2535" spans="9:16">
      <c r="I2535" s="23" t="str">
        <f>_xlfn.IFNA(VLOOKUP(A2535,A2536:$H$3524,8,0),"")</f>
        <v/>
      </c>
      <c r="J2535" s="40" t="str">
        <f t="shared" si="204"/>
        <v/>
      </c>
      <c r="K2535" s="24" t="str">
        <f t="shared" si="205"/>
        <v/>
      </c>
      <c r="L2535" s="25" t="str">
        <f t="shared" si="201"/>
        <v/>
      </c>
      <c r="O2535" s="33" t="str">
        <f t="shared" si="202"/>
        <v/>
      </c>
      <c r="P2535" s="33" t="str">
        <f t="shared" si="203"/>
        <v/>
      </c>
    </row>
    <row r="2536" spans="9:16">
      <c r="I2536" s="23" t="str">
        <f>_xlfn.IFNA(VLOOKUP(A2536,A2537:$H$3524,8,0),"")</f>
        <v/>
      </c>
      <c r="J2536" s="40" t="str">
        <f t="shared" si="204"/>
        <v/>
      </c>
      <c r="K2536" s="24" t="str">
        <f t="shared" si="205"/>
        <v/>
      </c>
      <c r="L2536" s="25" t="str">
        <f t="shared" si="201"/>
        <v/>
      </c>
      <c r="O2536" s="33" t="str">
        <f t="shared" si="202"/>
        <v/>
      </c>
      <c r="P2536" s="33" t="str">
        <f t="shared" si="203"/>
        <v/>
      </c>
    </row>
    <row r="2537" spans="9:16">
      <c r="I2537" s="23" t="str">
        <f>_xlfn.IFNA(VLOOKUP(A2537,A2538:$H$3524,8,0),"")</f>
        <v/>
      </c>
      <c r="J2537" s="40" t="str">
        <f t="shared" si="204"/>
        <v/>
      </c>
      <c r="K2537" s="24" t="str">
        <f t="shared" si="205"/>
        <v/>
      </c>
      <c r="L2537" s="25" t="str">
        <f t="shared" si="201"/>
        <v/>
      </c>
      <c r="O2537" s="33" t="str">
        <f t="shared" si="202"/>
        <v/>
      </c>
      <c r="P2537" s="33" t="str">
        <f t="shared" si="203"/>
        <v/>
      </c>
    </row>
    <row r="2538" spans="9:16">
      <c r="I2538" s="23" t="str">
        <f>_xlfn.IFNA(VLOOKUP(A2538,A2539:$H$3524,8,0),"")</f>
        <v/>
      </c>
      <c r="J2538" s="40" t="str">
        <f t="shared" si="204"/>
        <v/>
      </c>
      <c r="K2538" s="24" t="str">
        <f t="shared" si="205"/>
        <v/>
      </c>
      <c r="L2538" s="25" t="str">
        <f t="shared" si="201"/>
        <v/>
      </c>
      <c r="O2538" s="33" t="str">
        <f t="shared" si="202"/>
        <v/>
      </c>
      <c r="P2538" s="33" t="str">
        <f t="shared" si="203"/>
        <v/>
      </c>
    </row>
    <row r="2539" spans="9:16">
      <c r="I2539" s="23" t="str">
        <f>_xlfn.IFNA(VLOOKUP(A2539,A2540:$H$3524,8,0),"")</f>
        <v/>
      </c>
      <c r="J2539" s="40" t="str">
        <f t="shared" si="204"/>
        <v/>
      </c>
      <c r="K2539" s="24" t="str">
        <f t="shared" si="205"/>
        <v/>
      </c>
      <c r="L2539" s="25" t="str">
        <f t="shared" si="201"/>
        <v/>
      </c>
      <c r="O2539" s="33" t="str">
        <f t="shared" si="202"/>
        <v/>
      </c>
      <c r="P2539" s="33" t="str">
        <f t="shared" si="203"/>
        <v/>
      </c>
    </row>
    <row r="2540" spans="9:16">
      <c r="I2540" s="23" t="str">
        <f>_xlfn.IFNA(VLOOKUP(A2540,A2541:$H$3524,8,0),"")</f>
        <v/>
      </c>
      <c r="J2540" s="40" t="str">
        <f t="shared" si="204"/>
        <v/>
      </c>
      <c r="K2540" s="24" t="str">
        <f t="shared" si="205"/>
        <v/>
      </c>
      <c r="L2540" s="25" t="str">
        <f t="shared" si="201"/>
        <v/>
      </c>
      <c r="O2540" s="33" t="str">
        <f t="shared" si="202"/>
        <v/>
      </c>
      <c r="P2540" s="33" t="str">
        <f t="shared" si="203"/>
        <v/>
      </c>
    </row>
    <row r="2541" spans="9:16">
      <c r="I2541" s="23" t="str">
        <f>_xlfn.IFNA(VLOOKUP(A2541,A2542:$H$3524,8,0),"")</f>
        <v/>
      </c>
      <c r="J2541" s="40" t="str">
        <f t="shared" si="204"/>
        <v/>
      </c>
      <c r="K2541" s="24" t="str">
        <f t="shared" si="205"/>
        <v/>
      </c>
      <c r="L2541" s="25" t="str">
        <f t="shared" si="201"/>
        <v/>
      </c>
      <c r="O2541" s="33" t="str">
        <f t="shared" si="202"/>
        <v/>
      </c>
      <c r="P2541" s="33" t="str">
        <f t="shared" si="203"/>
        <v/>
      </c>
    </row>
    <row r="2542" spans="9:16">
      <c r="I2542" s="23" t="str">
        <f>_xlfn.IFNA(VLOOKUP(A2542,A2543:$H$3524,8,0),"")</f>
        <v/>
      </c>
      <c r="J2542" s="40" t="str">
        <f t="shared" si="204"/>
        <v/>
      </c>
      <c r="K2542" s="24" t="str">
        <f t="shared" si="205"/>
        <v/>
      </c>
      <c r="L2542" s="25" t="str">
        <f t="shared" si="201"/>
        <v/>
      </c>
      <c r="O2542" s="33" t="str">
        <f t="shared" si="202"/>
        <v/>
      </c>
      <c r="P2542" s="33" t="str">
        <f t="shared" si="203"/>
        <v/>
      </c>
    </row>
    <row r="2543" spans="9:16">
      <c r="I2543" s="23" t="str">
        <f>_xlfn.IFNA(VLOOKUP(A2543,A2544:$H$3524,8,0),"")</f>
        <v/>
      </c>
      <c r="J2543" s="40" t="str">
        <f t="shared" si="204"/>
        <v/>
      </c>
      <c r="K2543" s="24" t="str">
        <f t="shared" si="205"/>
        <v/>
      </c>
      <c r="L2543" s="25" t="str">
        <f t="shared" si="201"/>
        <v/>
      </c>
      <c r="O2543" s="33" t="str">
        <f t="shared" si="202"/>
        <v/>
      </c>
      <c r="P2543" s="33" t="str">
        <f t="shared" si="203"/>
        <v/>
      </c>
    </row>
    <row r="2544" spans="9:16">
      <c r="I2544" s="23" t="str">
        <f>_xlfn.IFNA(VLOOKUP(A2544,A2545:$H$3524,8,0),"")</f>
        <v/>
      </c>
      <c r="J2544" s="40" t="str">
        <f t="shared" si="204"/>
        <v/>
      </c>
      <c r="K2544" s="24" t="str">
        <f t="shared" si="205"/>
        <v/>
      </c>
      <c r="L2544" s="25" t="str">
        <f t="shared" si="201"/>
        <v/>
      </c>
      <c r="O2544" s="33" t="str">
        <f t="shared" si="202"/>
        <v/>
      </c>
      <c r="P2544" s="33" t="str">
        <f t="shared" si="203"/>
        <v/>
      </c>
    </row>
    <row r="2545" spans="9:16">
      <c r="I2545" s="23" t="str">
        <f>_xlfn.IFNA(VLOOKUP(A2545,A2546:$H$3524,8,0),"")</f>
        <v/>
      </c>
      <c r="J2545" s="40" t="str">
        <f t="shared" si="204"/>
        <v/>
      </c>
      <c r="K2545" s="24" t="str">
        <f t="shared" si="205"/>
        <v/>
      </c>
      <c r="L2545" s="25" t="str">
        <f t="shared" si="201"/>
        <v/>
      </c>
      <c r="O2545" s="33" t="str">
        <f t="shared" si="202"/>
        <v/>
      </c>
      <c r="P2545" s="33" t="str">
        <f t="shared" si="203"/>
        <v/>
      </c>
    </row>
    <row r="2546" spans="9:16">
      <c r="I2546" s="23" t="str">
        <f>_xlfn.IFNA(VLOOKUP(A2546,A2547:$H$3524,8,0),"")</f>
        <v/>
      </c>
      <c r="J2546" s="40" t="str">
        <f t="shared" si="204"/>
        <v/>
      </c>
      <c r="K2546" s="24" t="str">
        <f t="shared" si="205"/>
        <v/>
      </c>
      <c r="L2546" s="25" t="str">
        <f t="shared" si="201"/>
        <v/>
      </c>
      <c r="O2546" s="33" t="str">
        <f t="shared" si="202"/>
        <v/>
      </c>
      <c r="P2546" s="33" t="str">
        <f t="shared" si="203"/>
        <v/>
      </c>
    </row>
    <row r="2547" spans="9:16">
      <c r="I2547" s="23" t="str">
        <f>_xlfn.IFNA(VLOOKUP(A2547,A2548:$H$3524,8,0),"")</f>
        <v/>
      </c>
      <c r="J2547" s="40" t="str">
        <f t="shared" si="204"/>
        <v/>
      </c>
      <c r="K2547" s="24" t="str">
        <f t="shared" si="205"/>
        <v/>
      </c>
      <c r="L2547" s="25" t="str">
        <f t="shared" si="201"/>
        <v/>
      </c>
      <c r="O2547" s="33" t="str">
        <f t="shared" si="202"/>
        <v/>
      </c>
      <c r="P2547" s="33" t="str">
        <f t="shared" si="203"/>
        <v/>
      </c>
    </row>
    <row r="2548" spans="9:16">
      <c r="I2548" s="23" t="str">
        <f>_xlfn.IFNA(VLOOKUP(A2548,A2549:$H$3524,8,0),"")</f>
        <v/>
      </c>
      <c r="J2548" s="40" t="str">
        <f t="shared" si="204"/>
        <v/>
      </c>
      <c r="K2548" s="24" t="str">
        <f t="shared" si="205"/>
        <v/>
      </c>
      <c r="L2548" s="25" t="str">
        <f t="shared" si="201"/>
        <v/>
      </c>
      <c r="O2548" s="33" t="str">
        <f t="shared" si="202"/>
        <v/>
      </c>
      <c r="P2548" s="33" t="str">
        <f t="shared" si="203"/>
        <v/>
      </c>
    </row>
    <row r="2549" spans="9:16">
      <c r="I2549" s="23" t="str">
        <f>_xlfn.IFNA(VLOOKUP(A2549,A2550:$H$3524,8,0),"")</f>
        <v/>
      </c>
      <c r="J2549" s="40" t="str">
        <f t="shared" si="204"/>
        <v/>
      </c>
      <c r="K2549" s="24" t="str">
        <f t="shared" si="205"/>
        <v/>
      </c>
      <c r="L2549" s="25" t="str">
        <f t="shared" si="201"/>
        <v/>
      </c>
      <c r="O2549" s="33" t="str">
        <f t="shared" si="202"/>
        <v/>
      </c>
      <c r="P2549" s="33" t="str">
        <f t="shared" si="203"/>
        <v/>
      </c>
    </row>
    <row r="2550" spans="9:16">
      <c r="I2550" s="23" t="str">
        <f>_xlfn.IFNA(VLOOKUP(A2550,A2551:$H$3524,8,0),"")</f>
        <v/>
      </c>
      <c r="J2550" s="40" t="str">
        <f t="shared" si="204"/>
        <v/>
      </c>
      <c r="K2550" s="24" t="str">
        <f t="shared" si="205"/>
        <v/>
      </c>
      <c r="L2550" s="25" t="str">
        <f t="shared" si="201"/>
        <v/>
      </c>
      <c r="O2550" s="33" t="str">
        <f t="shared" si="202"/>
        <v/>
      </c>
      <c r="P2550" s="33" t="str">
        <f t="shared" si="203"/>
        <v/>
      </c>
    </row>
    <row r="2551" spans="9:16">
      <c r="I2551" s="23" t="str">
        <f>_xlfn.IFNA(VLOOKUP(A2551,A2552:$H$3524,8,0),"")</f>
        <v/>
      </c>
      <c r="J2551" s="40" t="str">
        <f t="shared" si="204"/>
        <v/>
      </c>
      <c r="K2551" s="24" t="str">
        <f t="shared" si="205"/>
        <v/>
      </c>
      <c r="L2551" s="25" t="str">
        <f t="shared" ref="L2551:L2614" si="206">IF(K2551="","",IF(B2551="Break","Break",IF(K2551&lt;&gt;0,"Work Finished",IF(B2551="OFF","Work Finished",IF(I2551="","Working","Work Finished")))))</f>
        <v/>
      </c>
      <c r="O2551" s="33" t="str">
        <f t="shared" ref="O2551:O2614" si="207">IF(AND(J2551="",M2551="",N2551=""),"",J2551-M2551-N2551)</f>
        <v/>
      </c>
      <c r="P2551" s="33" t="str">
        <f t="shared" ref="P2551:P2614" si="208">IF(HOUR(H2551)=0,"",HOUR(H2551))</f>
        <v/>
      </c>
    </row>
    <row r="2552" spans="9:16">
      <c r="I2552" s="23" t="str">
        <f>_xlfn.IFNA(VLOOKUP(A2552,A2553:$H$3524,8,0),"")</f>
        <v/>
      </c>
      <c r="J2552" s="40" t="str">
        <f t="shared" si="204"/>
        <v/>
      </c>
      <c r="K2552" s="24" t="str">
        <f t="shared" si="205"/>
        <v/>
      </c>
      <c r="L2552" s="25" t="str">
        <f t="shared" si="206"/>
        <v/>
      </c>
      <c r="O2552" s="33" t="str">
        <f t="shared" si="207"/>
        <v/>
      </c>
      <c r="P2552" s="33" t="str">
        <f t="shared" si="208"/>
        <v/>
      </c>
    </row>
    <row r="2553" spans="9:16">
      <c r="I2553" s="23" t="str">
        <f>_xlfn.IFNA(VLOOKUP(A2553,A2554:$H$3524,8,0),"")</f>
        <v/>
      </c>
      <c r="J2553" s="40" t="str">
        <f t="shared" si="204"/>
        <v/>
      </c>
      <c r="K2553" s="24" t="str">
        <f t="shared" si="205"/>
        <v/>
      </c>
      <c r="L2553" s="25" t="str">
        <f t="shared" si="206"/>
        <v/>
      </c>
      <c r="O2553" s="33" t="str">
        <f t="shared" si="207"/>
        <v/>
      </c>
      <c r="P2553" s="33" t="str">
        <f t="shared" si="208"/>
        <v/>
      </c>
    </row>
    <row r="2554" spans="9:16">
      <c r="I2554" s="23" t="str">
        <f>_xlfn.IFNA(VLOOKUP(A2554,A2555:$H$3524,8,0),"")</f>
        <v/>
      </c>
      <c r="J2554" s="40" t="str">
        <f t="shared" si="204"/>
        <v/>
      </c>
      <c r="K2554" s="24" t="str">
        <f t="shared" si="205"/>
        <v/>
      </c>
      <c r="L2554" s="25" t="str">
        <f t="shared" si="206"/>
        <v/>
      </c>
      <c r="O2554" s="33" t="str">
        <f t="shared" si="207"/>
        <v/>
      </c>
      <c r="P2554" s="33" t="str">
        <f t="shared" si="208"/>
        <v/>
      </c>
    </row>
    <row r="2555" spans="9:16">
      <c r="I2555" s="23" t="str">
        <f>_xlfn.IFNA(VLOOKUP(A2555,A2556:$H$3524,8,0),"")</f>
        <v/>
      </c>
      <c r="J2555" s="40" t="str">
        <f t="shared" si="204"/>
        <v/>
      </c>
      <c r="K2555" s="24" t="str">
        <f t="shared" si="205"/>
        <v/>
      </c>
      <c r="L2555" s="25" t="str">
        <f t="shared" si="206"/>
        <v/>
      </c>
      <c r="O2555" s="33" t="str">
        <f t="shared" si="207"/>
        <v/>
      </c>
      <c r="P2555" s="33" t="str">
        <f t="shared" si="208"/>
        <v/>
      </c>
    </row>
    <row r="2556" spans="9:16">
      <c r="I2556" s="23" t="str">
        <f>_xlfn.IFNA(VLOOKUP(A2556,A2557:$H$3524,8,0),"")</f>
        <v/>
      </c>
      <c r="J2556" s="40" t="str">
        <f t="shared" si="204"/>
        <v/>
      </c>
      <c r="K2556" s="24" t="str">
        <f t="shared" si="205"/>
        <v/>
      </c>
      <c r="L2556" s="25" t="str">
        <f t="shared" si="206"/>
        <v/>
      </c>
      <c r="O2556" s="33" t="str">
        <f t="shared" si="207"/>
        <v/>
      </c>
      <c r="P2556" s="33" t="str">
        <f t="shared" si="208"/>
        <v/>
      </c>
    </row>
    <row r="2557" spans="9:16">
      <c r="I2557" s="23" t="str">
        <f>_xlfn.IFNA(VLOOKUP(A2557,A2558:$H$3524,8,0),"")</f>
        <v/>
      </c>
      <c r="J2557" s="40" t="str">
        <f t="shared" si="204"/>
        <v/>
      </c>
      <c r="K2557" s="24" t="str">
        <f t="shared" si="205"/>
        <v/>
      </c>
      <c r="L2557" s="25" t="str">
        <f t="shared" si="206"/>
        <v/>
      </c>
      <c r="O2557" s="33" t="str">
        <f t="shared" si="207"/>
        <v/>
      </c>
      <c r="P2557" s="33" t="str">
        <f t="shared" si="208"/>
        <v/>
      </c>
    </row>
    <row r="2558" spans="9:16">
      <c r="I2558" s="23" t="str">
        <f>_xlfn.IFNA(VLOOKUP(A2558,A2559:$H$3524,8,0),"")</f>
        <v/>
      </c>
      <c r="J2558" s="40" t="str">
        <f t="shared" si="204"/>
        <v/>
      </c>
      <c r="K2558" s="24" t="str">
        <f t="shared" si="205"/>
        <v/>
      </c>
      <c r="L2558" s="25" t="str">
        <f t="shared" si="206"/>
        <v/>
      </c>
      <c r="O2558" s="33" t="str">
        <f t="shared" si="207"/>
        <v/>
      </c>
      <c r="P2558" s="33" t="str">
        <f t="shared" si="208"/>
        <v/>
      </c>
    </row>
    <row r="2559" spans="9:16">
      <c r="I2559" s="23" t="str">
        <f>_xlfn.IFNA(VLOOKUP(A2559,A2560:$H$3524,8,0),"")</f>
        <v/>
      </c>
      <c r="J2559" s="40" t="str">
        <f t="shared" si="204"/>
        <v/>
      </c>
      <c r="K2559" s="24" t="str">
        <f t="shared" si="205"/>
        <v/>
      </c>
      <c r="L2559" s="25" t="str">
        <f t="shared" si="206"/>
        <v/>
      </c>
      <c r="O2559" s="33" t="str">
        <f t="shared" si="207"/>
        <v/>
      </c>
      <c r="P2559" s="33" t="str">
        <f t="shared" si="208"/>
        <v/>
      </c>
    </row>
    <row r="2560" spans="9:16">
      <c r="I2560" s="23" t="str">
        <f>_xlfn.IFNA(VLOOKUP(A2560,A2561:$H$3524,8,0),"")</f>
        <v/>
      </c>
      <c r="J2560" s="40" t="str">
        <f t="shared" si="204"/>
        <v/>
      </c>
      <c r="K2560" s="24" t="str">
        <f t="shared" si="205"/>
        <v/>
      </c>
      <c r="L2560" s="25" t="str">
        <f t="shared" si="206"/>
        <v/>
      </c>
      <c r="O2560" s="33" t="str">
        <f t="shared" si="207"/>
        <v/>
      </c>
      <c r="P2560" s="33" t="str">
        <f t="shared" si="208"/>
        <v/>
      </c>
    </row>
    <row r="2561" spans="9:16">
      <c r="I2561" s="23" t="str">
        <f>_xlfn.IFNA(VLOOKUP(A2561,A2562:$H$3524,8,0),"")</f>
        <v/>
      </c>
      <c r="J2561" s="40" t="str">
        <f t="shared" si="204"/>
        <v/>
      </c>
      <c r="K2561" s="24" t="str">
        <f t="shared" si="205"/>
        <v/>
      </c>
      <c r="L2561" s="25" t="str">
        <f t="shared" si="206"/>
        <v/>
      </c>
      <c r="O2561" s="33" t="str">
        <f t="shared" si="207"/>
        <v/>
      </c>
      <c r="P2561" s="33" t="str">
        <f t="shared" si="208"/>
        <v/>
      </c>
    </row>
    <row r="2562" spans="9:16">
      <c r="I2562" s="23" t="str">
        <f>_xlfn.IFNA(VLOOKUP(A2562,A2563:$H$3524,8,0),"")</f>
        <v/>
      </c>
      <c r="J2562" s="40" t="str">
        <f t="shared" si="204"/>
        <v/>
      </c>
      <c r="K2562" s="24" t="str">
        <f t="shared" si="205"/>
        <v/>
      </c>
      <c r="L2562" s="25" t="str">
        <f t="shared" si="206"/>
        <v/>
      </c>
      <c r="O2562" s="33" t="str">
        <f t="shared" si="207"/>
        <v/>
      </c>
      <c r="P2562" s="33" t="str">
        <f t="shared" si="208"/>
        <v/>
      </c>
    </row>
    <row r="2563" spans="9:16">
      <c r="I2563" s="23" t="str">
        <f>_xlfn.IFNA(VLOOKUP(A2563,A2564:$H$3524,8,0),"")</f>
        <v/>
      </c>
      <c r="J2563" s="40" t="str">
        <f t="shared" si="204"/>
        <v/>
      </c>
      <c r="K2563" s="24" t="str">
        <f t="shared" si="205"/>
        <v/>
      </c>
      <c r="L2563" s="25" t="str">
        <f t="shared" si="206"/>
        <v/>
      </c>
      <c r="O2563" s="33" t="str">
        <f t="shared" si="207"/>
        <v/>
      </c>
      <c r="P2563" s="33" t="str">
        <f t="shared" si="208"/>
        <v/>
      </c>
    </row>
    <row r="2564" spans="9:16">
      <c r="I2564" s="23" t="str">
        <f>_xlfn.IFNA(VLOOKUP(A2564,A2565:$H$3524,8,0),"")</f>
        <v/>
      </c>
      <c r="J2564" s="40" t="str">
        <f t="shared" si="204"/>
        <v/>
      </c>
      <c r="K2564" s="24" t="str">
        <f t="shared" si="205"/>
        <v/>
      </c>
      <c r="L2564" s="25" t="str">
        <f t="shared" si="206"/>
        <v/>
      </c>
      <c r="O2564" s="33" t="str">
        <f t="shared" si="207"/>
        <v/>
      </c>
      <c r="P2564" s="33" t="str">
        <f t="shared" si="208"/>
        <v/>
      </c>
    </row>
    <row r="2565" spans="9:16">
      <c r="I2565" s="23" t="str">
        <f>_xlfn.IFNA(VLOOKUP(A2565,A2566:$H$3524,8,0),"")</f>
        <v/>
      </c>
      <c r="J2565" s="40" t="str">
        <f t="shared" si="204"/>
        <v/>
      </c>
      <c r="K2565" s="24" t="str">
        <f t="shared" si="205"/>
        <v/>
      </c>
      <c r="L2565" s="25" t="str">
        <f t="shared" si="206"/>
        <v/>
      </c>
      <c r="O2565" s="33" t="str">
        <f t="shared" si="207"/>
        <v/>
      </c>
      <c r="P2565" s="33" t="str">
        <f t="shared" si="208"/>
        <v/>
      </c>
    </row>
    <row r="2566" spans="9:16">
      <c r="I2566" s="23" t="str">
        <f>_xlfn.IFNA(VLOOKUP(A2566,A2567:$H$3524,8,0),"")</f>
        <v/>
      </c>
      <c r="J2566" s="40" t="str">
        <f t="shared" ref="J2566:J2629" si="209">IF(B2566="OFF",0,IF(AND(D2566&lt;&gt;"",E2566&lt;&gt;""),E2566-D2566+1,""))</f>
        <v/>
      </c>
      <c r="K2566" s="24" t="str">
        <f t="shared" si="205"/>
        <v/>
      </c>
      <c r="L2566" s="25" t="str">
        <f t="shared" si="206"/>
        <v/>
      </c>
      <c r="O2566" s="33" t="str">
        <f t="shared" si="207"/>
        <v/>
      </c>
      <c r="P2566" s="33" t="str">
        <f t="shared" si="208"/>
        <v/>
      </c>
    </row>
    <row r="2567" spans="9:16">
      <c r="I2567" s="23" t="str">
        <f>_xlfn.IFNA(VLOOKUP(A2567,A2568:$H$3524,8,0),"")</f>
        <v/>
      </c>
      <c r="J2567" s="40" t="str">
        <f t="shared" si="209"/>
        <v/>
      </c>
      <c r="K2567" s="24" t="str">
        <f t="shared" si="205"/>
        <v/>
      </c>
      <c r="L2567" s="25" t="str">
        <f t="shared" si="206"/>
        <v/>
      </c>
      <c r="O2567" s="33" t="str">
        <f t="shared" si="207"/>
        <v/>
      </c>
      <c r="P2567" s="33" t="str">
        <f t="shared" si="208"/>
        <v/>
      </c>
    </row>
    <row r="2568" spans="9:16">
      <c r="I2568" s="23" t="str">
        <f>_xlfn.IFNA(VLOOKUP(A2568,A2569:$H$3524,8,0),"")</f>
        <v/>
      </c>
      <c r="J2568" s="40" t="str">
        <f t="shared" si="209"/>
        <v/>
      </c>
      <c r="K2568" s="24" t="str">
        <f t="shared" si="205"/>
        <v/>
      </c>
      <c r="L2568" s="25" t="str">
        <f t="shared" si="206"/>
        <v/>
      </c>
      <c r="O2568" s="33" t="str">
        <f t="shared" si="207"/>
        <v/>
      </c>
      <c r="P2568" s="33" t="str">
        <f t="shared" si="208"/>
        <v/>
      </c>
    </row>
    <row r="2569" spans="9:16">
      <c r="I2569" s="23" t="str">
        <f>_xlfn.IFNA(VLOOKUP(A2569,A2570:$H$3524,8,0),"")</f>
        <v/>
      </c>
      <c r="J2569" s="40" t="str">
        <f t="shared" si="209"/>
        <v/>
      </c>
      <c r="K2569" s="24" t="str">
        <f t="shared" si="205"/>
        <v/>
      </c>
      <c r="L2569" s="25" t="str">
        <f t="shared" si="206"/>
        <v/>
      </c>
      <c r="O2569" s="33" t="str">
        <f t="shared" si="207"/>
        <v/>
      </c>
      <c r="P2569" s="33" t="str">
        <f t="shared" si="208"/>
        <v/>
      </c>
    </row>
    <row r="2570" spans="9:16">
      <c r="I2570" s="23" t="str">
        <f>_xlfn.IFNA(VLOOKUP(A2570,A2571:$H$3524,8,0),"")</f>
        <v/>
      </c>
      <c r="J2570" s="40" t="str">
        <f t="shared" si="209"/>
        <v/>
      </c>
      <c r="K2570" s="24" t="str">
        <f t="shared" si="205"/>
        <v/>
      </c>
      <c r="L2570" s="25" t="str">
        <f t="shared" si="206"/>
        <v/>
      </c>
      <c r="O2570" s="33" t="str">
        <f t="shared" si="207"/>
        <v/>
      </c>
      <c r="P2570" s="33" t="str">
        <f t="shared" si="208"/>
        <v/>
      </c>
    </row>
    <row r="2571" spans="9:16">
      <c r="I2571" s="23" t="str">
        <f>_xlfn.IFNA(VLOOKUP(A2571,A2572:$H$3524,8,0),"")</f>
        <v/>
      </c>
      <c r="J2571" s="40" t="str">
        <f t="shared" si="209"/>
        <v/>
      </c>
      <c r="K2571" s="24" t="str">
        <f t="shared" si="205"/>
        <v/>
      </c>
      <c r="L2571" s="25" t="str">
        <f t="shared" si="206"/>
        <v/>
      </c>
      <c r="O2571" s="33" t="str">
        <f t="shared" si="207"/>
        <v/>
      </c>
      <c r="P2571" s="33" t="str">
        <f t="shared" si="208"/>
        <v/>
      </c>
    </row>
    <row r="2572" spans="9:16">
      <c r="I2572" s="23" t="str">
        <f>_xlfn.IFNA(VLOOKUP(A2572,A2573:$H$3524,8,0),"")</f>
        <v/>
      </c>
      <c r="J2572" s="40" t="str">
        <f t="shared" si="209"/>
        <v/>
      </c>
      <c r="K2572" s="24" t="str">
        <f t="shared" si="205"/>
        <v/>
      </c>
      <c r="L2572" s="25" t="str">
        <f t="shared" si="206"/>
        <v/>
      </c>
      <c r="O2572" s="33" t="str">
        <f t="shared" si="207"/>
        <v/>
      </c>
      <c r="P2572" s="33" t="str">
        <f t="shared" si="208"/>
        <v/>
      </c>
    </row>
    <row r="2573" spans="9:16">
      <c r="I2573" s="23" t="str">
        <f>_xlfn.IFNA(VLOOKUP(A2573,A2574:$H$3524,8,0),"")</f>
        <v/>
      </c>
      <c r="J2573" s="40" t="str">
        <f t="shared" si="209"/>
        <v/>
      </c>
      <c r="K2573" s="24" t="str">
        <f t="shared" si="205"/>
        <v/>
      </c>
      <c r="L2573" s="25" t="str">
        <f t="shared" si="206"/>
        <v/>
      </c>
      <c r="O2573" s="33" t="str">
        <f t="shared" si="207"/>
        <v/>
      </c>
      <c r="P2573" s="33" t="str">
        <f t="shared" si="208"/>
        <v/>
      </c>
    </row>
    <row r="2574" spans="9:16">
      <c r="I2574" s="23" t="str">
        <f>_xlfn.IFNA(VLOOKUP(A2574,A2575:$H$3524,8,0),"")</f>
        <v/>
      </c>
      <c r="J2574" s="40" t="str">
        <f t="shared" si="209"/>
        <v/>
      </c>
      <c r="K2574" s="24" t="str">
        <f t="shared" si="205"/>
        <v/>
      </c>
      <c r="L2574" s="25" t="str">
        <f t="shared" si="206"/>
        <v/>
      </c>
      <c r="O2574" s="33" t="str">
        <f t="shared" si="207"/>
        <v/>
      </c>
      <c r="P2574" s="33" t="str">
        <f t="shared" si="208"/>
        <v/>
      </c>
    </row>
    <row r="2575" spans="9:16">
      <c r="I2575" s="23" t="str">
        <f>_xlfn.IFNA(VLOOKUP(A2575,A2576:$H$3524,8,0),"")</f>
        <v/>
      </c>
      <c r="J2575" s="40" t="str">
        <f t="shared" si="209"/>
        <v/>
      </c>
      <c r="K2575" s="24" t="str">
        <f t="shared" si="205"/>
        <v/>
      </c>
      <c r="L2575" s="25" t="str">
        <f t="shared" si="206"/>
        <v/>
      </c>
      <c r="O2575" s="33" t="str">
        <f t="shared" si="207"/>
        <v/>
      </c>
      <c r="P2575" s="33" t="str">
        <f t="shared" si="208"/>
        <v/>
      </c>
    </row>
    <row r="2576" spans="9:16">
      <c r="I2576" s="23" t="str">
        <f>_xlfn.IFNA(VLOOKUP(A2576,A2577:$H$3524,8,0),"")</f>
        <v/>
      </c>
      <c r="J2576" s="40" t="str">
        <f t="shared" si="209"/>
        <v/>
      </c>
      <c r="K2576" s="24" t="str">
        <f t="shared" si="205"/>
        <v/>
      </c>
      <c r="L2576" s="25" t="str">
        <f t="shared" si="206"/>
        <v/>
      </c>
      <c r="O2576" s="33" t="str">
        <f t="shared" si="207"/>
        <v/>
      </c>
      <c r="P2576" s="33" t="str">
        <f t="shared" si="208"/>
        <v/>
      </c>
    </row>
    <row r="2577" spans="9:16">
      <c r="I2577" s="23" t="str">
        <f>_xlfn.IFNA(VLOOKUP(A2577,A2578:$H$3524,8,0),"")</f>
        <v/>
      </c>
      <c r="J2577" s="40" t="str">
        <f t="shared" si="209"/>
        <v/>
      </c>
      <c r="K2577" s="24" t="str">
        <f t="shared" si="205"/>
        <v/>
      </c>
      <c r="L2577" s="25" t="str">
        <f t="shared" si="206"/>
        <v/>
      </c>
      <c r="O2577" s="33" t="str">
        <f t="shared" si="207"/>
        <v/>
      </c>
      <c r="P2577" s="33" t="str">
        <f t="shared" si="208"/>
        <v/>
      </c>
    </row>
    <row r="2578" spans="9:16">
      <c r="I2578" s="23" t="str">
        <f>_xlfn.IFNA(VLOOKUP(A2578,A2579:$H$3524,8,0),"")</f>
        <v/>
      </c>
      <c r="J2578" s="40" t="str">
        <f t="shared" si="209"/>
        <v/>
      </c>
      <c r="K2578" s="24" t="str">
        <f t="shared" si="205"/>
        <v/>
      </c>
      <c r="L2578" s="25" t="str">
        <f t="shared" si="206"/>
        <v/>
      </c>
      <c r="O2578" s="33" t="str">
        <f t="shared" si="207"/>
        <v/>
      </c>
      <c r="P2578" s="33" t="str">
        <f t="shared" si="208"/>
        <v/>
      </c>
    </row>
    <row r="2579" spans="9:16">
      <c r="I2579" s="23" t="str">
        <f>_xlfn.IFNA(VLOOKUP(A2579,A2580:$H$3524,8,0),"")</f>
        <v/>
      </c>
      <c r="J2579" s="40" t="str">
        <f t="shared" si="209"/>
        <v/>
      </c>
      <c r="K2579" s="24" t="str">
        <f t="shared" si="205"/>
        <v/>
      </c>
      <c r="L2579" s="25" t="str">
        <f t="shared" si="206"/>
        <v/>
      </c>
      <c r="O2579" s="33" t="str">
        <f t="shared" si="207"/>
        <v/>
      </c>
      <c r="P2579" s="33" t="str">
        <f t="shared" si="208"/>
        <v/>
      </c>
    </row>
    <row r="2580" spans="9:16">
      <c r="I2580" s="23" t="str">
        <f>_xlfn.IFNA(VLOOKUP(A2580,A2581:$H$3524,8,0),"")</f>
        <v/>
      </c>
      <c r="J2580" s="40" t="str">
        <f t="shared" si="209"/>
        <v/>
      </c>
      <c r="K2580" s="24" t="str">
        <f t="shared" si="205"/>
        <v/>
      </c>
      <c r="L2580" s="25" t="str">
        <f t="shared" si="206"/>
        <v/>
      </c>
      <c r="O2580" s="33" t="str">
        <f t="shared" si="207"/>
        <v/>
      </c>
      <c r="P2580" s="33" t="str">
        <f t="shared" si="208"/>
        <v/>
      </c>
    </row>
    <row r="2581" spans="9:16">
      <c r="I2581" s="23" t="str">
        <f>_xlfn.IFNA(VLOOKUP(A2581,A2582:$H$3524,8,0),"")</f>
        <v/>
      </c>
      <c r="J2581" s="40" t="str">
        <f t="shared" si="209"/>
        <v/>
      </c>
      <c r="K2581" s="24" t="str">
        <f t="shared" si="205"/>
        <v/>
      </c>
      <c r="L2581" s="25" t="str">
        <f t="shared" si="206"/>
        <v/>
      </c>
      <c r="O2581" s="33" t="str">
        <f t="shared" si="207"/>
        <v/>
      </c>
      <c r="P2581" s="33" t="str">
        <f t="shared" si="208"/>
        <v/>
      </c>
    </row>
    <row r="2582" spans="9:16">
      <c r="I2582" s="23" t="str">
        <f>_xlfn.IFNA(VLOOKUP(A2582,A2583:$H$3524,8,0),"")</f>
        <v/>
      </c>
      <c r="J2582" s="40" t="str">
        <f t="shared" si="209"/>
        <v/>
      </c>
      <c r="K2582" s="24" t="str">
        <f t="shared" ref="K2582:K2645" si="210">IF(H2582="","",IFERROR((I2582-H2582)*24,0))</f>
        <v/>
      </c>
      <c r="L2582" s="25" t="str">
        <f t="shared" si="206"/>
        <v/>
      </c>
      <c r="O2582" s="33" t="str">
        <f t="shared" si="207"/>
        <v/>
      </c>
      <c r="P2582" s="33" t="str">
        <f t="shared" si="208"/>
        <v/>
      </c>
    </row>
    <row r="2583" spans="9:16">
      <c r="I2583" s="23" t="str">
        <f>_xlfn.IFNA(VLOOKUP(A2583,A2584:$H$3524,8,0),"")</f>
        <v/>
      </c>
      <c r="J2583" s="40" t="str">
        <f t="shared" si="209"/>
        <v/>
      </c>
      <c r="K2583" s="24" t="str">
        <f t="shared" si="210"/>
        <v/>
      </c>
      <c r="L2583" s="25" t="str">
        <f t="shared" si="206"/>
        <v/>
      </c>
      <c r="O2583" s="33" t="str">
        <f t="shared" si="207"/>
        <v/>
      </c>
      <c r="P2583" s="33" t="str">
        <f t="shared" si="208"/>
        <v/>
      </c>
    </row>
    <row r="2584" spans="9:16">
      <c r="I2584" s="23" t="str">
        <f>_xlfn.IFNA(VLOOKUP(A2584,A2585:$H$3524,8,0),"")</f>
        <v/>
      </c>
      <c r="J2584" s="40" t="str">
        <f t="shared" si="209"/>
        <v/>
      </c>
      <c r="K2584" s="24" t="str">
        <f t="shared" si="210"/>
        <v/>
      </c>
      <c r="L2584" s="25" t="str">
        <f t="shared" si="206"/>
        <v/>
      </c>
      <c r="O2584" s="33" t="str">
        <f t="shared" si="207"/>
        <v/>
      </c>
      <c r="P2584" s="33" t="str">
        <f t="shared" si="208"/>
        <v/>
      </c>
    </row>
    <row r="2585" spans="9:16">
      <c r="I2585" s="23" t="str">
        <f>_xlfn.IFNA(VLOOKUP(A2585,A2586:$H$3524,8,0),"")</f>
        <v/>
      </c>
      <c r="J2585" s="40" t="str">
        <f t="shared" si="209"/>
        <v/>
      </c>
      <c r="K2585" s="24" t="str">
        <f t="shared" si="210"/>
        <v/>
      </c>
      <c r="L2585" s="25" t="str">
        <f t="shared" si="206"/>
        <v/>
      </c>
      <c r="O2585" s="33" t="str">
        <f t="shared" si="207"/>
        <v/>
      </c>
      <c r="P2585" s="33" t="str">
        <f t="shared" si="208"/>
        <v/>
      </c>
    </row>
    <row r="2586" spans="9:16">
      <c r="I2586" s="23" t="str">
        <f>_xlfn.IFNA(VLOOKUP(A2586,A2587:$H$3524,8,0),"")</f>
        <v/>
      </c>
      <c r="J2586" s="40" t="str">
        <f t="shared" si="209"/>
        <v/>
      </c>
      <c r="K2586" s="24" t="str">
        <f t="shared" si="210"/>
        <v/>
      </c>
      <c r="L2586" s="25" t="str">
        <f t="shared" si="206"/>
        <v/>
      </c>
      <c r="O2586" s="33" t="str">
        <f t="shared" si="207"/>
        <v/>
      </c>
      <c r="P2586" s="33" t="str">
        <f t="shared" si="208"/>
        <v/>
      </c>
    </row>
    <row r="2587" spans="9:16">
      <c r="I2587" s="23" t="str">
        <f>_xlfn.IFNA(VLOOKUP(A2587,A2588:$H$3524,8,0),"")</f>
        <v/>
      </c>
      <c r="J2587" s="40" t="str">
        <f t="shared" si="209"/>
        <v/>
      </c>
      <c r="K2587" s="24" t="str">
        <f t="shared" si="210"/>
        <v/>
      </c>
      <c r="L2587" s="25" t="str">
        <f t="shared" si="206"/>
        <v/>
      </c>
      <c r="O2587" s="33" t="str">
        <f t="shared" si="207"/>
        <v/>
      </c>
      <c r="P2587" s="33" t="str">
        <f t="shared" si="208"/>
        <v/>
      </c>
    </row>
    <row r="2588" spans="9:16">
      <c r="I2588" s="23" t="str">
        <f>_xlfn.IFNA(VLOOKUP(A2588,A2589:$H$3524,8,0),"")</f>
        <v/>
      </c>
      <c r="J2588" s="40" t="str">
        <f t="shared" si="209"/>
        <v/>
      </c>
      <c r="K2588" s="24" t="str">
        <f t="shared" si="210"/>
        <v/>
      </c>
      <c r="L2588" s="25" t="str">
        <f t="shared" si="206"/>
        <v/>
      </c>
      <c r="O2588" s="33" t="str">
        <f t="shared" si="207"/>
        <v/>
      </c>
      <c r="P2588" s="33" t="str">
        <f t="shared" si="208"/>
        <v/>
      </c>
    </row>
    <row r="2589" spans="9:16">
      <c r="I2589" s="23" t="str">
        <f>_xlfn.IFNA(VLOOKUP(A2589,A2590:$H$3524,8,0),"")</f>
        <v/>
      </c>
      <c r="J2589" s="40" t="str">
        <f t="shared" si="209"/>
        <v/>
      </c>
      <c r="K2589" s="24" t="str">
        <f t="shared" si="210"/>
        <v/>
      </c>
      <c r="L2589" s="25" t="str">
        <f t="shared" si="206"/>
        <v/>
      </c>
      <c r="O2589" s="33" t="str">
        <f t="shared" si="207"/>
        <v/>
      </c>
      <c r="P2589" s="33" t="str">
        <f t="shared" si="208"/>
        <v/>
      </c>
    </row>
    <row r="2590" spans="9:16">
      <c r="I2590" s="23" t="str">
        <f>_xlfn.IFNA(VLOOKUP(A2590,A2591:$H$3524,8,0),"")</f>
        <v/>
      </c>
      <c r="J2590" s="40" t="str">
        <f t="shared" si="209"/>
        <v/>
      </c>
      <c r="K2590" s="24" t="str">
        <f t="shared" si="210"/>
        <v/>
      </c>
      <c r="L2590" s="25" t="str">
        <f t="shared" si="206"/>
        <v/>
      </c>
      <c r="O2590" s="33" t="str">
        <f t="shared" si="207"/>
        <v/>
      </c>
      <c r="P2590" s="33" t="str">
        <f t="shared" si="208"/>
        <v/>
      </c>
    </row>
    <row r="2591" spans="9:16">
      <c r="I2591" s="23" t="str">
        <f>_xlfn.IFNA(VLOOKUP(A2591,A2592:$H$3524,8,0),"")</f>
        <v/>
      </c>
      <c r="J2591" s="40" t="str">
        <f t="shared" si="209"/>
        <v/>
      </c>
      <c r="K2591" s="24" t="str">
        <f t="shared" si="210"/>
        <v/>
      </c>
      <c r="L2591" s="25" t="str">
        <f t="shared" si="206"/>
        <v/>
      </c>
      <c r="O2591" s="33" t="str">
        <f t="shared" si="207"/>
        <v/>
      </c>
      <c r="P2591" s="33" t="str">
        <f t="shared" si="208"/>
        <v/>
      </c>
    </row>
    <row r="2592" spans="9:16">
      <c r="I2592" s="23" t="str">
        <f>_xlfn.IFNA(VLOOKUP(A2592,A2593:$H$3524,8,0),"")</f>
        <v/>
      </c>
      <c r="J2592" s="40" t="str">
        <f t="shared" si="209"/>
        <v/>
      </c>
      <c r="K2592" s="24" t="str">
        <f t="shared" si="210"/>
        <v/>
      </c>
      <c r="L2592" s="25" t="str">
        <f t="shared" si="206"/>
        <v/>
      </c>
      <c r="O2592" s="33" t="str">
        <f t="shared" si="207"/>
        <v/>
      </c>
      <c r="P2592" s="33" t="str">
        <f t="shared" si="208"/>
        <v/>
      </c>
    </row>
    <row r="2593" spans="9:16">
      <c r="I2593" s="23" t="str">
        <f>_xlfn.IFNA(VLOOKUP(A2593,A2594:$H$3524,8,0),"")</f>
        <v/>
      </c>
      <c r="J2593" s="40" t="str">
        <f t="shared" si="209"/>
        <v/>
      </c>
      <c r="K2593" s="24" t="str">
        <f t="shared" si="210"/>
        <v/>
      </c>
      <c r="L2593" s="25" t="str">
        <f t="shared" si="206"/>
        <v/>
      </c>
      <c r="O2593" s="33" t="str">
        <f t="shared" si="207"/>
        <v/>
      </c>
      <c r="P2593" s="33" t="str">
        <f t="shared" si="208"/>
        <v/>
      </c>
    </row>
    <row r="2594" spans="9:16">
      <c r="I2594" s="23" t="str">
        <f>_xlfn.IFNA(VLOOKUP(A2594,A2595:$H$3524,8,0),"")</f>
        <v/>
      </c>
      <c r="J2594" s="40" t="str">
        <f t="shared" si="209"/>
        <v/>
      </c>
      <c r="K2594" s="24" t="str">
        <f t="shared" si="210"/>
        <v/>
      </c>
      <c r="L2594" s="25" t="str">
        <f t="shared" si="206"/>
        <v/>
      </c>
      <c r="O2594" s="33" t="str">
        <f t="shared" si="207"/>
        <v/>
      </c>
      <c r="P2594" s="33" t="str">
        <f t="shared" si="208"/>
        <v/>
      </c>
    </row>
    <row r="2595" spans="9:16">
      <c r="I2595" s="23" t="str">
        <f>_xlfn.IFNA(VLOOKUP(A2595,A2596:$H$3524,8,0),"")</f>
        <v/>
      </c>
      <c r="J2595" s="40" t="str">
        <f t="shared" si="209"/>
        <v/>
      </c>
      <c r="K2595" s="24" t="str">
        <f t="shared" si="210"/>
        <v/>
      </c>
      <c r="L2595" s="25" t="str">
        <f t="shared" si="206"/>
        <v/>
      </c>
      <c r="O2595" s="33" t="str">
        <f t="shared" si="207"/>
        <v/>
      </c>
      <c r="P2595" s="33" t="str">
        <f t="shared" si="208"/>
        <v/>
      </c>
    </row>
    <row r="2596" spans="9:16">
      <c r="I2596" s="23" t="str">
        <f>_xlfn.IFNA(VLOOKUP(A2596,A2597:$H$3524,8,0),"")</f>
        <v/>
      </c>
      <c r="J2596" s="40" t="str">
        <f t="shared" si="209"/>
        <v/>
      </c>
      <c r="K2596" s="24" t="str">
        <f t="shared" si="210"/>
        <v/>
      </c>
      <c r="L2596" s="25" t="str">
        <f t="shared" si="206"/>
        <v/>
      </c>
      <c r="O2596" s="33" t="str">
        <f t="shared" si="207"/>
        <v/>
      </c>
      <c r="P2596" s="33" t="str">
        <f t="shared" si="208"/>
        <v/>
      </c>
    </row>
    <row r="2597" spans="9:16">
      <c r="I2597" s="23" t="str">
        <f>_xlfn.IFNA(VLOOKUP(A2597,A2598:$H$3524,8,0),"")</f>
        <v/>
      </c>
      <c r="J2597" s="40" t="str">
        <f t="shared" si="209"/>
        <v/>
      </c>
      <c r="K2597" s="24" t="str">
        <f t="shared" si="210"/>
        <v/>
      </c>
      <c r="L2597" s="25" t="str">
        <f t="shared" si="206"/>
        <v/>
      </c>
      <c r="O2597" s="33" t="str">
        <f t="shared" si="207"/>
        <v/>
      </c>
      <c r="P2597" s="33" t="str">
        <f t="shared" si="208"/>
        <v/>
      </c>
    </row>
    <row r="2598" spans="9:16">
      <c r="I2598" s="23" t="str">
        <f>_xlfn.IFNA(VLOOKUP(A2598,A2599:$H$3524,8,0),"")</f>
        <v/>
      </c>
      <c r="J2598" s="40" t="str">
        <f t="shared" si="209"/>
        <v/>
      </c>
      <c r="K2598" s="24" t="str">
        <f t="shared" si="210"/>
        <v/>
      </c>
      <c r="L2598" s="25" t="str">
        <f t="shared" si="206"/>
        <v/>
      </c>
      <c r="O2598" s="33" t="str">
        <f t="shared" si="207"/>
        <v/>
      </c>
      <c r="P2598" s="33" t="str">
        <f t="shared" si="208"/>
        <v/>
      </c>
    </row>
    <row r="2599" spans="9:16">
      <c r="I2599" s="23" t="str">
        <f>_xlfn.IFNA(VLOOKUP(A2599,A2600:$H$3524,8,0),"")</f>
        <v/>
      </c>
      <c r="J2599" s="40" t="str">
        <f t="shared" si="209"/>
        <v/>
      </c>
      <c r="K2599" s="24" t="str">
        <f t="shared" si="210"/>
        <v/>
      </c>
      <c r="L2599" s="25" t="str">
        <f t="shared" si="206"/>
        <v/>
      </c>
      <c r="O2599" s="33" t="str">
        <f t="shared" si="207"/>
        <v/>
      </c>
      <c r="P2599" s="33" t="str">
        <f t="shared" si="208"/>
        <v/>
      </c>
    </row>
    <row r="2600" spans="9:16">
      <c r="I2600" s="23" t="str">
        <f>_xlfn.IFNA(VLOOKUP(A2600,A2601:$H$3524,8,0),"")</f>
        <v/>
      </c>
      <c r="J2600" s="40" t="str">
        <f t="shared" si="209"/>
        <v/>
      </c>
      <c r="K2600" s="24" t="str">
        <f t="shared" si="210"/>
        <v/>
      </c>
      <c r="L2600" s="25" t="str">
        <f t="shared" si="206"/>
        <v/>
      </c>
      <c r="O2600" s="33" t="str">
        <f t="shared" si="207"/>
        <v/>
      </c>
      <c r="P2600" s="33" t="str">
        <f t="shared" si="208"/>
        <v/>
      </c>
    </row>
    <row r="2601" spans="9:16">
      <c r="I2601" s="23" t="str">
        <f>_xlfn.IFNA(VLOOKUP(A2601,A2602:$H$3524,8,0),"")</f>
        <v/>
      </c>
      <c r="J2601" s="40" t="str">
        <f t="shared" si="209"/>
        <v/>
      </c>
      <c r="K2601" s="24" t="str">
        <f t="shared" si="210"/>
        <v/>
      </c>
      <c r="L2601" s="25" t="str">
        <f t="shared" si="206"/>
        <v/>
      </c>
      <c r="O2601" s="33" t="str">
        <f t="shared" si="207"/>
        <v/>
      </c>
      <c r="P2601" s="33" t="str">
        <f t="shared" si="208"/>
        <v/>
      </c>
    </row>
    <row r="2602" spans="9:16">
      <c r="I2602" s="23" t="str">
        <f>_xlfn.IFNA(VLOOKUP(A2602,A2603:$H$3524,8,0),"")</f>
        <v/>
      </c>
      <c r="J2602" s="40" t="str">
        <f t="shared" si="209"/>
        <v/>
      </c>
      <c r="K2602" s="24" t="str">
        <f t="shared" si="210"/>
        <v/>
      </c>
      <c r="L2602" s="25" t="str">
        <f t="shared" si="206"/>
        <v/>
      </c>
      <c r="O2602" s="33" t="str">
        <f t="shared" si="207"/>
        <v/>
      </c>
      <c r="P2602" s="33" t="str">
        <f t="shared" si="208"/>
        <v/>
      </c>
    </row>
    <row r="2603" spans="9:16">
      <c r="I2603" s="23" t="str">
        <f>_xlfn.IFNA(VLOOKUP(A2603,A2604:$H$3524,8,0),"")</f>
        <v/>
      </c>
      <c r="J2603" s="40" t="str">
        <f t="shared" si="209"/>
        <v/>
      </c>
      <c r="K2603" s="24" t="str">
        <f t="shared" si="210"/>
        <v/>
      </c>
      <c r="L2603" s="25" t="str">
        <f t="shared" si="206"/>
        <v/>
      </c>
      <c r="O2603" s="33" t="str">
        <f t="shared" si="207"/>
        <v/>
      </c>
      <c r="P2603" s="33" t="str">
        <f t="shared" si="208"/>
        <v/>
      </c>
    </row>
    <row r="2604" spans="9:16">
      <c r="I2604" s="23" t="str">
        <f>_xlfn.IFNA(VLOOKUP(A2604,A2605:$H$3524,8,0),"")</f>
        <v/>
      </c>
      <c r="J2604" s="40" t="str">
        <f t="shared" si="209"/>
        <v/>
      </c>
      <c r="K2604" s="24" t="str">
        <f t="shared" si="210"/>
        <v/>
      </c>
      <c r="L2604" s="25" t="str">
        <f t="shared" si="206"/>
        <v/>
      </c>
      <c r="O2604" s="33" t="str">
        <f t="shared" si="207"/>
        <v/>
      </c>
      <c r="P2604" s="33" t="str">
        <f t="shared" si="208"/>
        <v/>
      </c>
    </row>
    <row r="2605" spans="9:16">
      <c r="I2605" s="23" t="str">
        <f>_xlfn.IFNA(VLOOKUP(A2605,A2606:$H$3524,8,0),"")</f>
        <v/>
      </c>
      <c r="J2605" s="40" t="str">
        <f t="shared" si="209"/>
        <v/>
      </c>
      <c r="K2605" s="24" t="str">
        <f t="shared" si="210"/>
        <v/>
      </c>
      <c r="L2605" s="25" t="str">
        <f t="shared" si="206"/>
        <v/>
      </c>
      <c r="O2605" s="33" t="str">
        <f t="shared" si="207"/>
        <v/>
      </c>
      <c r="P2605" s="33" t="str">
        <f t="shared" si="208"/>
        <v/>
      </c>
    </row>
    <row r="2606" spans="9:16">
      <c r="I2606" s="23" t="str">
        <f>_xlfn.IFNA(VLOOKUP(A2606,A2607:$H$3524,8,0),"")</f>
        <v/>
      </c>
      <c r="J2606" s="40" t="str">
        <f t="shared" si="209"/>
        <v/>
      </c>
      <c r="K2606" s="24" t="str">
        <f t="shared" si="210"/>
        <v/>
      </c>
      <c r="L2606" s="25" t="str">
        <f t="shared" si="206"/>
        <v/>
      </c>
      <c r="O2606" s="33" t="str">
        <f t="shared" si="207"/>
        <v/>
      </c>
      <c r="P2606" s="33" t="str">
        <f t="shared" si="208"/>
        <v/>
      </c>
    </row>
    <row r="2607" spans="9:16">
      <c r="I2607" s="23" t="str">
        <f>_xlfn.IFNA(VLOOKUP(A2607,A2608:$H$3524,8,0),"")</f>
        <v/>
      </c>
      <c r="J2607" s="40" t="str">
        <f t="shared" si="209"/>
        <v/>
      </c>
      <c r="K2607" s="24" t="str">
        <f t="shared" si="210"/>
        <v/>
      </c>
      <c r="L2607" s="25" t="str">
        <f t="shared" si="206"/>
        <v/>
      </c>
      <c r="O2607" s="33" t="str">
        <f t="shared" si="207"/>
        <v/>
      </c>
      <c r="P2607" s="33" t="str">
        <f t="shared" si="208"/>
        <v/>
      </c>
    </row>
    <row r="2608" spans="9:16">
      <c r="I2608" s="23" t="str">
        <f>_xlfn.IFNA(VLOOKUP(A2608,A2609:$H$3524,8,0),"")</f>
        <v/>
      </c>
      <c r="J2608" s="40" t="str">
        <f t="shared" si="209"/>
        <v/>
      </c>
      <c r="K2608" s="24" t="str">
        <f t="shared" si="210"/>
        <v/>
      </c>
      <c r="L2608" s="25" t="str">
        <f t="shared" si="206"/>
        <v/>
      </c>
      <c r="O2608" s="33" t="str">
        <f t="shared" si="207"/>
        <v/>
      </c>
      <c r="P2608" s="33" t="str">
        <f t="shared" si="208"/>
        <v/>
      </c>
    </row>
    <row r="2609" spans="9:16">
      <c r="I2609" s="23" t="str">
        <f>_xlfn.IFNA(VLOOKUP(A2609,A2610:$H$3524,8,0),"")</f>
        <v/>
      </c>
      <c r="J2609" s="40" t="str">
        <f t="shared" si="209"/>
        <v/>
      </c>
      <c r="K2609" s="24" t="str">
        <f t="shared" si="210"/>
        <v/>
      </c>
      <c r="L2609" s="25" t="str">
        <f t="shared" si="206"/>
        <v/>
      </c>
      <c r="O2609" s="33" t="str">
        <f t="shared" si="207"/>
        <v/>
      </c>
      <c r="P2609" s="33" t="str">
        <f t="shared" si="208"/>
        <v/>
      </c>
    </row>
    <row r="2610" spans="9:16">
      <c r="I2610" s="23" t="str">
        <f>_xlfn.IFNA(VLOOKUP(A2610,A2611:$H$3524,8,0),"")</f>
        <v/>
      </c>
      <c r="J2610" s="40" t="str">
        <f t="shared" si="209"/>
        <v/>
      </c>
      <c r="K2610" s="24" t="str">
        <f t="shared" si="210"/>
        <v/>
      </c>
      <c r="L2610" s="25" t="str">
        <f t="shared" si="206"/>
        <v/>
      </c>
      <c r="O2610" s="33" t="str">
        <f t="shared" si="207"/>
        <v/>
      </c>
      <c r="P2610" s="33" t="str">
        <f t="shared" si="208"/>
        <v/>
      </c>
    </row>
    <row r="2611" spans="9:16">
      <c r="I2611" s="23" t="str">
        <f>_xlfn.IFNA(VLOOKUP(A2611,A2612:$H$3524,8,0),"")</f>
        <v/>
      </c>
      <c r="J2611" s="40" t="str">
        <f t="shared" si="209"/>
        <v/>
      </c>
      <c r="K2611" s="24" t="str">
        <f t="shared" si="210"/>
        <v/>
      </c>
      <c r="L2611" s="25" t="str">
        <f t="shared" si="206"/>
        <v/>
      </c>
      <c r="O2611" s="33" t="str">
        <f t="shared" si="207"/>
        <v/>
      </c>
      <c r="P2611" s="33" t="str">
        <f t="shared" si="208"/>
        <v/>
      </c>
    </row>
    <row r="2612" spans="9:16">
      <c r="I2612" s="23" t="str">
        <f>_xlfn.IFNA(VLOOKUP(A2612,A2613:$H$3524,8,0),"")</f>
        <v/>
      </c>
      <c r="J2612" s="40" t="str">
        <f t="shared" si="209"/>
        <v/>
      </c>
      <c r="K2612" s="24" t="str">
        <f t="shared" si="210"/>
        <v/>
      </c>
      <c r="L2612" s="25" t="str">
        <f t="shared" si="206"/>
        <v/>
      </c>
      <c r="O2612" s="33" t="str">
        <f t="shared" si="207"/>
        <v/>
      </c>
      <c r="P2612" s="33" t="str">
        <f t="shared" si="208"/>
        <v/>
      </c>
    </row>
    <row r="2613" spans="9:16">
      <c r="I2613" s="23" t="str">
        <f>_xlfn.IFNA(VLOOKUP(A2613,A2614:$H$3524,8,0),"")</f>
        <v/>
      </c>
      <c r="J2613" s="40" t="str">
        <f t="shared" si="209"/>
        <v/>
      </c>
      <c r="K2613" s="24" t="str">
        <f t="shared" si="210"/>
        <v/>
      </c>
      <c r="L2613" s="25" t="str">
        <f t="shared" si="206"/>
        <v/>
      </c>
      <c r="O2613" s="33" t="str">
        <f t="shared" si="207"/>
        <v/>
      </c>
      <c r="P2613" s="33" t="str">
        <f t="shared" si="208"/>
        <v/>
      </c>
    </row>
    <row r="2614" spans="9:16">
      <c r="I2614" s="23" t="str">
        <f>_xlfn.IFNA(VLOOKUP(A2614,A2615:$H$3524,8,0),"")</f>
        <v/>
      </c>
      <c r="J2614" s="40" t="str">
        <f t="shared" si="209"/>
        <v/>
      </c>
      <c r="K2614" s="24" t="str">
        <f t="shared" si="210"/>
        <v/>
      </c>
      <c r="L2614" s="25" t="str">
        <f t="shared" si="206"/>
        <v/>
      </c>
      <c r="O2614" s="33" t="str">
        <f t="shared" si="207"/>
        <v/>
      </c>
      <c r="P2614" s="33" t="str">
        <f t="shared" si="208"/>
        <v/>
      </c>
    </row>
    <row r="2615" spans="9:16">
      <c r="I2615" s="23" t="str">
        <f>_xlfn.IFNA(VLOOKUP(A2615,A2616:$H$3524,8,0),"")</f>
        <v/>
      </c>
      <c r="J2615" s="40" t="str">
        <f t="shared" si="209"/>
        <v/>
      </c>
      <c r="K2615" s="24" t="str">
        <f t="shared" si="210"/>
        <v/>
      </c>
      <c r="L2615" s="25" t="str">
        <f t="shared" ref="L2615:L2678" si="211">IF(K2615="","",IF(B2615="Break","Break",IF(K2615&lt;&gt;0,"Work Finished",IF(B2615="OFF","Work Finished",IF(I2615="","Working","Work Finished")))))</f>
        <v/>
      </c>
      <c r="O2615" s="33" t="str">
        <f t="shared" ref="O2615:O2678" si="212">IF(AND(J2615="",M2615="",N2615=""),"",J2615-M2615-N2615)</f>
        <v/>
      </c>
      <c r="P2615" s="33" t="str">
        <f t="shared" ref="P2615:P2678" si="213">IF(HOUR(H2615)=0,"",HOUR(H2615))</f>
        <v/>
      </c>
    </row>
    <row r="2616" spans="9:16">
      <c r="I2616" s="23" t="str">
        <f>_xlfn.IFNA(VLOOKUP(A2616,A2617:$H$3524,8,0),"")</f>
        <v/>
      </c>
      <c r="J2616" s="40" t="str">
        <f t="shared" si="209"/>
        <v/>
      </c>
      <c r="K2616" s="24" t="str">
        <f t="shared" si="210"/>
        <v/>
      </c>
      <c r="L2616" s="25" t="str">
        <f t="shared" si="211"/>
        <v/>
      </c>
      <c r="O2616" s="33" t="str">
        <f t="shared" si="212"/>
        <v/>
      </c>
      <c r="P2616" s="33" t="str">
        <f t="shared" si="213"/>
        <v/>
      </c>
    </row>
    <row r="2617" spans="9:16">
      <c r="I2617" s="23" t="str">
        <f>_xlfn.IFNA(VLOOKUP(A2617,A2618:$H$3524,8,0),"")</f>
        <v/>
      </c>
      <c r="J2617" s="40" t="str">
        <f t="shared" si="209"/>
        <v/>
      </c>
      <c r="K2617" s="24" t="str">
        <f t="shared" si="210"/>
        <v/>
      </c>
      <c r="L2617" s="25" t="str">
        <f t="shared" si="211"/>
        <v/>
      </c>
      <c r="O2617" s="33" t="str">
        <f t="shared" si="212"/>
        <v/>
      </c>
      <c r="P2617" s="33" t="str">
        <f t="shared" si="213"/>
        <v/>
      </c>
    </row>
    <row r="2618" spans="9:16">
      <c r="I2618" s="23" t="str">
        <f>_xlfn.IFNA(VLOOKUP(A2618,A2619:$H$3524,8,0),"")</f>
        <v/>
      </c>
      <c r="J2618" s="40" t="str">
        <f t="shared" si="209"/>
        <v/>
      </c>
      <c r="K2618" s="24" t="str">
        <f t="shared" si="210"/>
        <v/>
      </c>
      <c r="L2618" s="25" t="str">
        <f t="shared" si="211"/>
        <v/>
      </c>
      <c r="O2618" s="33" t="str">
        <f t="shared" si="212"/>
        <v/>
      </c>
      <c r="P2618" s="33" t="str">
        <f t="shared" si="213"/>
        <v/>
      </c>
    </row>
    <row r="2619" spans="9:16">
      <c r="I2619" s="23" t="str">
        <f>_xlfn.IFNA(VLOOKUP(A2619,A2620:$H$3524,8,0),"")</f>
        <v/>
      </c>
      <c r="J2619" s="40" t="str">
        <f t="shared" si="209"/>
        <v/>
      </c>
      <c r="K2619" s="24" t="str">
        <f t="shared" si="210"/>
        <v/>
      </c>
      <c r="L2619" s="25" t="str">
        <f t="shared" si="211"/>
        <v/>
      </c>
      <c r="O2619" s="33" t="str">
        <f t="shared" si="212"/>
        <v/>
      </c>
      <c r="P2619" s="33" t="str">
        <f t="shared" si="213"/>
        <v/>
      </c>
    </row>
    <row r="2620" spans="9:16">
      <c r="I2620" s="23" t="str">
        <f>_xlfn.IFNA(VLOOKUP(A2620,A2621:$H$3524,8,0),"")</f>
        <v/>
      </c>
      <c r="J2620" s="40" t="str">
        <f t="shared" si="209"/>
        <v/>
      </c>
      <c r="K2620" s="24" t="str">
        <f t="shared" si="210"/>
        <v/>
      </c>
      <c r="L2620" s="25" t="str">
        <f t="shared" si="211"/>
        <v/>
      </c>
      <c r="O2620" s="33" t="str">
        <f t="shared" si="212"/>
        <v/>
      </c>
      <c r="P2620" s="33" t="str">
        <f t="shared" si="213"/>
        <v/>
      </c>
    </row>
    <row r="2621" spans="9:16">
      <c r="I2621" s="23" t="str">
        <f>_xlfn.IFNA(VLOOKUP(A2621,A2622:$H$3524,8,0),"")</f>
        <v/>
      </c>
      <c r="J2621" s="40" t="str">
        <f t="shared" si="209"/>
        <v/>
      </c>
      <c r="K2621" s="24" t="str">
        <f t="shared" si="210"/>
        <v/>
      </c>
      <c r="L2621" s="25" t="str">
        <f t="shared" si="211"/>
        <v/>
      </c>
      <c r="O2621" s="33" t="str">
        <f t="shared" si="212"/>
        <v/>
      </c>
      <c r="P2621" s="33" t="str">
        <f t="shared" si="213"/>
        <v/>
      </c>
    </row>
    <row r="2622" spans="9:16">
      <c r="I2622" s="23" t="str">
        <f>_xlfn.IFNA(VLOOKUP(A2622,A2623:$H$3524,8,0),"")</f>
        <v/>
      </c>
      <c r="J2622" s="40" t="str">
        <f t="shared" si="209"/>
        <v/>
      </c>
      <c r="K2622" s="24" t="str">
        <f t="shared" si="210"/>
        <v/>
      </c>
      <c r="L2622" s="25" t="str">
        <f t="shared" si="211"/>
        <v/>
      </c>
      <c r="O2622" s="33" t="str">
        <f t="shared" si="212"/>
        <v/>
      </c>
      <c r="P2622" s="33" t="str">
        <f t="shared" si="213"/>
        <v/>
      </c>
    </row>
    <row r="2623" spans="9:16">
      <c r="I2623" s="23" t="str">
        <f>_xlfn.IFNA(VLOOKUP(A2623,A2624:$H$3524,8,0),"")</f>
        <v/>
      </c>
      <c r="J2623" s="40" t="str">
        <f t="shared" si="209"/>
        <v/>
      </c>
      <c r="K2623" s="24" t="str">
        <f t="shared" si="210"/>
        <v/>
      </c>
      <c r="L2623" s="25" t="str">
        <f t="shared" si="211"/>
        <v/>
      </c>
      <c r="O2623" s="33" t="str">
        <f t="shared" si="212"/>
        <v/>
      </c>
      <c r="P2623" s="33" t="str">
        <f t="shared" si="213"/>
        <v/>
      </c>
    </row>
    <row r="2624" spans="9:16">
      <c r="I2624" s="23" t="str">
        <f>_xlfn.IFNA(VLOOKUP(A2624,A2625:$H$3524,8,0),"")</f>
        <v/>
      </c>
      <c r="J2624" s="40" t="str">
        <f t="shared" si="209"/>
        <v/>
      </c>
      <c r="K2624" s="24" t="str">
        <f t="shared" si="210"/>
        <v/>
      </c>
      <c r="L2624" s="25" t="str">
        <f t="shared" si="211"/>
        <v/>
      </c>
      <c r="O2624" s="33" t="str">
        <f t="shared" si="212"/>
        <v/>
      </c>
      <c r="P2624" s="33" t="str">
        <f t="shared" si="213"/>
        <v/>
      </c>
    </row>
    <row r="2625" spans="9:16">
      <c r="I2625" s="23" t="str">
        <f>_xlfn.IFNA(VLOOKUP(A2625,A2626:$H$3524,8,0),"")</f>
        <v/>
      </c>
      <c r="J2625" s="40" t="str">
        <f t="shared" si="209"/>
        <v/>
      </c>
      <c r="K2625" s="24" t="str">
        <f t="shared" si="210"/>
        <v/>
      </c>
      <c r="L2625" s="25" t="str">
        <f t="shared" si="211"/>
        <v/>
      </c>
      <c r="O2625" s="33" t="str">
        <f t="shared" si="212"/>
        <v/>
      </c>
      <c r="P2625" s="33" t="str">
        <f t="shared" si="213"/>
        <v/>
      </c>
    </row>
    <row r="2626" spans="9:16">
      <c r="I2626" s="23" t="str">
        <f>_xlfn.IFNA(VLOOKUP(A2626,A2627:$H$3524,8,0),"")</f>
        <v/>
      </c>
      <c r="J2626" s="40" t="str">
        <f t="shared" si="209"/>
        <v/>
      </c>
      <c r="K2626" s="24" t="str">
        <f t="shared" si="210"/>
        <v/>
      </c>
      <c r="L2626" s="25" t="str">
        <f t="shared" si="211"/>
        <v/>
      </c>
      <c r="O2626" s="33" t="str">
        <f t="shared" si="212"/>
        <v/>
      </c>
      <c r="P2626" s="33" t="str">
        <f t="shared" si="213"/>
        <v/>
      </c>
    </row>
    <row r="2627" spans="9:16">
      <c r="I2627" s="23" t="str">
        <f>_xlfn.IFNA(VLOOKUP(A2627,A2628:$H$3524,8,0),"")</f>
        <v/>
      </c>
      <c r="J2627" s="40" t="str">
        <f t="shared" si="209"/>
        <v/>
      </c>
      <c r="K2627" s="24" t="str">
        <f t="shared" si="210"/>
        <v/>
      </c>
      <c r="L2627" s="25" t="str">
        <f t="shared" si="211"/>
        <v/>
      </c>
      <c r="O2627" s="33" t="str">
        <f t="shared" si="212"/>
        <v/>
      </c>
      <c r="P2627" s="33" t="str">
        <f t="shared" si="213"/>
        <v/>
      </c>
    </row>
    <row r="2628" spans="9:16">
      <c r="I2628" s="23" t="str">
        <f>_xlfn.IFNA(VLOOKUP(A2628,A2629:$H$3524,8,0),"")</f>
        <v/>
      </c>
      <c r="J2628" s="40" t="str">
        <f t="shared" si="209"/>
        <v/>
      </c>
      <c r="K2628" s="24" t="str">
        <f t="shared" si="210"/>
        <v/>
      </c>
      <c r="L2628" s="25" t="str">
        <f t="shared" si="211"/>
        <v/>
      </c>
      <c r="O2628" s="33" t="str">
        <f t="shared" si="212"/>
        <v/>
      </c>
      <c r="P2628" s="33" t="str">
        <f t="shared" si="213"/>
        <v/>
      </c>
    </row>
    <row r="2629" spans="9:16">
      <c r="I2629" s="23" t="str">
        <f>_xlfn.IFNA(VLOOKUP(A2629,A2630:$H$3524,8,0),"")</f>
        <v/>
      </c>
      <c r="J2629" s="40" t="str">
        <f t="shared" si="209"/>
        <v/>
      </c>
      <c r="K2629" s="24" t="str">
        <f t="shared" si="210"/>
        <v/>
      </c>
      <c r="L2629" s="25" t="str">
        <f t="shared" si="211"/>
        <v/>
      </c>
      <c r="O2629" s="33" t="str">
        <f t="shared" si="212"/>
        <v/>
      </c>
      <c r="P2629" s="33" t="str">
        <f t="shared" si="213"/>
        <v/>
      </c>
    </row>
    <row r="2630" spans="9:16">
      <c r="I2630" s="23" t="str">
        <f>_xlfn.IFNA(VLOOKUP(A2630,A2631:$H$3524,8,0),"")</f>
        <v/>
      </c>
      <c r="J2630" s="40" t="str">
        <f t="shared" ref="J2630:J2693" si="214">IF(B2630="OFF",0,IF(AND(D2630&lt;&gt;"",E2630&lt;&gt;""),E2630-D2630+1,""))</f>
        <v/>
      </c>
      <c r="K2630" s="24" t="str">
        <f t="shared" si="210"/>
        <v/>
      </c>
      <c r="L2630" s="25" t="str">
        <f t="shared" si="211"/>
        <v/>
      </c>
      <c r="O2630" s="33" t="str">
        <f t="shared" si="212"/>
        <v/>
      </c>
      <c r="P2630" s="33" t="str">
        <f t="shared" si="213"/>
        <v/>
      </c>
    </row>
    <row r="2631" spans="9:16">
      <c r="I2631" s="23" t="str">
        <f>_xlfn.IFNA(VLOOKUP(A2631,A2632:$H$3524,8,0),"")</f>
        <v/>
      </c>
      <c r="J2631" s="40" t="str">
        <f t="shared" si="214"/>
        <v/>
      </c>
      <c r="K2631" s="24" t="str">
        <f t="shared" si="210"/>
        <v/>
      </c>
      <c r="L2631" s="25" t="str">
        <f t="shared" si="211"/>
        <v/>
      </c>
      <c r="O2631" s="33" t="str">
        <f t="shared" si="212"/>
        <v/>
      </c>
      <c r="P2631" s="33" t="str">
        <f t="shared" si="213"/>
        <v/>
      </c>
    </row>
    <row r="2632" spans="9:16">
      <c r="I2632" s="23" t="str">
        <f>_xlfn.IFNA(VLOOKUP(A2632,A2633:$H$3524,8,0),"")</f>
        <v/>
      </c>
      <c r="J2632" s="40" t="str">
        <f t="shared" si="214"/>
        <v/>
      </c>
      <c r="K2632" s="24" t="str">
        <f t="shared" si="210"/>
        <v/>
      </c>
      <c r="L2632" s="25" t="str">
        <f t="shared" si="211"/>
        <v/>
      </c>
      <c r="O2632" s="33" t="str">
        <f t="shared" si="212"/>
        <v/>
      </c>
      <c r="P2632" s="33" t="str">
        <f t="shared" si="213"/>
        <v/>
      </c>
    </row>
    <row r="2633" spans="9:16">
      <c r="I2633" s="23" t="str">
        <f>_xlfn.IFNA(VLOOKUP(A2633,A2634:$H$3524,8,0),"")</f>
        <v/>
      </c>
      <c r="J2633" s="40" t="str">
        <f t="shared" si="214"/>
        <v/>
      </c>
      <c r="K2633" s="24" t="str">
        <f t="shared" si="210"/>
        <v/>
      </c>
      <c r="L2633" s="25" t="str">
        <f t="shared" si="211"/>
        <v/>
      </c>
      <c r="O2633" s="33" t="str">
        <f t="shared" si="212"/>
        <v/>
      </c>
      <c r="P2633" s="33" t="str">
        <f t="shared" si="213"/>
        <v/>
      </c>
    </row>
    <row r="2634" spans="9:16">
      <c r="I2634" s="23" t="str">
        <f>_xlfn.IFNA(VLOOKUP(A2634,A2635:$H$3524,8,0),"")</f>
        <v/>
      </c>
      <c r="J2634" s="40" t="str">
        <f t="shared" si="214"/>
        <v/>
      </c>
      <c r="K2634" s="24" t="str">
        <f t="shared" si="210"/>
        <v/>
      </c>
      <c r="L2634" s="25" t="str">
        <f t="shared" si="211"/>
        <v/>
      </c>
      <c r="O2634" s="33" t="str">
        <f t="shared" si="212"/>
        <v/>
      </c>
      <c r="P2634" s="33" t="str">
        <f t="shared" si="213"/>
        <v/>
      </c>
    </row>
    <row r="2635" spans="9:16">
      <c r="I2635" s="23" t="str">
        <f>_xlfn.IFNA(VLOOKUP(A2635,A2636:$H$3524,8,0),"")</f>
        <v/>
      </c>
      <c r="J2635" s="40" t="str">
        <f t="shared" si="214"/>
        <v/>
      </c>
      <c r="K2635" s="24" t="str">
        <f t="shared" si="210"/>
        <v/>
      </c>
      <c r="L2635" s="25" t="str">
        <f t="shared" si="211"/>
        <v/>
      </c>
      <c r="O2635" s="33" t="str">
        <f t="shared" si="212"/>
        <v/>
      </c>
      <c r="P2635" s="33" t="str">
        <f t="shared" si="213"/>
        <v/>
      </c>
    </row>
    <row r="2636" spans="9:16">
      <c r="I2636" s="23" t="str">
        <f>_xlfn.IFNA(VLOOKUP(A2636,A2637:$H$3524,8,0),"")</f>
        <v/>
      </c>
      <c r="J2636" s="40" t="str">
        <f t="shared" si="214"/>
        <v/>
      </c>
      <c r="K2636" s="24" t="str">
        <f t="shared" si="210"/>
        <v/>
      </c>
      <c r="L2636" s="25" t="str">
        <f t="shared" si="211"/>
        <v/>
      </c>
      <c r="O2636" s="33" t="str">
        <f t="shared" si="212"/>
        <v/>
      </c>
      <c r="P2636" s="33" t="str">
        <f t="shared" si="213"/>
        <v/>
      </c>
    </row>
    <row r="2637" spans="9:16">
      <c r="I2637" s="23" t="str">
        <f>_xlfn.IFNA(VLOOKUP(A2637,A2638:$H$3524,8,0),"")</f>
        <v/>
      </c>
      <c r="J2637" s="40" t="str">
        <f t="shared" si="214"/>
        <v/>
      </c>
      <c r="K2637" s="24" t="str">
        <f t="shared" si="210"/>
        <v/>
      </c>
      <c r="L2637" s="25" t="str">
        <f t="shared" si="211"/>
        <v/>
      </c>
      <c r="O2637" s="33" t="str">
        <f t="shared" si="212"/>
        <v/>
      </c>
      <c r="P2637" s="33" t="str">
        <f t="shared" si="213"/>
        <v/>
      </c>
    </row>
    <row r="2638" spans="9:16">
      <c r="I2638" s="23" t="str">
        <f>_xlfn.IFNA(VLOOKUP(A2638,A2639:$H$3524,8,0),"")</f>
        <v/>
      </c>
      <c r="J2638" s="40" t="str">
        <f t="shared" si="214"/>
        <v/>
      </c>
      <c r="K2638" s="24" t="str">
        <f t="shared" si="210"/>
        <v/>
      </c>
      <c r="L2638" s="25" t="str">
        <f t="shared" si="211"/>
        <v/>
      </c>
      <c r="O2638" s="33" t="str">
        <f t="shared" si="212"/>
        <v/>
      </c>
      <c r="P2638" s="33" t="str">
        <f t="shared" si="213"/>
        <v/>
      </c>
    </row>
    <row r="2639" spans="9:16">
      <c r="I2639" s="23" t="str">
        <f>_xlfn.IFNA(VLOOKUP(A2639,A2640:$H$3524,8,0),"")</f>
        <v/>
      </c>
      <c r="J2639" s="40" t="str">
        <f t="shared" si="214"/>
        <v/>
      </c>
      <c r="K2639" s="24" t="str">
        <f t="shared" si="210"/>
        <v/>
      </c>
      <c r="L2639" s="25" t="str">
        <f t="shared" si="211"/>
        <v/>
      </c>
      <c r="O2639" s="33" t="str">
        <f t="shared" si="212"/>
        <v/>
      </c>
      <c r="P2639" s="33" t="str">
        <f t="shared" si="213"/>
        <v/>
      </c>
    </row>
    <row r="2640" spans="9:16">
      <c r="I2640" s="23" t="str">
        <f>_xlfn.IFNA(VLOOKUP(A2640,A2641:$H$3524,8,0),"")</f>
        <v/>
      </c>
      <c r="J2640" s="40" t="str">
        <f t="shared" si="214"/>
        <v/>
      </c>
      <c r="K2640" s="24" t="str">
        <f t="shared" si="210"/>
        <v/>
      </c>
      <c r="L2640" s="25" t="str">
        <f t="shared" si="211"/>
        <v/>
      </c>
      <c r="O2640" s="33" t="str">
        <f t="shared" si="212"/>
        <v/>
      </c>
      <c r="P2640" s="33" t="str">
        <f t="shared" si="213"/>
        <v/>
      </c>
    </row>
    <row r="2641" spans="9:16">
      <c r="I2641" s="23" t="str">
        <f>_xlfn.IFNA(VLOOKUP(A2641,A2642:$H$3524,8,0),"")</f>
        <v/>
      </c>
      <c r="J2641" s="40" t="str">
        <f t="shared" si="214"/>
        <v/>
      </c>
      <c r="K2641" s="24" t="str">
        <f t="shared" si="210"/>
        <v/>
      </c>
      <c r="L2641" s="25" t="str">
        <f t="shared" si="211"/>
        <v/>
      </c>
      <c r="O2641" s="33" t="str">
        <f t="shared" si="212"/>
        <v/>
      </c>
      <c r="P2641" s="33" t="str">
        <f t="shared" si="213"/>
        <v/>
      </c>
    </row>
    <row r="2642" spans="9:16">
      <c r="I2642" s="23" t="str">
        <f>_xlfn.IFNA(VLOOKUP(A2642,A2643:$H$3524,8,0),"")</f>
        <v/>
      </c>
      <c r="J2642" s="40" t="str">
        <f t="shared" si="214"/>
        <v/>
      </c>
      <c r="K2642" s="24" t="str">
        <f t="shared" si="210"/>
        <v/>
      </c>
      <c r="L2642" s="25" t="str">
        <f t="shared" si="211"/>
        <v/>
      </c>
      <c r="O2642" s="33" t="str">
        <f t="shared" si="212"/>
        <v/>
      </c>
      <c r="P2642" s="33" t="str">
        <f t="shared" si="213"/>
        <v/>
      </c>
    </row>
    <row r="2643" spans="9:16">
      <c r="I2643" s="23" t="str">
        <f>_xlfn.IFNA(VLOOKUP(A2643,A2644:$H$3524,8,0),"")</f>
        <v/>
      </c>
      <c r="J2643" s="40" t="str">
        <f t="shared" si="214"/>
        <v/>
      </c>
      <c r="K2643" s="24" t="str">
        <f t="shared" si="210"/>
        <v/>
      </c>
      <c r="L2643" s="25" t="str">
        <f t="shared" si="211"/>
        <v/>
      </c>
      <c r="O2643" s="33" t="str">
        <f t="shared" si="212"/>
        <v/>
      </c>
      <c r="P2643" s="33" t="str">
        <f t="shared" si="213"/>
        <v/>
      </c>
    </row>
    <row r="2644" spans="9:16">
      <c r="I2644" s="23" t="str">
        <f>_xlfn.IFNA(VLOOKUP(A2644,A2645:$H$3524,8,0),"")</f>
        <v/>
      </c>
      <c r="J2644" s="40" t="str">
        <f t="shared" si="214"/>
        <v/>
      </c>
      <c r="K2644" s="24" t="str">
        <f t="shared" si="210"/>
        <v/>
      </c>
      <c r="L2644" s="25" t="str">
        <f t="shared" si="211"/>
        <v/>
      </c>
      <c r="O2644" s="33" t="str">
        <f t="shared" si="212"/>
        <v/>
      </c>
      <c r="P2644" s="33" t="str">
        <f t="shared" si="213"/>
        <v/>
      </c>
    </row>
    <row r="2645" spans="9:16">
      <c r="I2645" s="23" t="str">
        <f>_xlfn.IFNA(VLOOKUP(A2645,A2646:$H$3524,8,0),"")</f>
        <v/>
      </c>
      <c r="J2645" s="40" t="str">
        <f t="shared" si="214"/>
        <v/>
      </c>
      <c r="K2645" s="24" t="str">
        <f t="shared" si="210"/>
        <v/>
      </c>
      <c r="L2645" s="25" t="str">
        <f t="shared" si="211"/>
        <v/>
      </c>
      <c r="O2645" s="33" t="str">
        <f t="shared" si="212"/>
        <v/>
      </c>
      <c r="P2645" s="33" t="str">
        <f t="shared" si="213"/>
        <v/>
      </c>
    </row>
    <row r="2646" spans="9:16">
      <c r="I2646" s="23" t="str">
        <f>_xlfn.IFNA(VLOOKUP(A2646,A2647:$H$3524,8,0),"")</f>
        <v/>
      </c>
      <c r="J2646" s="40" t="str">
        <f t="shared" si="214"/>
        <v/>
      </c>
      <c r="K2646" s="24" t="str">
        <f t="shared" ref="K2646:K2709" si="215">IF(H2646="","",IFERROR((I2646-H2646)*24,0))</f>
        <v/>
      </c>
      <c r="L2646" s="25" t="str">
        <f t="shared" si="211"/>
        <v/>
      </c>
      <c r="O2646" s="33" t="str">
        <f t="shared" si="212"/>
        <v/>
      </c>
      <c r="P2646" s="33" t="str">
        <f t="shared" si="213"/>
        <v/>
      </c>
    </row>
    <row r="2647" spans="9:16">
      <c r="I2647" s="23" t="str">
        <f>_xlfn.IFNA(VLOOKUP(A2647,A2648:$H$3524,8,0),"")</f>
        <v/>
      </c>
      <c r="J2647" s="40" t="str">
        <f t="shared" si="214"/>
        <v/>
      </c>
      <c r="K2647" s="24" t="str">
        <f t="shared" si="215"/>
        <v/>
      </c>
      <c r="L2647" s="25" t="str">
        <f t="shared" si="211"/>
        <v/>
      </c>
      <c r="O2647" s="33" t="str">
        <f t="shared" si="212"/>
        <v/>
      </c>
      <c r="P2647" s="33" t="str">
        <f t="shared" si="213"/>
        <v/>
      </c>
    </row>
    <row r="2648" spans="9:16">
      <c r="I2648" s="23" t="str">
        <f>_xlfn.IFNA(VLOOKUP(A2648,A2649:$H$3524,8,0),"")</f>
        <v/>
      </c>
      <c r="J2648" s="40" t="str">
        <f t="shared" si="214"/>
        <v/>
      </c>
      <c r="K2648" s="24" t="str">
        <f t="shared" si="215"/>
        <v/>
      </c>
      <c r="L2648" s="25" t="str">
        <f t="shared" si="211"/>
        <v/>
      </c>
      <c r="O2648" s="33" t="str">
        <f t="shared" si="212"/>
        <v/>
      </c>
      <c r="P2648" s="33" t="str">
        <f t="shared" si="213"/>
        <v/>
      </c>
    </row>
    <row r="2649" spans="9:16">
      <c r="I2649" s="23" t="str">
        <f>_xlfn.IFNA(VLOOKUP(A2649,A2650:$H$3524,8,0),"")</f>
        <v/>
      </c>
      <c r="J2649" s="40" t="str">
        <f t="shared" si="214"/>
        <v/>
      </c>
      <c r="K2649" s="24" t="str">
        <f t="shared" si="215"/>
        <v/>
      </c>
      <c r="L2649" s="25" t="str">
        <f t="shared" si="211"/>
        <v/>
      </c>
      <c r="O2649" s="33" t="str">
        <f t="shared" si="212"/>
        <v/>
      </c>
      <c r="P2649" s="33" t="str">
        <f t="shared" si="213"/>
        <v/>
      </c>
    </row>
    <row r="2650" spans="9:16">
      <c r="I2650" s="23" t="str">
        <f>_xlfn.IFNA(VLOOKUP(A2650,A2651:$H$3524,8,0),"")</f>
        <v/>
      </c>
      <c r="J2650" s="40" t="str">
        <f t="shared" si="214"/>
        <v/>
      </c>
      <c r="K2650" s="24" t="str">
        <f t="shared" si="215"/>
        <v/>
      </c>
      <c r="L2650" s="25" t="str">
        <f t="shared" si="211"/>
        <v/>
      </c>
      <c r="O2650" s="33" t="str">
        <f t="shared" si="212"/>
        <v/>
      </c>
      <c r="P2650" s="33" t="str">
        <f t="shared" si="213"/>
        <v/>
      </c>
    </row>
    <row r="2651" spans="9:16">
      <c r="I2651" s="23" t="str">
        <f>_xlfn.IFNA(VLOOKUP(A2651,A2652:$H$3524,8,0),"")</f>
        <v/>
      </c>
      <c r="J2651" s="40" t="str">
        <f t="shared" si="214"/>
        <v/>
      </c>
      <c r="K2651" s="24" t="str">
        <f t="shared" si="215"/>
        <v/>
      </c>
      <c r="L2651" s="25" t="str">
        <f t="shared" si="211"/>
        <v/>
      </c>
      <c r="O2651" s="33" t="str">
        <f t="shared" si="212"/>
        <v/>
      </c>
      <c r="P2651" s="33" t="str">
        <f t="shared" si="213"/>
        <v/>
      </c>
    </row>
    <row r="2652" spans="9:16">
      <c r="I2652" s="23" t="str">
        <f>_xlfn.IFNA(VLOOKUP(A2652,A2653:$H$3524,8,0),"")</f>
        <v/>
      </c>
      <c r="J2652" s="40" t="str">
        <f t="shared" si="214"/>
        <v/>
      </c>
      <c r="K2652" s="24" t="str">
        <f t="shared" si="215"/>
        <v/>
      </c>
      <c r="L2652" s="25" t="str">
        <f t="shared" si="211"/>
        <v/>
      </c>
      <c r="O2652" s="33" t="str">
        <f t="shared" si="212"/>
        <v/>
      </c>
      <c r="P2652" s="33" t="str">
        <f t="shared" si="213"/>
        <v/>
      </c>
    </row>
    <row r="2653" spans="9:16">
      <c r="I2653" s="23" t="str">
        <f>_xlfn.IFNA(VLOOKUP(A2653,A2654:$H$3524,8,0),"")</f>
        <v/>
      </c>
      <c r="J2653" s="40" t="str">
        <f t="shared" si="214"/>
        <v/>
      </c>
      <c r="K2653" s="24" t="str">
        <f t="shared" si="215"/>
        <v/>
      </c>
      <c r="L2653" s="25" t="str">
        <f t="shared" si="211"/>
        <v/>
      </c>
      <c r="O2653" s="33" t="str">
        <f t="shared" si="212"/>
        <v/>
      </c>
      <c r="P2653" s="33" t="str">
        <f t="shared" si="213"/>
        <v/>
      </c>
    </row>
    <row r="2654" spans="9:16">
      <c r="I2654" s="23" t="str">
        <f>_xlfn.IFNA(VLOOKUP(A2654,A2655:$H$3524,8,0),"")</f>
        <v/>
      </c>
      <c r="J2654" s="40" t="str">
        <f t="shared" si="214"/>
        <v/>
      </c>
      <c r="K2654" s="24" t="str">
        <f t="shared" si="215"/>
        <v/>
      </c>
      <c r="L2654" s="25" t="str">
        <f t="shared" si="211"/>
        <v/>
      </c>
      <c r="O2654" s="33" t="str">
        <f t="shared" si="212"/>
        <v/>
      </c>
      <c r="P2654" s="33" t="str">
        <f t="shared" si="213"/>
        <v/>
      </c>
    </row>
    <row r="2655" spans="9:16">
      <c r="I2655" s="23" t="str">
        <f>_xlfn.IFNA(VLOOKUP(A2655,A2656:$H$3524,8,0),"")</f>
        <v/>
      </c>
      <c r="J2655" s="40" t="str">
        <f t="shared" si="214"/>
        <v/>
      </c>
      <c r="K2655" s="24" t="str">
        <f t="shared" si="215"/>
        <v/>
      </c>
      <c r="L2655" s="25" t="str">
        <f t="shared" si="211"/>
        <v/>
      </c>
      <c r="O2655" s="33" t="str">
        <f t="shared" si="212"/>
        <v/>
      </c>
      <c r="P2655" s="33" t="str">
        <f t="shared" si="213"/>
        <v/>
      </c>
    </row>
    <row r="2656" spans="9:16">
      <c r="I2656" s="23" t="str">
        <f>_xlfn.IFNA(VLOOKUP(A2656,A2657:$H$3524,8,0),"")</f>
        <v/>
      </c>
      <c r="J2656" s="40" t="str">
        <f t="shared" si="214"/>
        <v/>
      </c>
      <c r="K2656" s="24" t="str">
        <f t="shared" si="215"/>
        <v/>
      </c>
      <c r="L2656" s="25" t="str">
        <f t="shared" si="211"/>
        <v/>
      </c>
      <c r="O2656" s="33" t="str">
        <f t="shared" si="212"/>
        <v/>
      </c>
      <c r="P2656" s="33" t="str">
        <f t="shared" si="213"/>
        <v/>
      </c>
    </row>
    <row r="2657" spans="9:16">
      <c r="I2657" s="23" t="str">
        <f>_xlfn.IFNA(VLOOKUP(A2657,A2658:$H$3524,8,0),"")</f>
        <v/>
      </c>
      <c r="J2657" s="40" t="str">
        <f t="shared" si="214"/>
        <v/>
      </c>
      <c r="K2657" s="24" t="str">
        <f t="shared" si="215"/>
        <v/>
      </c>
      <c r="L2657" s="25" t="str">
        <f t="shared" si="211"/>
        <v/>
      </c>
      <c r="O2657" s="33" t="str">
        <f t="shared" si="212"/>
        <v/>
      </c>
      <c r="P2657" s="33" t="str">
        <f t="shared" si="213"/>
        <v/>
      </c>
    </row>
    <row r="2658" spans="9:16">
      <c r="I2658" s="23" t="str">
        <f>_xlfn.IFNA(VLOOKUP(A2658,A2659:$H$3524,8,0),"")</f>
        <v/>
      </c>
      <c r="J2658" s="40" t="str">
        <f t="shared" si="214"/>
        <v/>
      </c>
      <c r="K2658" s="24" t="str">
        <f t="shared" si="215"/>
        <v/>
      </c>
      <c r="L2658" s="25" t="str">
        <f t="shared" si="211"/>
        <v/>
      </c>
      <c r="O2658" s="33" t="str">
        <f t="shared" si="212"/>
        <v/>
      </c>
      <c r="P2658" s="33" t="str">
        <f t="shared" si="213"/>
        <v/>
      </c>
    </row>
    <row r="2659" spans="9:16">
      <c r="I2659" s="23" t="str">
        <f>_xlfn.IFNA(VLOOKUP(A2659,A2660:$H$3524,8,0),"")</f>
        <v/>
      </c>
      <c r="J2659" s="40" t="str">
        <f t="shared" si="214"/>
        <v/>
      </c>
      <c r="K2659" s="24" t="str">
        <f t="shared" si="215"/>
        <v/>
      </c>
      <c r="L2659" s="25" t="str">
        <f t="shared" si="211"/>
        <v/>
      </c>
      <c r="O2659" s="33" t="str">
        <f t="shared" si="212"/>
        <v/>
      </c>
      <c r="P2659" s="33" t="str">
        <f t="shared" si="213"/>
        <v/>
      </c>
    </row>
    <row r="2660" spans="9:16">
      <c r="I2660" s="23" t="str">
        <f>_xlfn.IFNA(VLOOKUP(A2660,A2661:$H$3524,8,0),"")</f>
        <v/>
      </c>
      <c r="J2660" s="40" t="str">
        <f t="shared" si="214"/>
        <v/>
      </c>
      <c r="K2660" s="24" t="str">
        <f t="shared" si="215"/>
        <v/>
      </c>
      <c r="L2660" s="25" t="str">
        <f t="shared" si="211"/>
        <v/>
      </c>
      <c r="O2660" s="33" t="str">
        <f t="shared" si="212"/>
        <v/>
      </c>
      <c r="P2660" s="33" t="str">
        <f t="shared" si="213"/>
        <v/>
      </c>
    </row>
    <row r="2661" spans="9:16">
      <c r="I2661" s="23" t="str">
        <f>_xlfn.IFNA(VLOOKUP(A2661,A2662:$H$3524,8,0),"")</f>
        <v/>
      </c>
      <c r="J2661" s="40" t="str">
        <f t="shared" si="214"/>
        <v/>
      </c>
      <c r="K2661" s="24" t="str">
        <f t="shared" si="215"/>
        <v/>
      </c>
      <c r="L2661" s="25" t="str">
        <f t="shared" si="211"/>
        <v/>
      </c>
      <c r="O2661" s="33" t="str">
        <f t="shared" si="212"/>
        <v/>
      </c>
      <c r="P2661" s="33" t="str">
        <f t="shared" si="213"/>
        <v/>
      </c>
    </row>
    <row r="2662" spans="9:16">
      <c r="I2662" s="23" t="str">
        <f>_xlfn.IFNA(VLOOKUP(A2662,A2663:$H$3524,8,0),"")</f>
        <v/>
      </c>
      <c r="J2662" s="40" t="str">
        <f t="shared" si="214"/>
        <v/>
      </c>
      <c r="K2662" s="24" t="str">
        <f t="shared" si="215"/>
        <v/>
      </c>
      <c r="L2662" s="25" t="str">
        <f t="shared" si="211"/>
        <v/>
      </c>
      <c r="O2662" s="33" t="str">
        <f t="shared" si="212"/>
        <v/>
      </c>
      <c r="P2662" s="33" t="str">
        <f t="shared" si="213"/>
        <v/>
      </c>
    </row>
    <row r="2663" spans="9:16">
      <c r="I2663" s="23" t="str">
        <f>_xlfn.IFNA(VLOOKUP(A2663,A2664:$H$3524,8,0),"")</f>
        <v/>
      </c>
      <c r="J2663" s="40" t="str">
        <f t="shared" si="214"/>
        <v/>
      </c>
      <c r="K2663" s="24" t="str">
        <f t="shared" si="215"/>
        <v/>
      </c>
      <c r="L2663" s="25" t="str">
        <f t="shared" si="211"/>
        <v/>
      </c>
      <c r="O2663" s="33" t="str">
        <f t="shared" si="212"/>
        <v/>
      </c>
      <c r="P2663" s="33" t="str">
        <f t="shared" si="213"/>
        <v/>
      </c>
    </row>
    <row r="2664" spans="9:16">
      <c r="I2664" s="23" t="str">
        <f>_xlfn.IFNA(VLOOKUP(A2664,A2665:$H$3524,8,0),"")</f>
        <v/>
      </c>
      <c r="J2664" s="40" t="str">
        <f t="shared" si="214"/>
        <v/>
      </c>
      <c r="K2664" s="24" t="str">
        <f t="shared" si="215"/>
        <v/>
      </c>
      <c r="L2664" s="25" t="str">
        <f t="shared" si="211"/>
        <v/>
      </c>
      <c r="O2664" s="33" t="str">
        <f t="shared" si="212"/>
        <v/>
      </c>
      <c r="P2664" s="33" t="str">
        <f t="shared" si="213"/>
        <v/>
      </c>
    </row>
    <row r="2665" spans="9:16">
      <c r="I2665" s="23" t="str">
        <f>_xlfn.IFNA(VLOOKUP(A2665,A2666:$H$3524,8,0),"")</f>
        <v/>
      </c>
      <c r="J2665" s="40" t="str">
        <f t="shared" si="214"/>
        <v/>
      </c>
      <c r="K2665" s="24" t="str">
        <f t="shared" si="215"/>
        <v/>
      </c>
      <c r="L2665" s="25" t="str">
        <f t="shared" si="211"/>
        <v/>
      </c>
      <c r="O2665" s="33" t="str">
        <f t="shared" si="212"/>
        <v/>
      </c>
      <c r="P2665" s="33" t="str">
        <f t="shared" si="213"/>
        <v/>
      </c>
    </row>
    <row r="2666" spans="9:16">
      <c r="I2666" s="23" t="str">
        <f>_xlfn.IFNA(VLOOKUP(A2666,A2667:$H$3524,8,0),"")</f>
        <v/>
      </c>
      <c r="J2666" s="40" t="str">
        <f t="shared" si="214"/>
        <v/>
      </c>
      <c r="K2666" s="24" t="str">
        <f t="shared" si="215"/>
        <v/>
      </c>
      <c r="L2666" s="25" t="str">
        <f t="shared" si="211"/>
        <v/>
      </c>
      <c r="O2666" s="33" t="str">
        <f t="shared" si="212"/>
        <v/>
      </c>
      <c r="P2666" s="33" t="str">
        <f t="shared" si="213"/>
        <v/>
      </c>
    </row>
    <row r="2667" spans="9:16">
      <c r="I2667" s="23" t="str">
        <f>_xlfn.IFNA(VLOOKUP(A2667,A2668:$H$3524,8,0),"")</f>
        <v/>
      </c>
      <c r="J2667" s="40" t="str">
        <f t="shared" si="214"/>
        <v/>
      </c>
      <c r="K2667" s="24" t="str">
        <f t="shared" si="215"/>
        <v/>
      </c>
      <c r="L2667" s="25" t="str">
        <f t="shared" si="211"/>
        <v/>
      </c>
      <c r="O2667" s="33" t="str">
        <f t="shared" si="212"/>
        <v/>
      </c>
      <c r="P2667" s="33" t="str">
        <f t="shared" si="213"/>
        <v/>
      </c>
    </row>
    <row r="2668" spans="9:16">
      <c r="I2668" s="23" t="str">
        <f>_xlfn.IFNA(VLOOKUP(A2668,A2669:$H$3524,8,0),"")</f>
        <v/>
      </c>
      <c r="J2668" s="40" t="str">
        <f t="shared" si="214"/>
        <v/>
      </c>
      <c r="K2668" s="24" t="str">
        <f t="shared" si="215"/>
        <v/>
      </c>
      <c r="L2668" s="25" t="str">
        <f t="shared" si="211"/>
        <v/>
      </c>
      <c r="O2668" s="33" t="str">
        <f t="shared" si="212"/>
        <v/>
      </c>
      <c r="P2668" s="33" t="str">
        <f t="shared" si="213"/>
        <v/>
      </c>
    </row>
    <row r="2669" spans="9:16">
      <c r="I2669" s="23" t="str">
        <f>_xlfn.IFNA(VLOOKUP(A2669,A2670:$H$3524,8,0),"")</f>
        <v/>
      </c>
      <c r="J2669" s="40" t="str">
        <f t="shared" si="214"/>
        <v/>
      </c>
      <c r="K2669" s="24" t="str">
        <f t="shared" si="215"/>
        <v/>
      </c>
      <c r="L2669" s="25" t="str">
        <f t="shared" si="211"/>
        <v/>
      </c>
      <c r="O2669" s="33" t="str">
        <f t="shared" si="212"/>
        <v/>
      </c>
      <c r="P2669" s="33" t="str">
        <f t="shared" si="213"/>
        <v/>
      </c>
    </row>
    <row r="2670" spans="9:16">
      <c r="I2670" s="23" t="str">
        <f>_xlfn.IFNA(VLOOKUP(A2670,A2671:$H$3524,8,0),"")</f>
        <v/>
      </c>
      <c r="J2670" s="40" t="str">
        <f t="shared" si="214"/>
        <v/>
      </c>
      <c r="K2670" s="24" t="str">
        <f t="shared" si="215"/>
        <v/>
      </c>
      <c r="L2670" s="25" t="str">
        <f t="shared" si="211"/>
        <v/>
      </c>
      <c r="O2670" s="33" t="str">
        <f t="shared" si="212"/>
        <v/>
      </c>
      <c r="P2670" s="33" t="str">
        <f t="shared" si="213"/>
        <v/>
      </c>
    </row>
    <row r="2671" spans="9:16">
      <c r="I2671" s="23" t="str">
        <f>_xlfn.IFNA(VLOOKUP(A2671,A2672:$H$3524,8,0),"")</f>
        <v/>
      </c>
      <c r="J2671" s="40" t="str">
        <f t="shared" si="214"/>
        <v/>
      </c>
      <c r="K2671" s="24" t="str">
        <f t="shared" si="215"/>
        <v/>
      </c>
      <c r="L2671" s="25" t="str">
        <f t="shared" si="211"/>
        <v/>
      </c>
      <c r="O2671" s="33" t="str">
        <f t="shared" si="212"/>
        <v/>
      </c>
      <c r="P2671" s="33" t="str">
        <f t="shared" si="213"/>
        <v/>
      </c>
    </row>
    <row r="2672" spans="9:16">
      <c r="I2672" s="23" t="str">
        <f>_xlfn.IFNA(VLOOKUP(A2672,A2673:$H$3524,8,0),"")</f>
        <v/>
      </c>
      <c r="J2672" s="40" t="str">
        <f t="shared" si="214"/>
        <v/>
      </c>
      <c r="K2672" s="24" t="str">
        <f t="shared" si="215"/>
        <v/>
      </c>
      <c r="L2672" s="25" t="str">
        <f t="shared" si="211"/>
        <v/>
      </c>
      <c r="O2672" s="33" t="str">
        <f t="shared" si="212"/>
        <v/>
      </c>
      <c r="P2672" s="33" t="str">
        <f t="shared" si="213"/>
        <v/>
      </c>
    </row>
    <row r="2673" spans="9:16">
      <c r="I2673" s="23" t="str">
        <f>_xlfn.IFNA(VLOOKUP(A2673,A2674:$H$3524,8,0),"")</f>
        <v/>
      </c>
      <c r="J2673" s="40" t="str">
        <f t="shared" si="214"/>
        <v/>
      </c>
      <c r="K2673" s="24" t="str">
        <f t="shared" si="215"/>
        <v/>
      </c>
      <c r="L2673" s="25" t="str">
        <f t="shared" si="211"/>
        <v/>
      </c>
      <c r="O2673" s="33" t="str">
        <f t="shared" si="212"/>
        <v/>
      </c>
      <c r="P2673" s="33" t="str">
        <f t="shared" si="213"/>
        <v/>
      </c>
    </row>
    <row r="2674" spans="9:16">
      <c r="I2674" s="23" t="str">
        <f>_xlfn.IFNA(VLOOKUP(A2674,A2675:$H$3524,8,0),"")</f>
        <v/>
      </c>
      <c r="J2674" s="40" t="str">
        <f t="shared" si="214"/>
        <v/>
      </c>
      <c r="K2674" s="24" t="str">
        <f t="shared" si="215"/>
        <v/>
      </c>
      <c r="L2674" s="25" t="str">
        <f t="shared" si="211"/>
        <v/>
      </c>
      <c r="O2674" s="33" t="str">
        <f t="shared" si="212"/>
        <v/>
      </c>
      <c r="P2674" s="33" t="str">
        <f t="shared" si="213"/>
        <v/>
      </c>
    </row>
    <row r="2675" spans="9:16">
      <c r="I2675" s="23" t="str">
        <f>_xlfn.IFNA(VLOOKUP(A2675,A2676:$H$3524,8,0),"")</f>
        <v/>
      </c>
      <c r="J2675" s="40" t="str">
        <f t="shared" si="214"/>
        <v/>
      </c>
      <c r="K2675" s="24" t="str">
        <f t="shared" si="215"/>
        <v/>
      </c>
      <c r="L2675" s="25" t="str">
        <f t="shared" si="211"/>
        <v/>
      </c>
      <c r="O2675" s="33" t="str">
        <f t="shared" si="212"/>
        <v/>
      </c>
      <c r="P2675" s="33" t="str">
        <f t="shared" si="213"/>
        <v/>
      </c>
    </row>
    <row r="2676" spans="9:16">
      <c r="I2676" s="23" t="str">
        <f>_xlfn.IFNA(VLOOKUP(A2676,A2677:$H$3524,8,0),"")</f>
        <v/>
      </c>
      <c r="J2676" s="40" t="str">
        <f t="shared" si="214"/>
        <v/>
      </c>
      <c r="K2676" s="24" t="str">
        <f t="shared" si="215"/>
        <v/>
      </c>
      <c r="L2676" s="25" t="str">
        <f t="shared" si="211"/>
        <v/>
      </c>
      <c r="O2676" s="33" t="str">
        <f t="shared" si="212"/>
        <v/>
      </c>
      <c r="P2676" s="33" t="str">
        <f t="shared" si="213"/>
        <v/>
      </c>
    </row>
    <row r="2677" spans="9:16">
      <c r="I2677" s="23" t="str">
        <f>_xlfn.IFNA(VLOOKUP(A2677,A2678:$H$3524,8,0),"")</f>
        <v/>
      </c>
      <c r="J2677" s="40" t="str">
        <f t="shared" si="214"/>
        <v/>
      </c>
      <c r="K2677" s="24" t="str">
        <f t="shared" si="215"/>
        <v/>
      </c>
      <c r="L2677" s="25" t="str">
        <f t="shared" si="211"/>
        <v/>
      </c>
      <c r="O2677" s="33" t="str">
        <f t="shared" si="212"/>
        <v/>
      </c>
      <c r="P2677" s="33" t="str">
        <f t="shared" si="213"/>
        <v/>
      </c>
    </row>
    <row r="2678" spans="9:16">
      <c r="I2678" s="23" t="str">
        <f>_xlfn.IFNA(VLOOKUP(A2678,A2679:$H$3524,8,0),"")</f>
        <v/>
      </c>
      <c r="J2678" s="40" t="str">
        <f t="shared" si="214"/>
        <v/>
      </c>
      <c r="K2678" s="24" t="str">
        <f t="shared" si="215"/>
        <v/>
      </c>
      <c r="L2678" s="25" t="str">
        <f t="shared" si="211"/>
        <v/>
      </c>
      <c r="O2678" s="33" t="str">
        <f t="shared" si="212"/>
        <v/>
      </c>
      <c r="P2678" s="33" t="str">
        <f t="shared" si="213"/>
        <v/>
      </c>
    </row>
    <row r="2679" spans="9:16">
      <c r="I2679" s="23" t="str">
        <f>_xlfn.IFNA(VLOOKUP(A2679,A2680:$H$3524,8,0),"")</f>
        <v/>
      </c>
      <c r="J2679" s="40" t="str">
        <f t="shared" si="214"/>
        <v/>
      </c>
      <c r="K2679" s="24" t="str">
        <f t="shared" si="215"/>
        <v/>
      </c>
      <c r="L2679" s="25" t="str">
        <f t="shared" ref="L2679:L2742" si="216">IF(K2679="","",IF(B2679="Break","Break",IF(K2679&lt;&gt;0,"Work Finished",IF(B2679="OFF","Work Finished",IF(I2679="","Working","Work Finished")))))</f>
        <v/>
      </c>
      <c r="O2679" s="33" t="str">
        <f t="shared" ref="O2679:O2742" si="217">IF(AND(J2679="",M2679="",N2679=""),"",J2679-M2679-N2679)</f>
        <v/>
      </c>
      <c r="P2679" s="33" t="str">
        <f t="shared" ref="P2679:P2742" si="218">IF(HOUR(H2679)=0,"",HOUR(H2679))</f>
        <v/>
      </c>
    </row>
    <row r="2680" spans="9:16">
      <c r="I2680" s="23" t="str">
        <f>_xlfn.IFNA(VLOOKUP(A2680,A2681:$H$3524,8,0),"")</f>
        <v/>
      </c>
      <c r="J2680" s="40" t="str">
        <f t="shared" si="214"/>
        <v/>
      </c>
      <c r="K2680" s="24" t="str">
        <f t="shared" si="215"/>
        <v/>
      </c>
      <c r="L2680" s="25" t="str">
        <f t="shared" si="216"/>
        <v/>
      </c>
      <c r="O2680" s="33" t="str">
        <f t="shared" si="217"/>
        <v/>
      </c>
      <c r="P2680" s="33" t="str">
        <f t="shared" si="218"/>
        <v/>
      </c>
    </row>
    <row r="2681" spans="9:16">
      <c r="I2681" s="23" t="str">
        <f>_xlfn.IFNA(VLOOKUP(A2681,A2682:$H$3524,8,0),"")</f>
        <v/>
      </c>
      <c r="J2681" s="40" t="str">
        <f t="shared" si="214"/>
        <v/>
      </c>
      <c r="K2681" s="24" t="str">
        <f t="shared" si="215"/>
        <v/>
      </c>
      <c r="L2681" s="25" t="str">
        <f t="shared" si="216"/>
        <v/>
      </c>
      <c r="O2681" s="33" t="str">
        <f t="shared" si="217"/>
        <v/>
      </c>
      <c r="P2681" s="33" t="str">
        <f t="shared" si="218"/>
        <v/>
      </c>
    </row>
    <row r="2682" spans="9:16">
      <c r="I2682" s="23" t="str">
        <f>_xlfn.IFNA(VLOOKUP(A2682,A2683:$H$3524,8,0),"")</f>
        <v/>
      </c>
      <c r="J2682" s="40" t="str">
        <f t="shared" si="214"/>
        <v/>
      </c>
      <c r="K2682" s="24" t="str">
        <f t="shared" si="215"/>
        <v/>
      </c>
      <c r="L2682" s="25" t="str">
        <f t="shared" si="216"/>
        <v/>
      </c>
      <c r="O2682" s="33" t="str">
        <f t="shared" si="217"/>
        <v/>
      </c>
      <c r="P2682" s="33" t="str">
        <f t="shared" si="218"/>
        <v/>
      </c>
    </row>
    <row r="2683" spans="9:16">
      <c r="I2683" s="23" t="str">
        <f>_xlfn.IFNA(VLOOKUP(A2683,A2684:$H$3524,8,0),"")</f>
        <v/>
      </c>
      <c r="J2683" s="40" t="str">
        <f t="shared" si="214"/>
        <v/>
      </c>
      <c r="K2683" s="24" t="str">
        <f t="shared" si="215"/>
        <v/>
      </c>
      <c r="L2683" s="25" t="str">
        <f t="shared" si="216"/>
        <v/>
      </c>
      <c r="O2683" s="33" t="str">
        <f t="shared" si="217"/>
        <v/>
      </c>
      <c r="P2683" s="33" t="str">
        <f t="shared" si="218"/>
        <v/>
      </c>
    </row>
    <row r="2684" spans="9:16">
      <c r="I2684" s="23" t="str">
        <f>_xlfn.IFNA(VLOOKUP(A2684,A2685:$H$3524,8,0),"")</f>
        <v/>
      </c>
      <c r="J2684" s="40" t="str">
        <f t="shared" si="214"/>
        <v/>
      </c>
      <c r="K2684" s="24" t="str">
        <f t="shared" si="215"/>
        <v/>
      </c>
      <c r="L2684" s="25" t="str">
        <f t="shared" si="216"/>
        <v/>
      </c>
      <c r="O2684" s="33" t="str">
        <f t="shared" si="217"/>
        <v/>
      </c>
      <c r="P2684" s="33" t="str">
        <f t="shared" si="218"/>
        <v/>
      </c>
    </row>
    <row r="2685" spans="9:16">
      <c r="I2685" s="23" t="str">
        <f>_xlfn.IFNA(VLOOKUP(A2685,A2686:$H$3524,8,0),"")</f>
        <v/>
      </c>
      <c r="J2685" s="40" t="str">
        <f t="shared" si="214"/>
        <v/>
      </c>
      <c r="K2685" s="24" t="str">
        <f t="shared" si="215"/>
        <v/>
      </c>
      <c r="L2685" s="25" t="str">
        <f t="shared" si="216"/>
        <v/>
      </c>
      <c r="O2685" s="33" t="str">
        <f t="shared" si="217"/>
        <v/>
      </c>
      <c r="P2685" s="33" t="str">
        <f t="shared" si="218"/>
        <v/>
      </c>
    </row>
    <row r="2686" spans="9:16">
      <c r="I2686" s="23" t="str">
        <f>_xlfn.IFNA(VLOOKUP(A2686,A2687:$H$3524,8,0),"")</f>
        <v/>
      </c>
      <c r="J2686" s="40" t="str">
        <f t="shared" si="214"/>
        <v/>
      </c>
      <c r="K2686" s="24" t="str">
        <f t="shared" si="215"/>
        <v/>
      </c>
      <c r="L2686" s="25" t="str">
        <f t="shared" si="216"/>
        <v/>
      </c>
      <c r="O2686" s="33" t="str">
        <f t="shared" si="217"/>
        <v/>
      </c>
      <c r="P2686" s="33" t="str">
        <f t="shared" si="218"/>
        <v/>
      </c>
    </row>
    <row r="2687" spans="9:16">
      <c r="I2687" s="23" t="str">
        <f>_xlfn.IFNA(VLOOKUP(A2687,A2688:$H$3524,8,0),"")</f>
        <v/>
      </c>
      <c r="J2687" s="40" t="str">
        <f t="shared" si="214"/>
        <v/>
      </c>
      <c r="K2687" s="24" t="str">
        <f t="shared" si="215"/>
        <v/>
      </c>
      <c r="L2687" s="25" t="str">
        <f t="shared" si="216"/>
        <v/>
      </c>
      <c r="O2687" s="33" t="str">
        <f t="shared" si="217"/>
        <v/>
      </c>
      <c r="P2687" s="33" t="str">
        <f t="shared" si="218"/>
        <v/>
      </c>
    </row>
    <row r="2688" spans="9:16">
      <c r="I2688" s="23" t="str">
        <f>_xlfn.IFNA(VLOOKUP(A2688,A2689:$H$3524,8,0),"")</f>
        <v/>
      </c>
      <c r="J2688" s="40" t="str">
        <f t="shared" si="214"/>
        <v/>
      </c>
      <c r="K2688" s="24" t="str">
        <f t="shared" si="215"/>
        <v/>
      </c>
      <c r="L2688" s="25" t="str">
        <f t="shared" si="216"/>
        <v/>
      </c>
      <c r="O2688" s="33" t="str">
        <f t="shared" si="217"/>
        <v/>
      </c>
      <c r="P2688" s="33" t="str">
        <f t="shared" si="218"/>
        <v/>
      </c>
    </row>
    <row r="2689" spans="9:16">
      <c r="I2689" s="23" t="str">
        <f>_xlfn.IFNA(VLOOKUP(A2689,A2690:$H$3524,8,0),"")</f>
        <v/>
      </c>
      <c r="J2689" s="40" t="str">
        <f t="shared" si="214"/>
        <v/>
      </c>
      <c r="K2689" s="24" t="str">
        <f t="shared" si="215"/>
        <v/>
      </c>
      <c r="L2689" s="25" t="str">
        <f t="shared" si="216"/>
        <v/>
      </c>
      <c r="O2689" s="33" t="str">
        <f t="shared" si="217"/>
        <v/>
      </c>
      <c r="P2689" s="33" t="str">
        <f t="shared" si="218"/>
        <v/>
      </c>
    </row>
    <row r="2690" spans="9:16">
      <c r="I2690" s="23" t="str">
        <f>_xlfn.IFNA(VLOOKUP(A2690,A2691:$H$3524,8,0),"")</f>
        <v/>
      </c>
      <c r="J2690" s="40" t="str">
        <f t="shared" si="214"/>
        <v/>
      </c>
      <c r="K2690" s="24" t="str">
        <f t="shared" si="215"/>
        <v/>
      </c>
      <c r="L2690" s="25" t="str">
        <f t="shared" si="216"/>
        <v/>
      </c>
      <c r="O2690" s="33" t="str">
        <f t="shared" si="217"/>
        <v/>
      </c>
      <c r="P2690" s="33" t="str">
        <f t="shared" si="218"/>
        <v/>
      </c>
    </row>
    <row r="2691" spans="9:16">
      <c r="I2691" s="23" t="str">
        <f>_xlfn.IFNA(VLOOKUP(A2691,A2692:$H$3524,8,0),"")</f>
        <v/>
      </c>
      <c r="J2691" s="40" t="str">
        <f t="shared" si="214"/>
        <v/>
      </c>
      <c r="K2691" s="24" t="str">
        <f t="shared" si="215"/>
        <v/>
      </c>
      <c r="L2691" s="25" t="str">
        <f t="shared" si="216"/>
        <v/>
      </c>
      <c r="O2691" s="33" t="str">
        <f t="shared" si="217"/>
        <v/>
      </c>
      <c r="P2691" s="33" t="str">
        <f t="shared" si="218"/>
        <v/>
      </c>
    </row>
    <row r="2692" spans="9:16">
      <c r="I2692" s="23" t="str">
        <f>_xlfn.IFNA(VLOOKUP(A2692,A2693:$H$3524,8,0),"")</f>
        <v/>
      </c>
      <c r="J2692" s="40" t="str">
        <f t="shared" si="214"/>
        <v/>
      </c>
      <c r="K2692" s="24" t="str">
        <f t="shared" si="215"/>
        <v/>
      </c>
      <c r="L2692" s="25" t="str">
        <f t="shared" si="216"/>
        <v/>
      </c>
      <c r="O2692" s="33" t="str">
        <f t="shared" si="217"/>
        <v/>
      </c>
      <c r="P2692" s="33" t="str">
        <f t="shared" si="218"/>
        <v/>
      </c>
    </row>
    <row r="2693" spans="9:16">
      <c r="I2693" s="23" t="str">
        <f>_xlfn.IFNA(VLOOKUP(A2693,A2694:$H$3524,8,0),"")</f>
        <v/>
      </c>
      <c r="J2693" s="40" t="str">
        <f t="shared" si="214"/>
        <v/>
      </c>
      <c r="K2693" s="24" t="str">
        <f t="shared" si="215"/>
        <v/>
      </c>
      <c r="L2693" s="25" t="str">
        <f t="shared" si="216"/>
        <v/>
      </c>
      <c r="O2693" s="33" t="str">
        <f t="shared" si="217"/>
        <v/>
      </c>
      <c r="P2693" s="33" t="str">
        <f t="shared" si="218"/>
        <v/>
      </c>
    </row>
    <row r="2694" spans="9:16">
      <c r="I2694" s="23" t="str">
        <f>_xlfn.IFNA(VLOOKUP(A2694,A2695:$H$3524,8,0),"")</f>
        <v/>
      </c>
      <c r="J2694" s="40" t="str">
        <f t="shared" ref="J2694:J2757" si="219">IF(B2694="OFF",0,IF(AND(D2694&lt;&gt;"",E2694&lt;&gt;""),E2694-D2694+1,""))</f>
        <v/>
      </c>
      <c r="K2694" s="24" t="str">
        <f t="shared" si="215"/>
        <v/>
      </c>
      <c r="L2694" s="25" t="str">
        <f t="shared" si="216"/>
        <v/>
      </c>
      <c r="O2694" s="33" t="str">
        <f t="shared" si="217"/>
        <v/>
      </c>
      <c r="P2694" s="33" t="str">
        <f t="shared" si="218"/>
        <v/>
      </c>
    </row>
    <row r="2695" spans="9:16">
      <c r="I2695" s="23" t="str">
        <f>_xlfn.IFNA(VLOOKUP(A2695,A2696:$H$3524,8,0),"")</f>
        <v/>
      </c>
      <c r="J2695" s="40" t="str">
        <f t="shared" si="219"/>
        <v/>
      </c>
      <c r="K2695" s="24" t="str">
        <f t="shared" si="215"/>
        <v/>
      </c>
      <c r="L2695" s="25" t="str">
        <f t="shared" si="216"/>
        <v/>
      </c>
      <c r="O2695" s="33" t="str">
        <f t="shared" si="217"/>
        <v/>
      </c>
      <c r="P2695" s="33" t="str">
        <f t="shared" si="218"/>
        <v/>
      </c>
    </row>
    <row r="2696" spans="9:16">
      <c r="I2696" s="23" t="str">
        <f>_xlfn.IFNA(VLOOKUP(A2696,A2697:$H$3524,8,0),"")</f>
        <v/>
      </c>
      <c r="J2696" s="40" t="str">
        <f t="shared" si="219"/>
        <v/>
      </c>
      <c r="K2696" s="24" t="str">
        <f t="shared" si="215"/>
        <v/>
      </c>
      <c r="L2696" s="25" t="str">
        <f t="shared" si="216"/>
        <v/>
      </c>
      <c r="O2696" s="33" t="str">
        <f t="shared" si="217"/>
        <v/>
      </c>
      <c r="P2696" s="33" t="str">
        <f t="shared" si="218"/>
        <v/>
      </c>
    </row>
    <row r="2697" spans="9:16">
      <c r="I2697" s="23" t="str">
        <f>_xlfn.IFNA(VLOOKUP(A2697,A2698:$H$3524,8,0),"")</f>
        <v/>
      </c>
      <c r="J2697" s="40" t="str">
        <f t="shared" si="219"/>
        <v/>
      </c>
      <c r="K2697" s="24" t="str">
        <f t="shared" si="215"/>
        <v/>
      </c>
      <c r="L2697" s="25" t="str">
        <f t="shared" si="216"/>
        <v/>
      </c>
      <c r="O2697" s="33" t="str">
        <f t="shared" si="217"/>
        <v/>
      </c>
      <c r="P2697" s="33" t="str">
        <f t="shared" si="218"/>
        <v/>
      </c>
    </row>
    <row r="2698" spans="9:16">
      <c r="I2698" s="23" t="str">
        <f>_xlfn.IFNA(VLOOKUP(A2698,A2699:$H$3524,8,0),"")</f>
        <v/>
      </c>
      <c r="J2698" s="40" t="str">
        <f t="shared" si="219"/>
        <v/>
      </c>
      <c r="K2698" s="24" t="str">
        <f t="shared" si="215"/>
        <v/>
      </c>
      <c r="L2698" s="25" t="str">
        <f t="shared" si="216"/>
        <v/>
      </c>
      <c r="O2698" s="33" t="str">
        <f t="shared" si="217"/>
        <v/>
      </c>
      <c r="P2698" s="33" t="str">
        <f t="shared" si="218"/>
        <v/>
      </c>
    </row>
    <row r="2699" spans="9:16">
      <c r="I2699" s="23" t="str">
        <f>_xlfn.IFNA(VLOOKUP(A2699,A2700:$H$3524,8,0),"")</f>
        <v/>
      </c>
      <c r="J2699" s="40" t="str">
        <f t="shared" si="219"/>
        <v/>
      </c>
      <c r="K2699" s="24" t="str">
        <f t="shared" si="215"/>
        <v/>
      </c>
      <c r="L2699" s="25" t="str">
        <f t="shared" si="216"/>
        <v/>
      </c>
      <c r="O2699" s="33" t="str">
        <f t="shared" si="217"/>
        <v/>
      </c>
      <c r="P2699" s="33" t="str">
        <f t="shared" si="218"/>
        <v/>
      </c>
    </row>
    <row r="2700" spans="9:16">
      <c r="I2700" s="23" t="str">
        <f>_xlfn.IFNA(VLOOKUP(A2700,A2701:$H$3524,8,0),"")</f>
        <v/>
      </c>
      <c r="J2700" s="40" t="str">
        <f t="shared" si="219"/>
        <v/>
      </c>
      <c r="K2700" s="24" t="str">
        <f t="shared" si="215"/>
        <v/>
      </c>
      <c r="L2700" s="25" t="str">
        <f t="shared" si="216"/>
        <v/>
      </c>
      <c r="O2700" s="33" t="str">
        <f t="shared" si="217"/>
        <v/>
      </c>
      <c r="P2700" s="33" t="str">
        <f t="shared" si="218"/>
        <v/>
      </c>
    </row>
    <row r="2701" spans="9:16">
      <c r="I2701" s="23" t="str">
        <f>_xlfn.IFNA(VLOOKUP(A2701,A2702:$H$3524,8,0),"")</f>
        <v/>
      </c>
      <c r="J2701" s="40" t="str">
        <f t="shared" si="219"/>
        <v/>
      </c>
      <c r="K2701" s="24" t="str">
        <f t="shared" si="215"/>
        <v/>
      </c>
      <c r="L2701" s="25" t="str">
        <f t="shared" si="216"/>
        <v/>
      </c>
      <c r="O2701" s="33" t="str">
        <f t="shared" si="217"/>
        <v/>
      </c>
      <c r="P2701" s="33" t="str">
        <f t="shared" si="218"/>
        <v/>
      </c>
    </row>
    <row r="2702" spans="9:16">
      <c r="I2702" s="23" t="str">
        <f>_xlfn.IFNA(VLOOKUP(A2702,A2703:$H$3524,8,0),"")</f>
        <v/>
      </c>
      <c r="J2702" s="40" t="str">
        <f t="shared" si="219"/>
        <v/>
      </c>
      <c r="K2702" s="24" t="str">
        <f t="shared" si="215"/>
        <v/>
      </c>
      <c r="L2702" s="25" t="str">
        <f t="shared" si="216"/>
        <v/>
      </c>
      <c r="O2702" s="33" t="str">
        <f t="shared" si="217"/>
        <v/>
      </c>
      <c r="P2702" s="33" t="str">
        <f t="shared" si="218"/>
        <v/>
      </c>
    </row>
    <row r="2703" spans="9:16">
      <c r="I2703" s="23" t="str">
        <f>_xlfn.IFNA(VLOOKUP(A2703,A2704:$H$3524,8,0),"")</f>
        <v/>
      </c>
      <c r="J2703" s="40" t="str">
        <f t="shared" si="219"/>
        <v/>
      </c>
      <c r="K2703" s="24" t="str">
        <f t="shared" si="215"/>
        <v/>
      </c>
      <c r="L2703" s="25" t="str">
        <f t="shared" si="216"/>
        <v/>
      </c>
      <c r="O2703" s="33" t="str">
        <f t="shared" si="217"/>
        <v/>
      </c>
      <c r="P2703" s="33" t="str">
        <f t="shared" si="218"/>
        <v/>
      </c>
    </row>
    <row r="2704" spans="9:16">
      <c r="I2704" s="23" t="str">
        <f>_xlfn.IFNA(VLOOKUP(A2704,A2705:$H$3524,8,0),"")</f>
        <v/>
      </c>
      <c r="J2704" s="40" t="str">
        <f t="shared" si="219"/>
        <v/>
      </c>
      <c r="K2704" s="24" t="str">
        <f t="shared" si="215"/>
        <v/>
      </c>
      <c r="L2704" s="25" t="str">
        <f t="shared" si="216"/>
        <v/>
      </c>
      <c r="O2704" s="33" t="str">
        <f t="shared" si="217"/>
        <v/>
      </c>
      <c r="P2704" s="33" t="str">
        <f t="shared" si="218"/>
        <v/>
      </c>
    </row>
    <row r="2705" spans="9:16">
      <c r="I2705" s="23" t="str">
        <f>_xlfn.IFNA(VLOOKUP(A2705,A2706:$H$3524,8,0),"")</f>
        <v/>
      </c>
      <c r="J2705" s="40" t="str">
        <f t="shared" si="219"/>
        <v/>
      </c>
      <c r="K2705" s="24" t="str">
        <f t="shared" si="215"/>
        <v/>
      </c>
      <c r="L2705" s="25" t="str">
        <f t="shared" si="216"/>
        <v/>
      </c>
      <c r="O2705" s="33" t="str">
        <f t="shared" si="217"/>
        <v/>
      </c>
      <c r="P2705" s="33" t="str">
        <f t="shared" si="218"/>
        <v/>
      </c>
    </row>
    <row r="2706" spans="9:16">
      <c r="I2706" s="23" t="str">
        <f>_xlfn.IFNA(VLOOKUP(A2706,A2707:$H$3524,8,0),"")</f>
        <v/>
      </c>
      <c r="J2706" s="40" t="str">
        <f t="shared" si="219"/>
        <v/>
      </c>
      <c r="K2706" s="24" t="str">
        <f t="shared" si="215"/>
        <v/>
      </c>
      <c r="L2706" s="25" t="str">
        <f t="shared" si="216"/>
        <v/>
      </c>
      <c r="O2706" s="33" t="str">
        <f t="shared" si="217"/>
        <v/>
      </c>
      <c r="P2706" s="33" t="str">
        <f t="shared" si="218"/>
        <v/>
      </c>
    </row>
    <row r="2707" spans="9:16">
      <c r="I2707" s="23" t="str">
        <f>_xlfn.IFNA(VLOOKUP(A2707,A2708:$H$3524,8,0),"")</f>
        <v/>
      </c>
      <c r="J2707" s="40" t="str">
        <f t="shared" si="219"/>
        <v/>
      </c>
      <c r="K2707" s="24" t="str">
        <f t="shared" si="215"/>
        <v/>
      </c>
      <c r="L2707" s="25" t="str">
        <f t="shared" si="216"/>
        <v/>
      </c>
      <c r="O2707" s="33" t="str">
        <f t="shared" si="217"/>
        <v/>
      </c>
      <c r="P2707" s="33" t="str">
        <f t="shared" si="218"/>
        <v/>
      </c>
    </row>
    <row r="2708" spans="9:16">
      <c r="I2708" s="23" t="str">
        <f>_xlfn.IFNA(VLOOKUP(A2708,A2709:$H$3524,8,0),"")</f>
        <v/>
      </c>
      <c r="J2708" s="40" t="str">
        <f t="shared" si="219"/>
        <v/>
      </c>
      <c r="K2708" s="24" t="str">
        <f t="shared" si="215"/>
        <v/>
      </c>
      <c r="L2708" s="25" t="str">
        <f t="shared" si="216"/>
        <v/>
      </c>
      <c r="O2708" s="33" t="str">
        <f t="shared" si="217"/>
        <v/>
      </c>
      <c r="P2708" s="33" t="str">
        <f t="shared" si="218"/>
        <v/>
      </c>
    </row>
    <row r="2709" spans="9:16">
      <c r="I2709" s="23" t="str">
        <f>_xlfn.IFNA(VLOOKUP(A2709,A2710:$H$3524,8,0),"")</f>
        <v/>
      </c>
      <c r="J2709" s="40" t="str">
        <f t="shared" si="219"/>
        <v/>
      </c>
      <c r="K2709" s="24" t="str">
        <f t="shared" si="215"/>
        <v/>
      </c>
      <c r="L2709" s="25" t="str">
        <f t="shared" si="216"/>
        <v/>
      </c>
      <c r="O2709" s="33" t="str">
        <f t="shared" si="217"/>
        <v/>
      </c>
      <c r="P2709" s="33" t="str">
        <f t="shared" si="218"/>
        <v/>
      </c>
    </row>
    <row r="2710" spans="9:16">
      <c r="I2710" s="23" t="str">
        <f>_xlfn.IFNA(VLOOKUP(A2710,A2711:$H$3524,8,0),"")</f>
        <v/>
      </c>
      <c r="J2710" s="40" t="str">
        <f t="shared" si="219"/>
        <v/>
      </c>
      <c r="K2710" s="24" t="str">
        <f t="shared" ref="K2710:K2773" si="220">IF(H2710="","",IFERROR((I2710-H2710)*24,0))</f>
        <v/>
      </c>
      <c r="L2710" s="25" t="str">
        <f t="shared" si="216"/>
        <v/>
      </c>
      <c r="O2710" s="33" t="str">
        <f t="shared" si="217"/>
        <v/>
      </c>
      <c r="P2710" s="33" t="str">
        <f t="shared" si="218"/>
        <v/>
      </c>
    </row>
    <row r="2711" spans="9:16">
      <c r="I2711" s="23" t="str">
        <f>_xlfn.IFNA(VLOOKUP(A2711,A2712:$H$3524,8,0),"")</f>
        <v/>
      </c>
      <c r="J2711" s="40" t="str">
        <f t="shared" si="219"/>
        <v/>
      </c>
      <c r="K2711" s="24" t="str">
        <f t="shared" si="220"/>
        <v/>
      </c>
      <c r="L2711" s="25" t="str">
        <f t="shared" si="216"/>
        <v/>
      </c>
      <c r="O2711" s="33" t="str">
        <f t="shared" si="217"/>
        <v/>
      </c>
      <c r="P2711" s="33" t="str">
        <f t="shared" si="218"/>
        <v/>
      </c>
    </row>
    <row r="2712" spans="9:16">
      <c r="I2712" s="23" t="str">
        <f>_xlfn.IFNA(VLOOKUP(A2712,A2713:$H$3524,8,0),"")</f>
        <v/>
      </c>
      <c r="J2712" s="40" t="str">
        <f t="shared" si="219"/>
        <v/>
      </c>
      <c r="K2712" s="24" t="str">
        <f t="shared" si="220"/>
        <v/>
      </c>
      <c r="L2712" s="25" t="str">
        <f t="shared" si="216"/>
        <v/>
      </c>
      <c r="O2712" s="33" t="str">
        <f t="shared" si="217"/>
        <v/>
      </c>
      <c r="P2712" s="33" t="str">
        <f t="shared" si="218"/>
        <v/>
      </c>
    </row>
    <row r="2713" spans="9:16">
      <c r="I2713" s="23" t="str">
        <f>_xlfn.IFNA(VLOOKUP(A2713,A2714:$H$3524,8,0),"")</f>
        <v/>
      </c>
      <c r="J2713" s="40" t="str">
        <f t="shared" si="219"/>
        <v/>
      </c>
      <c r="K2713" s="24" t="str">
        <f t="shared" si="220"/>
        <v/>
      </c>
      <c r="L2713" s="25" t="str">
        <f t="shared" si="216"/>
        <v/>
      </c>
      <c r="O2713" s="33" t="str">
        <f t="shared" si="217"/>
        <v/>
      </c>
      <c r="P2713" s="33" t="str">
        <f t="shared" si="218"/>
        <v/>
      </c>
    </row>
    <row r="2714" spans="9:16">
      <c r="I2714" s="23" t="str">
        <f>_xlfn.IFNA(VLOOKUP(A2714,A2715:$H$3524,8,0),"")</f>
        <v/>
      </c>
      <c r="J2714" s="40" t="str">
        <f t="shared" si="219"/>
        <v/>
      </c>
      <c r="K2714" s="24" t="str">
        <f t="shared" si="220"/>
        <v/>
      </c>
      <c r="L2714" s="25" t="str">
        <f t="shared" si="216"/>
        <v/>
      </c>
      <c r="O2714" s="33" t="str">
        <f t="shared" si="217"/>
        <v/>
      </c>
      <c r="P2714" s="33" t="str">
        <f t="shared" si="218"/>
        <v/>
      </c>
    </row>
    <row r="2715" spans="9:16">
      <c r="I2715" s="23" t="str">
        <f>_xlfn.IFNA(VLOOKUP(A2715,A2716:$H$3524,8,0),"")</f>
        <v/>
      </c>
      <c r="J2715" s="40" t="str">
        <f t="shared" si="219"/>
        <v/>
      </c>
      <c r="K2715" s="24" t="str">
        <f t="shared" si="220"/>
        <v/>
      </c>
      <c r="L2715" s="25" t="str">
        <f t="shared" si="216"/>
        <v/>
      </c>
      <c r="O2715" s="33" t="str">
        <f t="shared" si="217"/>
        <v/>
      </c>
      <c r="P2715" s="33" t="str">
        <f t="shared" si="218"/>
        <v/>
      </c>
    </row>
    <row r="2716" spans="9:16">
      <c r="I2716" s="23" t="str">
        <f>_xlfn.IFNA(VLOOKUP(A2716,A2717:$H$3524,8,0),"")</f>
        <v/>
      </c>
      <c r="J2716" s="40" t="str">
        <f t="shared" si="219"/>
        <v/>
      </c>
      <c r="K2716" s="24" t="str">
        <f t="shared" si="220"/>
        <v/>
      </c>
      <c r="L2716" s="25" t="str">
        <f t="shared" si="216"/>
        <v/>
      </c>
      <c r="O2716" s="33" t="str">
        <f t="shared" si="217"/>
        <v/>
      </c>
      <c r="P2716" s="33" t="str">
        <f t="shared" si="218"/>
        <v/>
      </c>
    </row>
    <row r="2717" spans="9:16">
      <c r="I2717" s="23" t="str">
        <f>_xlfn.IFNA(VLOOKUP(A2717,A2718:$H$3524,8,0),"")</f>
        <v/>
      </c>
      <c r="J2717" s="40" t="str">
        <f t="shared" si="219"/>
        <v/>
      </c>
      <c r="K2717" s="24" t="str">
        <f t="shared" si="220"/>
        <v/>
      </c>
      <c r="L2717" s="25" t="str">
        <f t="shared" si="216"/>
        <v/>
      </c>
      <c r="O2717" s="33" t="str">
        <f t="shared" si="217"/>
        <v/>
      </c>
      <c r="P2717" s="33" t="str">
        <f t="shared" si="218"/>
        <v/>
      </c>
    </row>
    <row r="2718" spans="9:16">
      <c r="I2718" s="23" t="str">
        <f>_xlfn.IFNA(VLOOKUP(A2718,A2719:$H$3524,8,0),"")</f>
        <v/>
      </c>
      <c r="J2718" s="40" t="str">
        <f t="shared" si="219"/>
        <v/>
      </c>
      <c r="K2718" s="24" t="str">
        <f t="shared" si="220"/>
        <v/>
      </c>
      <c r="L2718" s="25" t="str">
        <f t="shared" si="216"/>
        <v/>
      </c>
      <c r="O2718" s="33" t="str">
        <f t="shared" si="217"/>
        <v/>
      </c>
      <c r="P2718" s="33" t="str">
        <f t="shared" si="218"/>
        <v/>
      </c>
    </row>
    <row r="2719" spans="9:16">
      <c r="I2719" s="23" t="str">
        <f>_xlfn.IFNA(VLOOKUP(A2719,A2720:$H$3524,8,0),"")</f>
        <v/>
      </c>
      <c r="J2719" s="40" t="str">
        <f t="shared" si="219"/>
        <v/>
      </c>
      <c r="K2719" s="24" t="str">
        <f t="shared" si="220"/>
        <v/>
      </c>
      <c r="L2719" s="25" t="str">
        <f t="shared" si="216"/>
        <v/>
      </c>
      <c r="O2719" s="33" t="str">
        <f t="shared" si="217"/>
        <v/>
      </c>
      <c r="P2719" s="33" t="str">
        <f t="shared" si="218"/>
        <v/>
      </c>
    </row>
    <row r="2720" spans="9:16">
      <c r="I2720" s="23" t="str">
        <f>_xlfn.IFNA(VLOOKUP(A2720,A2721:$H$3524,8,0),"")</f>
        <v/>
      </c>
      <c r="J2720" s="40" t="str">
        <f t="shared" si="219"/>
        <v/>
      </c>
      <c r="K2720" s="24" t="str">
        <f t="shared" si="220"/>
        <v/>
      </c>
      <c r="L2720" s="25" t="str">
        <f t="shared" si="216"/>
        <v/>
      </c>
      <c r="O2720" s="33" t="str">
        <f t="shared" si="217"/>
        <v/>
      </c>
      <c r="P2720" s="33" t="str">
        <f t="shared" si="218"/>
        <v/>
      </c>
    </row>
    <row r="2721" spans="9:16">
      <c r="I2721" s="23" t="str">
        <f>_xlfn.IFNA(VLOOKUP(A2721,A2722:$H$3524,8,0),"")</f>
        <v/>
      </c>
      <c r="J2721" s="40" t="str">
        <f t="shared" si="219"/>
        <v/>
      </c>
      <c r="K2721" s="24" t="str">
        <f t="shared" si="220"/>
        <v/>
      </c>
      <c r="L2721" s="25" t="str">
        <f t="shared" si="216"/>
        <v/>
      </c>
      <c r="O2721" s="33" t="str">
        <f t="shared" si="217"/>
        <v/>
      </c>
      <c r="P2721" s="33" t="str">
        <f t="shared" si="218"/>
        <v/>
      </c>
    </row>
    <row r="2722" spans="9:16">
      <c r="I2722" s="23" t="str">
        <f>_xlfn.IFNA(VLOOKUP(A2722,A2723:$H$3524,8,0),"")</f>
        <v/>
      </c>
      <c r="J2722" s="40" t="str">
        <f t="shared" si="219"/>
        <v/>
      </c>
      <c r="K2722" s="24" t="str">
        <f t="shared" si="220"/>
        <v/>
      </c>
      <c r="L2722" s="25" t="str">
        <f t="shared" si="216"/>
        <v/>
      </c>
      <c r="O2722" s="33" t="str">
        <f t="shared" si="217"/>
        <v/>
      </c>
      <c r="P2722" s="33" t="str">
        <f t="shared" si="218"/>
        <v/>
      </c>
    </row>
    <row r="2723" spans="9:16">
      <c r="I2723" s="23" t="str">
        <f>_xlfn.IFNA(VLOOKUP(A2723,A2724:$H$3524,8,0),"")</f>
        <v/>
      </c>
      <c r="J2723" s="40" t="str">
        <f t="shared" si="219"/>
        <v/>
      </c>
      <c r="K2723" s="24" t="str">
        <f t="shared" si="220"/>
        <v/>
      </c>
      <c r="L2723" s="25" t="str">
        <f t="shared" si="216"/>
        <v/>
      </c>
      <c r="O2723" s="33" t="str">
        <f t="shared" si="217"/>
        <v/>
      </c>
      <c r="P2723" s="33" t="str">
        <f t="shared" si="218"/>
        <v/>
      </c>
    </row>
    <row r="2724" spans="9:16">
      <c r="I2724" s="23" t="str">
        <f>_xlfn.IFNA(VLOOKUP(A2724,A2725:$H$3524,8,0),"")</f>
        <v/>
      </c>
      <c r="J2724" s="40" t="str">
        <f t="shared" si="219"/>
        <v/>
      </c>
      <c r="K2724" s="24" t="str">
        <f t="shared" si="220"/>
        <v/>
      </c>
      <c r="L2724" s="25" t="str">
        <f t="shared" si="216"/>
        <v/>
      </c>
      <c r="O2724" s="33" t="str">
        <f t="shared" si="217"/>
        <v/>
      </c>
      <c r="P2724" s="33" t="str">
        <f t="shared" si="218"/>
        <v/>
      </c>
    </row>
    <row r="2725" spans="9:16">
      <c r="I2725" s="23" t="str">
        <f>_xlfn.IFNA(VLOOKUP(A2725,A2726:$H$3524,8,0),"")</f>
        <v/>
      </c>
      <c r="J2725" s="40" t="str">
        <f t="shared" si="219"/>
        <v/>
      </c>
      <c r="K2725" s="24" t="str">
        <f t="shared" si="220"/>
        <v/>
      </c>
      <c r="L2725" s="25" t="str">
        <f t="shared" si="216"/>
        <v/>
      </c>
      <c r="O2725" s="33" t="str">
        <f t="shared" si="217"/>
        <v/>
      </c>
      <c r="P2725" s="33" t="str">
        <f t="shared" si="218"/>
        <v/>
      </c>
    </row>
    <row r="2726" spans="9:16">
      <c r="I2726" s="23" t="str">
        <f>_xlfn.IFNA(VLOOKUP(A2726,A2727:$H$3524,8,0),"")</f>
        <v/>
      </c>
      <c r="J2726" s="40" t="str">
        <f t="shared" si="219"/>
        <v/>
      </c>
      <c r="K2726" s="24" t="str">
        <f t="shared" si="220"/>
        <v/>
      </c>
      <c r="L2726" s="25" t="str">
        <f t="shared" si="216"/>
        <v/>
      </c>
      <c r="O2726" s="33" t="str">
        <f t="shared" si="217"/>
        <v/>
      </c>
      <c r="P2726" s="33" t="str">
        <f t="shared" si="218"/>
        <v/>
      </c>
    </row>
    <row r="2727" spans="9:16">
      <c r="I2727" s="23" t="str">
        <f>_xlfn.IFNA(VLOOKUP(A2727,A2728:$H$3524,8,0),"")</f>
        <v/>
      </c>
      <c r="J2727" s="40" t="str">
        <f t="shared" si="219"/>
        <v/>
      </c>
      <c r="K2727" s="24" t="str">
        <f t="shared" si="220"/>
        <v/>
      </c>
      <c r="L2727" s="25" t="str">
        <f t="shared" si="216"/>
        <v/>
      </c>
      <c r="O2727" s="33" t="str">
        <f t="shared" si="217"/>
        <v/>
      </c>
      <c r="P2727" s="33" t="str">
        <f t="shared" si="218"/>
        <v/>
      </c>
    </row>
    <row r="2728" spans="9:16">
      <c r="I2728" s="23" t="str">
        <f>_xlfn.IFNA(VLOOKUP(A2728,A2729:$H$3524,8,0),"")</f>
        <v/>
      </c>
      <c r="J2728" s="40" t="str">
        <f t="shared" si="219"/>
        <v/>
      </c>
      <c r="K2728" s="24" t="str">
        <f t="shared" si="220"/>
        <v/>
      </c>
      <c r="L2728" s="25" t="str">
        <f t="shared" si="216"/>
        <v/>
      </c>
      <c r="O2728" s="33" t="str">
        <f t="shared" si="217"/>
        <v/>
      </c>
      <c r="P2728" s="33" t="str">
        <f t="shared" si="218"/>
        <v/>
      </c>
    </row>
    <row r="2729" spans="9:16">
      <c r="I2729" s="23" t="str">
        <f>_xlfn.IFNA(VLOOKUP(A2729,A2730:$H$3524,8,0),"")</f>
        <v/>
      </c>
      <c r="J2729" s="40" t="str">
        <f t="shared" si="219"/>
        <v/>
      </c>
      <c r="K2729" s="24" t="str">
        <f t="shared" si="220"/>
        <v/>
      </c>
      <c r="L2729" s="25" t="str">
        <f t="shared" si="216"/>
        <v/>
      </c>
      <c r="O2729" s="33" t="str">
        <f t="shared" si="217"/>
        <v/>
      </c>
      <c r="P2729" s="33" t="str">
        <f t="shared" si="218"/>
        <v/>
      </c>
    </row>
    <row r="2730" spans="9:16">
      <c r="I2730" s="23" t="str">
        <f>_xlfn.IFNA(VLOOKUP(A2730,A2731:$H$3524,8,0),"")</f>
        <v/>
      </c>
      <c r="J2730" s="40" t="str">
        <f t="shared" si="219"/>
        <v/>
      </c>
      <c r="K2730" s="24" t="str">
        <f t="shared" si="220"/>
        <v/>
      </c>
      <c r="L2730" s="25" t="str">
        <f t="shared" si="216"/>
        <v/>
      </c>
      <c r="O2730" s="33" t="str">
        <f t="shared" si="217"/>
        <v/>
      </c>
      <c r="P2730" s="33" t="str">
        <f t="shared" si="218"/>
        <v/>
      </c>
    </row>
    <row r="2731" spans="9:16">
      <c r="I2731" s="23" t="str">
        <f>_xlfn.IFNA(VLOOKUP(A2731,A2732:$H$3524,8,0),"")</f>
        <v/>
      </c>
      <c r="J2731" s="40" t="str">
        <f t="shared" si="219"/>
        <v/>
      </c>
      <c r="K2731" s="24" t="str">
        <f t="shared" si="220"/>
        <v/>
      </c>
      <c r="L2731" s="25" t="str">
        <f t="shared" si="216"/>
        <v/>
      </c>
      <c r="O2731" s="33" t="str">
        <f t="shared" si="217"/>
        <v/>
      </c>
      <c r="P2731" s="33" t="str">
        <f t="shared" si="218"/>
        <v/>
      </c>
    </row>
    <row r="2732" spans="9:16">
      <c r="I2732" s="23" t="str">
        <f>_xlfn.IFNA(VLOOKUP(A2732,A2733:$H$3524,8,0),"")</f>
        <v/>
      </c>
      <c r="J2732" s="40" t="str">
        <f t="shared" si="219"/>
        <v/>
      </c>
      <c r="K2732" s="24" t="str">
        <f t="shared" si="220"/>
        <v/>
      </c>
      <c r="L2732" s="25" t="str">
        <f t="shared" si="216"/>
        <v/>
      </c>
      <c r="O2732" s="33" t="str">
        <f t="shared" si="217"/>
        <v/>
      </c>
      <c r="P2732" s="33" t="str">
        <f t="shared" si="218"/>
        <v/>
      </c>
    </row>
    <row r="2733" spans="9:16">
      <c r="I2733" s="23" t="str">
        <f>_xlfn.IFNA(VLOOKUP(A2733,A2734:$H$3524,8,0),"")</f>
        <v/>
      </c>
      <c r="J2733" s="40" t="str">
        <f t="shared" si="219"/>
        <v/>
      </c>
      <c r="K2733" s="24" t="str">
        <f t="shared" si="220"/>
        <v/>
      </c>
      <c r="L2733" s="25" t="str">
        <f t="shared" si="216"/>
        <v/>
      </c>
      <c r="O2733" s="33" t="str">
        <f t="shared" si="217"/>
        <v/>
      </c>
      <c r="P2733" s="33" t="str">
        <f t="shared" si="218"/>
        <v/>
      </c>
    </row>
    <row r="2734" spans="9:16">
      <c r="I2734" s="23" t="str">
        <f>_xlfn.IFNA(VLOOKUP(A2734,A2735:$H$3524,8,0),"")</f>
        <v/>
      </c>
      <c r="J2734" s="40" t="str">
        <f t="shared" si="219"/>
        <v/>
      </c>
      <c r="K2734" s="24" t="str">
        <f t="shared" si="220"/>
        <v/>
      </c>
      <c r="L2734" s="25" t="str">
        <f t="shared" si="216"/>
        <v/>
      </c>
      <c r="O2734" s="33" t="str">
        <f t="shared" si="217"/>
        <v/>
      </c>
      <c r="P2734" s="33" t="str">
        <f t="shared" si="218"/>
        <v/>
      </c>
    </row>
    <row r="2735" spans="9:16">
      <c r="I2735" s="23" t="str">
        <f>_xlfn.IFNA(VLOOKUP(A2735,A2736:$H$3524,8,0),"")</f>
        <v/>
      </c>
      <c r="J2735" s="40" t="str">
        <f t="shared" si="219"/>
        <v/>
      </c>
      <c r="K2735" s="24" t="str">
        <f t="shared" si="220"/>
        <v/>
      </c>
      <c r="L2735" s="25" t="str">
        <f t="shared" si="216"/>
        <v/>
      </c>
      <c r="O2735" s="33" t="str">
        <f t="shared" si="217"/>
        <v/>
      </c>
      <c r="P2735" s="33" t="str">
        <f t="shared" si="218"/>
        <v/>
      </c>
    </row>
    <row r="2736" spans="9:16">
      <c r="I2736" s="23" t="str">
        <f>_xlfn.IFNA(VLOOKUP(A2736,A2737:$H$3524,8,0),"")</f>
        <v/>
      </c>
      <c r="J2736" s="40" t="str">
        <f t="shared" si="219"/>
        <v/>
      </c>
      <c r="K2736" s="24" t="str">
        <f t="shared" si="220"/>
        <v/>
      </c>
      <c r="L2736" s="25" t="str">
        <f t="shared" si="216"/>
        <v/>
      </c>
      <c r="O2736" s="33" t="str">
        <f t="shared" si="217"/>
        <v/>
      </c>
      <c r="P2736" s="33" t="str">
        <f t="shared" si="218"/>
        <v/>
      </c>
    </row>
    <row r="2737" spans="9:16">
      <c r="I2737" s="23" t="str">
        <f>_xlfn.IFNA(VLOOKUP(A2737,A2738:$H$3524,8,0),"")</f>
        <v/>
      </c>
      <c r="J2737" s="40" t="str">
        <f t="shared" si="219"/>
        <v/>
      </c>
      <c r="K2737" s="24" t="str">
        <f t="shared" si="220"/>
        <v/>
      </c>
      <c r="L2737" s="25" t="str">
        <f t="shared" si="216"/>
        <v/>
      </c>
      <c r="O2737" s="33" t="str">
        <f t="shared" si="217"/>
        <v/>
      </c>
      <c r="P2737" s="33" t="str">
        <f t="shared" si="218"/>
        <v/>
      </c>
    </row>
    <row r="2738" spans="9:16">
      <c r="I2738" s="23" t="str">
        <f>_xlfn.IFNA(VLOOKUP(A2738,A2739:$H$3524,8,0),"")</f>
        <v/>
      </c>
      <c r="J2738" s="40" t="str">
        <f t="shared" si="219"/>
        <v/>
      </c>
      <c r="K2738" s="24" t="str">
        <f t="shared" si="220"/>
        <v/>
      </c>
      <c r="L2738" s="25" t="str">
        <f t="shared" si="216"/>
        <v/>
      </c>
      <c r="O2738" s="33" t="str">
        <f t="shared" si="217"/>
        <v/>
      </c>
      <c r="P2738" s="33" t="str">
        <f t="shared" si="218"/>
        <v/>
      </c>
    </row>
    <row r="2739" spans="9:16">
      <c r="I2739" s="23" t="str">
        <f>_xlfn.IFNA(VLOOKUP(A2739,A2740:$H$3524,8,0),"")</f>
        <v/>
      </c>
      <c r="J2739" s="40" t="str">
        <f t="shared" si="219"/>
        <v/>
      </c>
      <c r="K2739" s="24" t="str">
        <f t="shared" si="220"/>
        <v/>
      </c>
      <c r="L2739" s="25" t="str">
        <f t="shared" si="216"/>
        <v/>
      </c>
      <c r="O2739" s="33" t="str">
        <f t="shared" si="217"/>
        <v/>
      </c>
      <c r="P2739" s="33" t="str">
        <f t="shared" si="218"/>
        <v/>
      </c>
    </row>
    <row r="2740" spans="9:16">
      <c r="I2740" s="23" t="str">
        <f>_xlfn.IFNA(VLOOKUP(A2740,A2741:$H$3524,8,0),"")</f>
        <v/>
      </c>
      <c r="J2740" s="40" t="str">
        <f t="shared" si="219"/>
        <v/>
      </c>
      <c r="K2740" s="24" t="str">
        <f t="shared" si="220"/>
        <v/>
      </c>
      <c r="L2740" s="25" t="str">
        <f t="shared" si="216"/>
        <v/>
      </c>
      <c r="O2740" s="33" t="str">
        <f t="shared" si="217"/>
        <v/>
      </c>
      <c r="P2740" s="33" t="str">
        <f t="shared" si="218"/>
        <v/>
      </c>
    </row>
    <row r="2741" spans="9:16">
      <c r="I2741" s="23" t="str">
        <f>_xlfn.IFNA(VLOOKUP(A2741,A2742:$H$3524,8,0),"")</f>
        <v/>
      </c>
      <c r="J2741" s="40" t="str">
        <f t="shared" si="219"/>
        <v/>
      </c>
      <c r="K2741" s="24" t="str">
        <f t="shared" si="220"/>
        <v/>
      </c>
      <c r="L2741" s="25" t="str">
        <f t="shared" si="216"/>
        <v/>
      </c>
      <c r="O2741" s="33" t="str">
        <f t="shared" si="217"/>
        <v/>
      </c>
      <c r="P2741" s="33" t="str">
        <f t="shared" si="218"/>
        <v/>
      </c>
    </row>
    <row r="2742" spans="9:16">
      <c r="I2742" s="23" t="str">
        <f>_xlfn.IFNA(VLOOKUP(A2742,A2743:$H$3524,8,0),"")</f>
        <v/>
      </c>
      <c r="J2742" s="40" t="str">
        <f t="shared" si="219"/>
        <v/>
      </c>
      <c r="K2742" s="24" t="str">
        <f t="shared" si="220"/>
        <v/>
      </c>
      <c r="L2742" s="25" t="str">
        <f t="shared" si="216"/>
        <v/>
      </c>
      <c r="O2742" s="33" t="str">
        <f t="shared" si="217"/>
        <v/>
      </c>
      <c r="P2742" s="33" t="str">
        <f t="shared" si="218"/>
        <v/>
      </c>
    </row>
    <row r="2743" spans="9:16">
      <c r="I2743" s="23" t="str">
        <f>_xlfn.IFNA(VLOOKUP(A2743,A2744:$H$3524,8,0),"")</f>
        <v/>
      </c>
      <c r="J2743" s="40" t="str">
        <f t="shared" si="219"/>
        <v/>
      </c>
      <c r="K2743" s="24" t="str">
        <f t="shared" si="220"/>
        <v/>
      </c>
      <c r="L2743" s="25" t="str">
        <f t="shared" ref="L2743:L2806" si="221">IF(K2743="","",IF(B2743="Break","Break",IF(K2743&lt;&gt;0,"Work Finished",IF(B2743="OFF","Work Finished",IF(I2743="","Working","Work Finished")))))</f>
        <v/>
      </c>
      <c r="O2743" s="33" t="str">
        <f t="shared" ref="O2743:O2806" si="222">IF(AND(J2743="",M2743="",N2743=""),"",J2743-M2743-N2743)</f>
        <v/>
      </c>
      <c r="P2743" s="33" t="str">
        <f t="shared" ref="P2743:P2806" si="223">IF(HOUR(H2743)=0,"",HOUR(H2743))</f>
        <v/>
      </c>
    </row>
    <row r="2744" spans="9:16">
      <c r="I2744" s="23" t="str">
        <f>_xlfn.IFNA(VLOOKUP(A2744,A2745:$H$3524,8,0),"")</f>
        <v/>
      </c>
      <c r="J2744" s="40" t="str">
        <f t="shared" si="219"/>
        <v/>
      </c>
      <c r="K2744" s="24" t="str">
        <f t="shared" si="220"/>
        <v/>
      </c>
      <c r="L2744" s="25" t="str">
        <f t="shared" si="221"/>
        <v/>
      </c>
      <c r="O2744" s="33" t="str">
        <f t="shared" si="222"/>
        <v/>
      </c>
      <c r="P2744" s="33" t="str">
        <f t="shared" si="223"/>
        <v/>
      </c>
    </row>
    <row r="2745" spans="9:16">
      <c r="I2745" s="23" t="str">
        <f>_xlfn.IFNA(VLOOKUP(A2745,A2746:$H$3524,8,0),"")</f>
        <v/>
      </c>
      <c r="J2745" s="40" t="str">
        <f t="shared" si="219"/>
        <v/>
      </c>
      <c r="K2745" s="24" t="str">
        <f t="shared" si="220"/>
        <v/>
      </c>
      <c r="L2745" s="25" t="str">
        <f t="shared" si="221"/>
        <v/>
      </c>
      <c r="O2745" s="33" t="str">
        <f t="shared" si="222"/>
        <v/>
      </c>
      <c r="P2745" s="33" t="str">
        <f t="shared" si="223"/>
        <v/>
      </c>
    </row>
    <row r="2746" spans="9:16">
      <c r="I2746" s="23" t="str">
        <f>_xlfn.IFNA(VLOOKUP(A2746,A2747:$H$3524,8,0),"")</f>
        <v/>
      </c>
      <c r="J2746" s="40" t="str">
        <f t="shared" si="219"/>
        <v/>
      </c>
      <c r="K2746" s="24" t="str">
        <f t="shared" si="220"/>
        <v/>
      </c>
      <c r="L2746" s="25" t="str">
        <f t="shared" si="221"/>
        <v/>
      </c>
      <c r="O2746" s="33" t="str">
        <f t="shared" si="222"/>
        <v/>
      </c>
      <c r="P2746" s="33" t="str">
        <f t="shared" si="223"/>
        <v/>
      </c>
    </row>
    <row r="2747" spans="9:16">
      <c r="I2747" s="23" t="str">
        <f>_xlfn.IFNA(VLOOKUP(A2747,A2748:$H$3524,8,0),"")</f>
        <v/>
      </c>
      <c r="J2747" s="40" t="str">
        <f t="shared" si="219"/>
        <v/>
      </c>
      <c r="K2747" s="24" t="str">
        <f t="shared" si="220"/>
        <v/>
      </c>
      <c r="L2747" s="25" t="str">
        <f t="shared" si="221"/>
        <v/>
      </c>
      <c r="O2747" s="33" t="str">
        <f t="shared" si="222"/>
        <v/>
      </c>
      <c r="P2747" s="33" t="str">
        <f t="shared" si="223"/>
        <v/>
      </c>
    </row>
    <row r="2748" spans="9:16">
      <c r="I2748" s="23" t="str">
        <f>_xlfn.IFNA(VLOOKUP(A2748,A2749:$H$3524,8,0),"")</f>
        <v/>
      </c>
      <c r="J2748" s="40" t="str">
        <f t="shared" si="219"/>
        <v/>
      </c>
      <c r="K2748" s="24" t="str">
        <f t="shared" si="220"/>
        <v/>
      </c>
      <c r="L2748" s="25" t="str">
        <f t="shared" si="221"/>
        <v/>
      </c>
      <c r="O2748" s="33" t="str">
        <f t="shared" si="222"/>
        <v/>
      </c>
      <c r="P2748" s="33" t="str">
        <f t="shared" si="223"/>
        <v/>
      </c>
    </row>
    <row r="2749" spans="9:16">
      <c r="I2749" s="23" t="str">
        <f>_xlfn.IFNA(VLOOKUP(A2749,A2750:$H$3524,8,0),"")</f>
        <v/>
      </c>
      <c r="J2749" s="40" t="str">
        <f t="shared" si="219"/>
        <v/>
      </c>
      <c r="K2749" s="24" t="str">
        <f t="shared" si="220"/>
        <v/>
      </c>
      <c r="L2749" s="25" t="str">
        <f t="shared" si="221"/>
        <v/>
      </c>
      <c r="O2749" s="33" t="str">
        <f t="shared" si="222"/>
        <v/>
      </c>
      <c r="P2749" s="33" t="str">
        <f t="shared" si="223"/>
        <v/>
      </c>
    </row>
    <row r="2750" spans="9:16">
      <c r="I2750" s="23" t="str">
        <f>_xlfn.IFNA(VLOOKUP(A2750,A2751:$H$3524,8,0),"")</f>
        <v/>
      </c>
      <c r="J2750" s="40" t="str">
        <f t="shared" si="219"/>
        <v/>
      </c>
      <c r="K2750" s="24" t="str">
        <f t="shared" si="220"/>
        <v/>
      </c>
      <c r="L2750" s="25" t="str">
        <f t="shared" si="221"/>
        <v/>
      </c>
      <c r="O2750" s="33" t="str">
        <f t="shared" si="222"/>
        <v/>
      </c>
      <c r="P2750" s="33" t="str">
        <f t="shared" si="223"/>
        <v/>
      </c>
    </row>
    <row r="2751" spans="9:16">
      <c r="I2751" s="23" t="str">
        <f>_xlfn.IFNA(VLOOKUP(A2751,A2752:$H$3524,8,0),"")</f>
        <v/>
      </c>
      <c r="J2751" s="40" t="str">
        <f t="shared" si="219"/>
        <v/>
      </c>
      <c r="K2751" s="24" t="str">
        <f t="shared" si="220"/>
        <v/>
      </c>
      <c r="L2751" s="25" t="str">
        <f t="shared" si="221"/>
        <v/>
      </c>
      <c r="O2751" s="33" t="str">
        <f t="shared" si="222"/>
        <v/>
      </c>
      <c r="P2751" s="33" t="str">
        <f t="shared" si="223"/>
        <v/>
      </c>
    </row>
    <row r="2752" spans="9:16">
      <c r="I2752" s="23" t="str">
        <f>_xlfn.IFNA(VLOOKUP(A2752,A2753:$H$3524,8,0),"")</f>
        <v/>
      </c>
      <c r="J2752" s="40" t="str">
        <f t="shared" si="219"/>
        <v/>
      </c>
      <c r="K2752" s="24" t="str">
        <f t="shared" si="220"/>
        <v/>
      </c>
      <c r="L2752" s="25" t="str">
        <f t="shared" si="221"/>
        <v/>
      </c>
      <c r="O2752" s="33" t="str">
        <f t="shared" si="222"/>
        <v/>
      </c>
      <c r="P2752" s="33" t="str">
        <f t="shared" si="223"/>
        <v/>
      </c>
    </row>
    <row r="2753" spans="9:16">
      <c r="I2753" s="23" t="str">
        <f>_xlfn.IFNA(VLOOKUP(A2753,A2754:$H$3524,8,0),"")</f>
        <v/>
      </c>
      <c r="J2753" s="40" t="str">
        <f t="shared" si="219"/>
        <v/>
      </c>
      <c r="K2753" s="24" t="str">
        <f t="shared" si="220"/>
        <v/>
      </c>
      <c r="L2753" s="25" t="str">
        <f t="shared" si="221"/>
        <v/>
      </c>
      <c r="O2753" s="33" t="str">
        <f t="shared" si="222"/>
        <v/>
      </c>
      <c r="P2753" s="33" t="str">
        <f t="shared" si="223"/>
        <v/>
      </c>
    </row>
    <row r="2754" spans="9:16">
      <c r="I2754" s="23" t="str">
        <f>_xlfn.IFNA(VLOOKUP(A2754,A2755:$H$3524,8,0),"")</f>
        <v/>
      </c>
      <c r="J2754" s="40" t="str">
        <f t="shared" si="219"/>
        <v/>
      </c>
      <c r="K2754" s="24" t="str">
        <f t="shared" si="220"/>
        <v/>
      </c>
      <c r="L2754" s="25" t="str">
        <f t="shared" si="221"/>
        <v/>
      </c>
      <c r="O2754" s="33" t="str">
        <f t="shared" si="222"/>
        <v/>
      </c>
      <c r="P2754" s="33" t="str">
        <f t="shared" si="223"/>
        <v/>
      </c>
    </row>
    <row r="2755" spans="9:16">
      <c r="I2755" s="23" t="str">
        <f>_xlfn.IFNA(VLOOKUP(A2755,A2756:$H$3524,8,0),"")</f>
        <v/>
      </c>
      <c r="J2755" s="40" t="str">
        <f t="shared" si="219"/>
        <v/>
      </c>
      <c r="K2755" s="24" t="str">
        <f t="shared" si="220"/>
        <v/>
      </c>
      <c r="L2755" s="25" t="str">
        <f t="shared" si="221"/>
        <v/>
      </c>
      <c r="O2755" s="33" t="str">
        <f t="shared" si="222"/>
        <v/>
      </c>
      <c r="P2755" s="33" t="str">
        <f t="shared" si="223"/>
        <v/>
      </c>
    </row>
    <row r="2756" spans="9:16">
      <c r="I2756" s="23" t="str">
        <f>_xlfn.IFNA(VLOOKUP(A2756,A2757:$H$3524,8,0),"")</f>
        <v/>
      </c>
      <c r="J2756" s="40" t="str">
        <f t="shared" si="219"/>
        <v/>
      </c>
      <c r="K2756" s="24" t="str">
        <f t="shared" si="220"/>
        <v/>
      </c>
      <c r="L2756" s="25" t="str">
        <f t="shared" si="221"/>
        <v/>
      </c>
      <c r="O2756" s="33" t="str">
        <f t="shared" si="222"/>
        <v/>
      </c>
      <c r="P2756" s="33" t="str">
        <f t="shared" si="223"/>
        <v/>
      </c>
    </row>
    <row r="2757" spans="9:16">
      <c r="I2757" s="23" t="str">
        <f>_xlfn.IFNA(VLOOKUP(A2757,A2758:$H$3524,8,0),"")</f>
        <v/>
      </c>
      <c r="J2757" s="40" t="str">
        <f t="shared" si="219"/>
        <v/>
      </c>
      <c r="K2757" s="24" t="str">
        <f t="shared" si="220"/>
        <v/>
      </c>
      <c r="L2757" s="25" t="str">
        <f t="shared" si="221"/>
        <v/>
      </c>
      <c r="O2757" s="33" t="str">
        <f t="shared" si="222"/>
        <v/>
      </c>
      <c r="P2757" s="33" t="str">
        <f t="shared" si="223"/>
        <v/>
      </c>
    </row>
    <row r="2758" spans="9:16">
      <c r="I2758" s="23" t="str">
        <f>_xlfn.IFNA(VLOOKUP(A2758,A2759:$H$3524,8,0),"")</f>
        <v/>
      </c>
      <c r="J2758" s="40" t="str">
        <f t="shared" ref="J2758:J2821" si="224">IF(B2758="OFF",0,IF(AND(D2758&lt;&gt;"",E2758&lt;&gt;""),E2758-D2758+1,""))</f>
        <v/>
      </c>
      <c r="K2758" s="24" t="str">
        <f t="shared" si="220"/>
        <v/>
      </c>
      <c r="L2758" s="25" t="str">
        <f t="shared" si="221"/>
        <v/>
      </c>
      <c r="O2758" s="33" t="str">
        <f t="shared" si="222"/>
        <v/>
      </c>
      <c r="P2758" s="33" t="str">
        <f t="shared" si="223"/>
        <v/>
      </c>
    </row>
    <row r="2759" spans="9:16">
      <c r="I2759" s="23" t="str">
        <f>_xlfn.IFNA(VLOOKUP(A2759,A2760:$H$3524,8,0),"")</f>
        <v/>
      </c>
      <c r="J2759" s="40" t="str">
        <f t="shared" si="224"/>
        <v/>
      </c>
      <c r="K2759" s="24" t="str">
        <f t="shared" si="220"/>
        <v/>
      </c>
      <c r="L2759" s="25" t="str">
        <f t="shared" si="221"/>
        <v/>
      </c>
      <c r="O2759" s="33" t="str">
        <f t="shared" si="222"/>
        <v/>
      </c>
      <c r="P2759" s="33" t="str">
        <f t="shared" si="223"/>
        <v/>
      </c>
    </row>
    <row r="2760" spans="9:16">
      <c r="I2760" s="23" t="str">
        <f>_xlfn.IFNA(VLOOKUP(A2760,A2761:$H$3524,8,0),"")</f>
        <v/>
      </c>
      <c r="J2760" s="40" t="str">
        <f t="shared" si="224"/>
        <v/>
      </c>
      <c r="K2760" s="24" t="str">
        <f t="shared" si="220"/>
        <v/>
      </c>
      <c r="L2760" s="25" t="str">
        <f t="shared" si="221"/>
        <v/>
      </c>
      <c r="O2760" s="33" t="str">
        <f t="shared" si="222"/>
        <v/>
      </c>
      <c r="P2760" s="33" t="str">
        <f t="shared" si="223"/>
        <v/>
      </c>
    </row>
    <row r="2761" spans="9:16">
      <c r="I2761" s="23" t="str">
        <f>_xlfn.IFNA(VLOOKUP(A2761,A2762:$H$3524,8,0),"")</f>
        <v/>
      </c>
      <c r="J2761" s="40" t="str">
        <f t="shared" si="224"/>
        <v/>
      </c>
      <c r="K2761" s="24" t="str">
        <f t="shared" si="220"/>
        <v/>
      </c>
      <c r="L2761" s="25" t="str">
        <f t="shared" si="221"/>
        <v/>
      </c>
      <c r="O2761" s="33" t="str">
        <f t="shared" si="222"/>
        <v/>
      </c>
      <c r="P2761" s="33" t="str">
        <f t="shared" si="223"/>
        <v/>
      </c>
    </row>
    <row r="2762" spans="9:16">
      <c r="I2762" s="23" t="str">
        <f>_xlfn.IFNA(VLOOKUP(A2762,A2763:$H$3524,8,0),"")</f>
        <v/>
      </c>
      <c r="J2762" s="40" t="str">
        <f t="shared" si="224"/>
        <v/>
      </c>
      <c r="K2762" s="24" t="str">
        <f t="shared" si="220"/>
        <v/>
      </c>
      <c r="L2762" s="25" t="str">
        <f t="shared" si="221"/>
        <v/>
      </c>
      <c r="O2762" s="33" t="str">
        <f t="shared" si="222"/>
        <v/>
      </c>
      <c r="P2762" s="33" t="str">
        <f t="shared" si="223"/>
        <v/>
      </c>
    </row>
    <row r="2763" spans="9:16">
      <c r="I2763" s="23" t="str">
        <f>_xlfn.IFNA(VLOOKUP(A2763,A2764:$H$3524,8,0),"")</f>
        <v/>
      </c>
      <c r="J2763" s="40" t="str">
        <f t="shared" si="224"/>
        <v/>
      </c>
      <c r="K2763" s="24" t="str">
        <f t="shared" si="220"/>
        <v/>
      </c>
      <c r="L2763" s="25" t="str">
        <f t="shared" si="221"/>
        <v/>
      </c>
      <c r="O2763" s="33" t="str">
        <f t="shared" si="222"/>
        <v/>
      </c>
      <c r="P2763" s="33" t="str">
        <f t="shared" si="223"/>
        <v/>
      </c>
    </row>
    <row r="2764" spans="9:16">
      <c r="I2764" s="23" t="str">
        <f>_xlfn.IFNA(VLOOKUP(A2764,A2765:$H$3524,8,0),"")</f>
        <v/>
      </c>
      <c r="J2764" s="40" t="str">
        <f t="shared" si="224"/>
        <v/>
      </c>
      <c r="K2764" s="24" t="str">
        <f t="shared" si="220"/>
        <v/>
      </c>
      <c r="L2764" s="25" t="str">
        <f t="shared" si="221"/>
        <v/>
      </c>
      <c r="O2764" s="33" t="str">
        <f t="shared" si="222"/>
        <v/>
      </c>
      <c r="P2764" s="33" t="str">
        <f t="shared" si="223"/>
        <v/>
      </c>
    </row>
    <row r="2765" spans="9:16">
      <c r="I2765" s="23" t="str">
        <f>_xlfn.IFNA(VLOOKUP(A2765,A2766:$H$3524,8,0),"")</f>
        <v/>
      </c>
      <c r="J2765" s="40" t="str">
        <f t="shared" si="224"/>
        <v/>
      </c>
      <c r="K2765" s="24" t="str">
        <f t="shared" si="220"/>
        <v/>
      </c>
      <c r="L2765" s="25" t="str">
        <f t="shared" si="221"/>
        <v/>
      </c>
      <c r="O2765" s="33" t="str">
        <f t="shared" si="222"/>
        <v/>
      </c>
      <c r="P2765" s="33" t="str">
        <f t="shared" si="223"/>
        <v/>
      </c>
    </row>
    <row r="2766" spans="9:16">
      <c r="I2766" s="23" t="str">
        <f>_xlfn.IFNA(VLOOKUP(A2766,A2767:$H$3524,8,0),"")</f>
        <v/>
      </c>
      <c r="J2766" s="40" t="str">
        <f t="shared" si="224"/>
        <v/>
      </c>
      <c r="K2766" s="24" t="str">
        <f t="shared" si="220"/>
        <v/>
      </c>
      <c r="L2766" s="25" t="str">
        <f t="shared" si="221"/>
        <v/>
      </c>
      <c r="O2766" s="33" t="str">
        <f t="shared" si="222"/>
        <v/>
      </c>
      <c r="P2766" s="33" t="str">
        <f t="shared" si="223"/>
        <v/>
      </c>
    </row>
    <row r="2767" spans="9:16">
      <c r="I2767" s="23" t="str">
        <f>_xlfn.IFNA(VLOOKUP(A2767,A2768:$H$3524,8,0),"")</f>
        <v/>
      </c>
      <c r="J2767" s="40" t="str">
        <f t="shared" si="224"/>
        <v/>
      </c>
      <c r="K2767" s="24" t="str">
        <f t="shared" si="220"/>
        <v/>
      </c>
      <c r="L2767" s="25" t="str">
        <f t="shared" si="221"/>
        <v/>
      </c>
      <c r="O2767" s="33" t="str">
        <f t="shared" si="222"/>
        <v/>
      </c>
      <c r="P2767" s="33" t="str">
        <f t="shared" si="223"/>
        <v/>
      </c>
    </row>
    <row r="2768" spans="9:16">
      <c r="I2768" s="23" t="str">
        <f>_xlfn.IFNA(VLOOKUP(A2768,A2769:$H$3524,8,0),"")</f>
        <v/>
      </c>
      <c r="J2768" s="40" t="str">
        <f t="shared" si="224"/>
        <v/>
      </c>
      <c r="K2768" s="24" t="str">
        <f t="shared" si="220"/>
        <v/>
      </c>
      <c r="L2768" s="25" t="str">
        <f t="shared" si="221"/>
        <v/>
      </c>
      <c r="O2768" s="33" t="str">
        <f t="shared" si="222"/>
        <v/>
      </c>
      <c r="P2768" s="33" t="str">
        <f t="shared" si="223"/>
        <v/>
      </c>
    </row>
    <row r="2769" spans="9:16">
      <c r="I2769" s="23" t="str">
        <f>_xlfn.IFNA(VLOOKUP(A2769,A2770:$H$3524,8,0),"")</f>
        <v/>
      </c>
      <c r="J2769" s="40" t="str">
        <f t="shared" si="224"/>
        <v/>
      </c>
      <c r="K2769" s="24" t="str">
        <f t="shared" si="220"/>
        <v/>
      </c>
      <c r="L2769" s="25" t="str">
        <f t="shared" si="221"/>
        <v/>
      </c>
      <c r="O2769" s="33" t="str">
        <f t="shared" si="222"/>
        <v/>
      </c>
      <c r="P2769" s="33" t="str">
        <f t="shared" si="223"/>
        <v/>
      </c>
    </row>
    <row r="2770" spans="9:16">
      <c r="I2770" s="23" t="str">
        <f>_xlfn.IFNA(VLOOKUP(A2770,A2771:$H$3524,8,0),"")</f>
        <v/>
      </c>
      <c r="J2770" s="40" t="str">
        <f t="shared" si="224"/>
        <v/>
      </c>
      <c r="K2770" s="24" t="str">
        <f t="shared" si="220"/>
        <v/>
      </c>
      <c r="L2770" s="25" t="str">
        <f t="shared" si="221"/>
        <v/>
      </c>
      <c r="O2770" s="33" t="str">
        <f t="shared" si="222"/>
        <v/>
      </c>
      <c r="P2770" s="33" t="str">
        <f t="shared" si="223"/>
        <v/>
      </c>
    </row>
    <row r="2771" spans="9:16">
      <c r="I2771" s="23" t="str">
        <f>_xlfn.IFNA(VLOOKUP(A2771,A2772:$H$3524,8,0),"")</f>
        <v/>
      </c>
      <c r="J2771" s="40" t="str">
        <f t="shared" si="224"/>
        <v/>
      </c>
      <c r="K2771" s="24" t="str">
        <f t="shared" si="220"/>
        <v/>
      </c>
      <c r="L2771" s="25" t="str">
        <f t="shared" si="221"/>
        <v/>
      </c>
      <c r="O2771" s="33" t="str">
        <f t="shared" si="222"/>
        <v/>
      </c>
      <c r="P2771" s="33" t="str">
        <f t="shared" si="223"/>
        <v/>
      </c>
    </row>
    <row r="2772" spans="9:16">
      <c r="I2772" s="23" t="str">
        <f>_xlfn.IFNA(VLOOKUP(A2772,A2773:$H$3524,8,0),"")</f>
        <v/>
      </c>
      <c r="J2772" s="40" t="str">
        <f t="shared" si="224"/>
        <v/>
      </c>
      <c r="K2772" s="24" t="str">
        <f t="shared" si="220"/>
        <v/>
      </c>
      <c r="L2772" s="25" t="str">
        <f t="shared" si="221"/>
        <v/>
      </c>
      <c r="O2772" s="33" t="str">
        <f t="shared" si="222"/>
        <v/>
      </c>
      <c r="P2772" s="33" t="str">
        <f t="shared" si="223"/>
        <v/>
      </c>
    </row>
    <row r="2773" spans="9:16">
      <c r="I2773" s="23" t="str">
        <f>_xlfn.IFNA(VLOOKUP(A2773,A2774:$H$3524,8,0),"")</f>
        <v/>
      </c>
      <c r="J2773" s="40" t="str">
        <f t="shared" si="224"/>
        <v/>
      </c>
      <c r="K2773" s="24" t="str">
        <f t="shared" si="220"/>
        <v/>
      </c>
      <c r="L2773" s="25" t="str">
        <f t="shared" si="221"/>
        <v/>
      </c>
      <c r="O2773" s="33" t="str">
        <f t="shared" si="222"/>
        <v/>
      </c>
      <c r="P2773" s="33" t="str">
        <f t="shared" si="223"/>
        <v/>
      </c>
    </row>
    <row r="2774" spans="9:16">
      <c r="I2774" s="23" t="str">
        <f>_xlfn.IFNA(VLOOKUP(A2774,A2775:$H$3524,8,0),"")</f>
        <v/>
      </c>
      <c r="J2774" s="40" t="str">
        <f t="shared" si="224"/>
        <v/>
      </c>
      <c r="K2774" s="24" t="str">
        <f t="shared" ref="K2774:K2837" si="225">IF(H2774="","",IFERROR((I2774-H2774)*24,0))</f>
        <v/>
      </c>
      <c r="L2774" s="25" t="str">
        <f t="shared" si="221"/>
        <v/>
      </c>
      <c r="O2774" s="33" t="str">
        <f t="shared" si="222"/>
        <v/>
      </c>
      <c r="P2774" s="33" t="str">
        <f t="shared" si="223"/>
        <v/>
      </c>
    </row>
    <row r="2775" spans="9:16">
      <c r="I2775" s="23" t="str">
        <f>_xlfn.IFNA(VLOOKUP(A2775,A2776:$H$3524,8,0),"")</f>
        <v/>
      </c>
      <c r="J2775" s="40" t="str">
        <f t="shared" si="224"/>
        <v/>
      </c>
      <c r="K2775" s="24" t="str">
        <f t="shared" si="225"/>
        <v/>
      </c>
      <c r="L2775" s="25" t="str">
        <f t="shared" si="221"/>
        <v/>
      </c>
      <c r="O2775" s="33" t="str">
        <f t="shared" si="222"/>
        <v/>
      </c>
      <c r="P2775" s="33" t="str">
        <f t="shared" si="223"/>
        <v/>
      </c>
    </row>
    <row r="2776" spans="9:16">
      <c r="I2776" s="23" t="str">
        <f>_xlfn.IFNA(VLOOKUP(A2776,A2777:$H$3524,8,0),"")</f>
        <v/>
      </c>
      <c r="J2776" s="40" t="str">
        <f t="shared" si="224"/>
        <v/>
      </c>
      <c r="K2776" s="24" t="str">
        <f t="shared" si="225"/>
        <v/>
      </c>
      <c r="L2776" s="25" t="str">
        <f t="shared" si="221"/>
        <v/>
      </c>
      <c r="O2776" s="33" t="str">
        <f t="shared" si="222"/>
        <v/>
      </c>
      <c r="P2776" s="33" t="str">
        <f t="shared" si="223"/>
        <v/>
      </c>
    </row>
    <row r="2777" spans="9:16">
      <c r="I2777" s="23" t="str">
        <f>_xlfn.IFNA(VLOOKUP(A2777,A2778:$H$3524,8,0),"")</f>
        <v/>
      </c>
      <c r="J2777" s="40" t="str">
        <f t="shared" si="224"/>
        <v/>
      </c>
      <c r="K2777" s="24" t="str">
        <f t="shared" si="225"/>
        <v/>
      </c>
      <c r="L2777" s="25" t="str">
        <f t="shared" si="221"/>
        <v/>
      </c>
      <c r="O2777" s="33" t="str">
        <f t="shared" si="222"/>
        <v/>
      </c>
      <c r="P2777" s="33" t="str">
        <f t="shared" si="223"/>
        <v/>
      </c>
    </row>
    <row r="2778" spans="9:16">
      <c r="I2778" s="23" t="str">
        <f>_xlfn.IFNA(VLOOKUP(A2778,A2779:$H$3524,8,0),"")</f>
        <v/>
      </c>
      <c r="J2778" s="40" t="str">
        <f t="shared" si="224"/>
        <v/>
      </c>
      <c r="K2778" s="24" t="str">
        <f t="shared" si="225"/>
        <v/>
      </c>
      <c r="L2778" s="25" t="str">
        <f t="shared" si="221"/>
        <v/>
      </c>
      <c r="O2778" s="33" t="str">
        <f t="shared" si="222"/>
        <v/>
      </c>
      <c r="P2778" s="33" t="str">
        <f t="shared" si="223"/>
        <v/>
      </c>
    </row>
    <row r="2779" spans="9:16">
      <c r="I2779" s="23" t="str">
        <f>_xlfn.IFNA(VLOOKUP(A2779,A2780:$H$3524,8,0),"")</f>
        <v/>
      </c>
      <c r="J2779" s="40" t="str">
        <f t="shared" si="224"/>
        <v/>
      </c>
      <c r="K2779" s="24" t="str">
        <f t="shared" si="225"/>
        <v/>
      </c>
      <c r="L2779" s="25" t="str">
        <f t="shared" si="221"/>
        <v/>
      </c>
      <c r="O2779" s="33" t="str">
        <f t="shared" si="222"/>
        <v/>
      </c>
      <c r="P2779" s="33" t="str">
        <f t="shared" si="223"/>
        <v/>
      </c>
    </row>
    <row r="2780" spans="9:16">
      <c r="I2780" s="23" t="str">
        <f>_xlfn.IFNA(VLOOKUP(A2780,A2781:$H$3524,8,0),"")</f>
        <v/>
      </c>
      <c r="J2780" s="40" t="str">
        <f t="shared" si="224"/>
        <v/>
      </c>
      <c r="K2780" s="24" t="str">
        <f t="shared" si="225"/>
        <v/>
      </c>
      <c r="L2780" s="25" t="str">
        <f t="shared" si="221"/>
        <v/>
      </c>
      <c r="O2780" s="33" t="str">
        <f t="shared" si="222"/>
        <v/>
      </c>
      <c r="P2780" s="33" t="str">
        <f t="shared" si="223"/>
        <v/>
      </c>
    </row>
    <row r="2781" spans="9:16">
      <c r="I2781" s="23" t="str">
        <f>_xlfn.IFNA(VLOOKUP(A2781,A2782:$H$3524,8,0),"")</f>
        <v/>
      </c>
      <c r="J2781" s="40" t="str">
        <f t="shared" si="224"/>
        <v/>
      </c>
      <c r="K2781" s="24" t="str">
        <f t="shared" si="225"/>
        <v/>
      </c>
      <c r="L2781" s="25" t="str">
        <f t="shared" si="221"/>
        <v/>
      </c>
      <c r="O2781" s="33" t="str">
        <f t="shared" si="222"/>
        <v/>
      </c>
      <c r="P2781" s="33" t="str">
        <f t="shared" si="223"/>
        <v/>
      </c>
    </row>
    <row r="2782" spans="9:16">
      <c r="I2782" s="23" t="str">
        <f>_xlfn.IFNA(VLOOKUP(A2782,A2783:$H$3524,8,0),"")</f>
        <v/>
      </c>
      <c r="J2782" s="40" t="str">
        <f t="shared" si="224"/>
        <v/>
      </c>
      <c r="K2782" s="24" t="str">
        <f t="shared" si="225"/>
        <v/>
      </c>
      <c r="L2782" s="25" t="str">
        <f t="shared" si="221"/>
        <v/>
      </c>
      <c r="O2782" s="33" t="str">
        <f t="shared" si="222"/>
        <v/>
      </c>
      <c r="P2782" s="33" t="str">
        <f t="shared" si="223"/>
        <v/>
      </c>
    </row>
    <row r="2783" spans="9:16">
      <c r="I2783" s="23" t="str">
        <f>_xlfn.IFNA(VLOOKUP(A2783,A2784:$H$3524,8,0),"")</f>
        <v/>
      </c>
      <c r="J2783" s="40" t="str">
        <f t="shared" si="224"/>
        <v/>
      </c>
      <c r="K2783" s="24" t="str">
        <f t="shared" si="225"/>
        <v/>
      </c>
      <c r="L2783" s="25" t="str">
        <f t="shared" si="221"/>
        <v/>
      </c>
      <c r="O2783" s="33" t="str">
        <f t="shared" si="222"/>
        <v/>
      </c>
      <c r="P2783" s="33" t="str">
        <f t="shared" si="223"/>
        <v/>
      </c>
    </row>
    <row r="2784" spans="9:16">
      <c r="I2784" s="23" t="str">
        <f>_xlfn.IFNA(VLOOKUP(A2784,A2785:$H$3524,8,0),"")</f>
        <v/>
      </c>
      <c r="J2784" s="40" t="str">
        <f t="shared" si="224"/>
        <v/>
      </c>
      <c r="K2784" s="24" t="str">
        <f t="shared" si="225"/>
        <v/>
      </c>
      <c r="L2784" s="25" t="str">
        <f t="shared" si="221"/>
        <v/>
      </c>
      <c r="O2784" s="33" t="str">
        <f t="shared" si="222"/>
        <v/>
      </c>
      <c r="P2784" s="33" t="str">
        <f t="shared" si="223"/>
        <v/>
      </c>
    </row>
    <row r="2785" spans="9:16">
      <c r="I2785" s="23" t="str">
        <f>_xlfn.IFNA(VLOOKUP(A2785,A2786:$H$3524,8,0),"")</f>
        <v/>
      </c>
      <c r="J2785" s="40" t="str">
        <f t="shared" si="224"/>
        <v/>
      </c>
      <c r="K2785" s="24" t="str">
        <f t="shared" si="225"/>
        <v/>
      </c>
      <c r="L2785" s="25" t="str">
        <f t="shared" si="221"/>
        <v/>
      </c>
      <c r="O2785" s="33" t="str">
        <f t="shared" si="222"/>
        <v/>
      </c>
      <c r="P2785" s="33" t="str">
        <f t="shared" si="223"/>
        <v/>
      </c>
    </row>
    <row r="2786" spans="9:16">
      <c r="I2786" s="23" t="str">
        <f>_xlfn.IFNA(VLOOKUP(A2786,A2787:$H$3524,8,0),"")</f>
        <v/>
      </c>
      <c r="J2786" s="40" t="str">
        <f t="shared" si="224"/>
        <v/>
      </c>
      <c r="K2786" s="24" t="str">
        <f t="shared" si="225"/>
        <v/>
      </c>
      <c r="L2786" s="25" t="str">
        <f t="shared" si="221"/>
        <v/>
      </c>
      <c r="O2786" s="33" t="str">
        <f t="shared" si="222"/>
        <v/>
      </c>
      <c r="P2786" s="33" t="str">
        <f t="shared" si="223"/>
        <v/>
      </c>
    </row>
    <row r="2787" spans="9:16">
      <c r="I2787" s="23" t="str">
        <f>_xlfn.IFNA(VLOOKUP(A2787,A2788:$H$3524,8,0),"")</f>
        <v/>
      </c>
      <c r="J2787" s="40" t="str">
        <f t="shared" si="224"/>
        <v/>
      </c>
      <c r="K2787" s="24" t="str">
        <f t="shared" si="225"/>
        <v/>
      </c>
      <c r="L2787" s="25" t="str">
        <f t="shared" si="221"/>
        <v/>
      </c>
      <c r="O2787" s="33" t="str">
        <f t="shared" si="222"/>
        <v/>
      </c>
      <c r="P2787" s="33" t="str">
        <f t="shared" si="223"/>
        <v/>
      </c>
    </row>
    <row r="2788" spans="9:16">
      <c r="I2788" s="23" t="str">
        <f>_xlfn.IFNA(VLOOKUP(A2788,A2789:$H$3524,8,0),"")</f>
        <v/>
      </c>
      <c r="J2788" s="40" t="str">
        <f t="shared" si="224"/>
        <v/>
      </c>
      <c r="K2788" s="24" t="str">
        <f t="shared" si="225"/>
        <v/>
      </c>
      <c r="L2788" s="25" t="str">
        <f t="shared" si="221"/>
        <v/>
      </c>
      <c r="O2788" s="33" t="str">
        <f t="shared" si="222"/>
        <v/>
      </c>
      <c r="P2788" s="33" t="str">
        <f t="shared" si="223"/>
        <v/>
      </c>
    </row>
    <row r="2789" spans="9:16">
      <c r="I2789" s="23" t="str">
        <f>_xlfn.IFNA(VLOOKUP(A2789,A2790:$H$3524,8,0),"")</f>
        <v/>
      </c>
      <c r="J2789" s="40" t="str">
        <f t="shared" si="224"/>
        <v/>
      </c>
      <c r="K2789" s="24" t="str">
        <f t="shared" si="225"/>
        <v/>
      </c>
      <c r="L2789" s="25" t="str">
        <f t="shared" si="221"/>
        <v/>
      </c>
      <c r="O2789" s="33" t="str">
        <f t="shared" si="222"/>
        <v/>
      </c>
      <c r="P2789" s="33" t="str">
        <f t="shared" si="223"/>
        <v/>
      </c>
    </row>
    <row r="2790" spans="9:16">
      <c r="I2790" s="23" t="str">
        <f>_xlfn.IFNA(VLOOKUP(A2790,A2791:$H$3524,8,0),"")</f>
        <v/>
      </c>
      <c r="J2790" s="40" t="str">
        <f t="shared" si="224"/>
        <v/>
      </c>
      <c r="K2790" s="24" t="str">
        <f t="shared" si="225"/>
        <v/>
      </c>
      <c r="L2790" s="25" t="str">
        <f t="shared" si="221"/>
        <v/>
      </c>
      <c r="O2790" s="33" t="str">
        <f t="shared" si="222"/>
        <v/>
      </c>
      <c r="P2790" s="33" t="str">
        <f t="shared" si="223"/>
        <v/>
      </c>
    </row>
    <row r="2791" spans="9:16">
      <c r="I2791" s="23" t="str">
        <f>_xlfn.IFNA(VLOOKUP(A2791,A2792:$H$3524,8,0),"")</f>
        <v/>
      </c>
      <c r="J2791" s="40" t="str">
        <f t="shared" si="224"/>
        <v/>
      </c>
      <c r="K2791" s="24" t="str">
        <f t="shared" si="225"/>
        <v/>
      </c>
      <c r="L2791" s="25" t="str">
        <f t="shared" si="221"/>
        <v/>
      </c>
      <c r="O2791" s="33" t="str">
        <f t="shared" si="222"/>
        <v/>
      </c>
      <c r="P2791" s="33" t="str">
        <f t="shared" si="223"/>
        <v/>
      </c>
    </row>
    <row r="2792" spans="9:16">
      <c r="I2792" s="23" t="str">
        <f>_xlfn.IFNA(VLOOKUP(A2792,A2793:$H$3524,8,0),"")</f>
        <v/>
      </c>
      <c r="J2792" s="40" t="str">
        <f t="shared" si="224"/>
        <v/>
      </c>
      <c r="K2792" s="24" t="str">
        <f t="shared" si="225"/>
        <v/>
      </c>
      <c r="L2792" s="25" t="str">
        <f t="shared" si="221"/>
        <v/>
      </c>
      <c r="O2792" s="33" t="str">
        <f t="shared" si="222"/>
        <v/>
      </c>
      <c r="P2792" s="33" t="str">
        <f t="shared" si="223"/>
        <v/>
      </c>
    </row>
    <row r="2793" spans="9:16">
      <c r="I2793" s="23" t="str">
        <f>_xlfn.IFNA(VLOOKUP(A2793,A2794:$H$3524,8,0),"")</f>
        <v/>
      </c>
      <c r="J2793" s="40" t="str">
        <f t="shared" si="224"/>
        <v/>
      </c>
      <c r="K2793" s="24" t="str">
        <f t="shared" si="225"/>
        <v/>
      </c>
      <c r="L2793" s="25" t="str">
        <f t="shared" si="221"/>
        <v/>
      </c>
      <c r="O2793" s="33" t="str">
        <f t="shared" si="222"/>
        <v/>
      </c>
      <c r="P2793" s="33" t="str">
        <f t="shared" si="223"/>
        <v/>
      </c>
    </row>
    <row r="2794" spans="9:16">
      <c r="I2794" s="23" t="str">
        <f>_xlfn.IFNA(VLOOKUP(A2794,A2795:$H$3524,8,0),"")</f>
        <v/>
      </c>
      <c r="J2794" s="40" t="str">
        <f t="shared" si="224"/>
        <v/>
      </c>
      <c r="K2794" s="24" t="str">
        <f t="shared" si="225"/>
        <v/>
      </c>
      <c r="L2794" s="25" t="str">
        <f t="shared" si="221"/>
        <v/>
      </c>
      <c r="O2794" s="33" t="str">
        <f t="shared" si="222"/>
        <v/>
      </c>
      <c r="P2794" s="33" t="str">
        <f t="shared" si="223"/>
        <v/>
      </c>
    </row>
    <row r="2795" spans="9:16">
      <c r="I2795" s="23" t="str">
        <f>_xlfn.IFNA(VLOOKUP(A2795,A2796:$H$3524,8,0),"")</f>
        <v/>
      </c>
      <c r="J2795" s="40" t="str">
        <f t="shared" si="224"/>
        <v/>
      </c>
      <c r="K2795" s="24" t="str">
        <f t="shared" si="225"/>
        <v/>
      </c>
      <c r="L2795" s="25" t="str">
        <f t="shared" si="221"/>
        <v/>
      </c>
      <c r="O2795" s="33" t="str">
        <f t="shared" si="222"/>
        <v/>
      </c>
      <c r="P2795" s="33" t="str">
        <f t="shared" si="223"/>
        <v/>
      </c>
    </row>
    <row r="2796" spans="9:16">
      <c r="I2796" s="23" t="str">
        <f>_xlfn.IFNA(VLOOKUP(A2796,A2797:$H$3524,8,0),"")</f>
        <v/>
      </c>
      <c r="J2796" s="40" t="str">
        <f t="shared" si="224"/>
        <v/>
      </c>
      <c r="K2796" s="24" t="str">
        <f t="shared" si="225"/>
        <v/>
      </c>
      <c r="L2796" s="25" t="str">
        <f t="shared" si="221"/>
        <v/>
      </c>
      <c r="O2796" s="33" t="str">
        <f t="shared" si="222"/>
        <v/>
      </c>
      <c r="P2796" s="33" t="str">
        <f t="shared" si="223"/>
        <v/>
      </c>
    </row>
    <row r="2797" spans="9:16">
      <c r="I2797" s="23" t="str">
        <f>_xlfn.IFNA(VLOOKUP(A2797,A2798:$H$3524,8,0),"")</f>
        <v/>
      </c>
      <c r="J2797" s="40" t="str">
        <f t="shared" si="224"/>
        <v/>
      </c>
      <c r="K2797" s="24" t="str">
        <f t="shared" si="225"/>
        <v/>
      </c>
      <c r="L2797" s="25" t="str">
        <f t="shared" si="221"/>
        <v/>
      </c>
      <c r="O2797" s="33" t="str">
        <f t="shared" si="222"/>
        <v/>
      </c>
      <c r="P2797" s="33" t="str">
        <f t="shared" si="223"/>
        <v/>
      </c>
    </row>
    <row r="2798" spans="9:16">
      <c r="I2798" s="23" t="str">
        <f>_xlfn.IFNA(VLOOKUP(A2798,A2799:$H$3524,8,0),"")</f>
        <v/>
      </c>
      <c r="J2798" s="40" t="str">
        <f t="shared" si="224"/>
        <v/>
      </c>
      <c r="K2798" s="24" t="str">
        <f t="shared" si="225"/>
        <v/>
      </c>
      <c r="L2798" s="25" t="str">
        <f t="shared" si="221"/>
        <v/>
      </c>
      <c r="O2798" s="33" t="str">
        <f t="shared" si="222"/>
        <v/>
      </c>
      <c r="P2798" s="33" t="str">
        <f t="shared" si="223"/>
        <v/>
      </c>
    </row>
    <row r="2799" spans="9:16">
      <c r="I2799" s="23" t="str">
        <f>_xlfn.IFNA(VLOOKUP(A2799,A2800:$H$3524,8,0),"")</f>
        <v/>
      </c>
      <c r="J2799" s="40" t="str">
        <f t="shared" si="224"/>
        <v/>
      </c>
      <c r="K2799" s="24" t="str">
        <f t="shared" si="225"/>
        <v/>
      </c>
      <c r="L2799" s="25" t="str">
        <f t="shared" si="221"/>
        <v/>
      </c>
      <c r="O2799" s="33" t="str">
        <f t="shared" si="222"/>
        <v/>
      </c>
      <c r="P2799" s="33" t="str">
        <f t="shared" si="223"/>
        <v/>
      </c>
    </row>
    <row r="2800" spans="9:16">
      <c r="I2800" s="23" t="str">
        <f>_xlfn.IFNA(VLOOKUP(A2800,A2801:$H$3524,8,0),"")</f>
        <v/>
      </c>
      <c r="J2800" s="40" t="str">
        <f t="shared" si="224"/>
        <v/>
      </c>
      <c r="K2800" s="24" t="str">
        <f t="shared" si="225"/>
        <v/>
      </c>
      <c r="L2800" s="25" t="str">
        <f t="shared" si="221"/>
        <v/>
      </c>
      <c r="O2800" s="33" t="str">
        <f t="shared" si="222"/>
        <v/>
      </c>
      <c r="P2800" s="33" t="str">
        <f t="shared" si="223"/>
        <v/>
      </c>
    </row>
    <row r="2801" spans="9:16">
      <c r="I2801" s="23" t="str">
        <f>_xlfn.IFNA(VLOOKUP(A2801,A2802:$H$3524,8,0),"")</f>
        <v/>
      </c>
      <c r="J2801" s="40" t="str">
        <f t="shared" si="224"/>
        <v/>
      </c>
      <c r="K2801" s="24" t="str">
        <f t="shared" si="225"/>
        <v/>
      </c>
      <c r="L2801" s="25" t="str">
        <f t="shared" si="221"/>
        <v/>
      </c>
      <c r="O2801" s="33" t="str">
        <f t="shared" si="222"/>
        <v/>
      </c>
      <c r="P2801" s="33" t="str">
        <f t="shared" si="223"/>
        <v/>
      </c>
    </row>
    <row r="2802" spans="9:16">
      <c r="I2802" s="23" t="str">
        <f>_xlfn.IFNA(VLOOKUP(A2802,A2803:$H$3524,8,0),"")</f>
        <v/>
      </c>
      <c r="J2802" s="40" t="str">
        <f t="shared" si="224"/>
        <v/>
      </c>
      <c r="K2802" s="24" t="str">
        <f t="shared" si="225"/>
        <v/>
      </c>
      <c r="L2802" s="25" t="str">
        <f t="shared" si="221"/>
        <v/>
      </c>
      <c r="O2802" s="33" t="str">
        <f t="shared" si="222"/>
        <v/>
      </c>
      <c r="P2802" s="33" t="str">
        <f t="shared" si="223"/>
        <v/>
      </c>
    </row>
    <row r="2803" spans="9:16">
      <c r="I2803" s="23" t="str">
        <f>_xlfn.IFNA(VLOOKUP(A2803,A2804:$H$3524,8,0),"")</f>
        <v/>
      </c>
      <c r="J2803" s="40" t="str">
        <f t="shared" si="224"/>
        <v/>
      </c>
      <c r="K2803" s="24" t="str">
        <f t="shared" si="225"/>
        <v/>
      </c>
      <c r="L2803" s="25" t="str">
        <f t="shared" si="221"/>
        <v/>
      </c>
      <c r="O2803" s="33" t="str">
        <f t="shared" si="222"/>
        <v/>
      </c>
      <c r="P2803" s="33" t="str">
        <f t="shared" si="223"/>
        <v/>
      </c>
    </row>
    <row r="2804" spans="9:16">
      <c r="I2804" s="23" t="str">
        <f>_xlfn.IFNA(VLOOKUP(A2804,A2805:$H$3524,8,0),"")</f>
        <v/>
      </c>
      <c r="J2804" s="40" t="str">
        <f t="shared" si="224"/>
        <v/>
      </c>
      <c r="K2804" s="24" t="str">
        <f t="shared" si="225"/>
        <v/>
      </c>
      <c r="L2804" s="25" t="str">
        <f t="shared" si="221"/>
        <v/>
      </c>
      <c r="O2804" s="33" t="str">
        <f t="shared" si="222"/>
        <v/>
      </c>
      <c r="P2804" s="33" t="str">
        <f t="shared" si="223"/>
        <v/>
      </c>
    </row>
    <row r="2805" spans="9:16">
      <c r="I2805" s="23" t="str">
        <f>_xlfn.IFNA(VLOOKUP(A2805,A2806:$H$3524,8,0),"")</f>
        <v/>
      </c>
      <c r="J2805" s="40" t="str">
        <f t="shared" si="224"/>
        <v/>
      </c>
      <c r="K2805" s="24" t="str">
        <f t="shared" si="225"/>
        <v/>
      </c>
      <c r="L2805" s="25" t="str">
        <f t="shared" si="221"/>
        <v/>
      </c>
      <c r="O2805" s="33" t="str">
        <f t="shared" si="222"/>
        <v/>
      </c>
      <c r="P2805" s="33" t="str">
        <f t="shared" si="223"/>
        <v/>
      </c>
    </row>
    <row r="2806" spans="9:16">
      <c r="I2806" s="23" t="str">
        <f>_xlfn.IFNA(VLOOKUP(A2806,A2807:$H$3524,8,0),"")</f>
        <v/>
      </c>
      <c r="J2806" s="40" t="str">
        <f t="shared" si="224"/>
        <v/>
      </c>
      <c r="K2806" s="24" t="str">
        <f t="shared" si="225"/>
        <v/>
      </c>
      <c r="L2806" s="25" t="str">
        <f t="shared" si="221"/>
        <v/>
      </c>
      <c r="O2806" s="33" t="str">
        <f t="shared" si="222"/>
        <v/>
      </c>
      <c r="P2806" s="33" t="str">
        <f t="shared" si="223"/>
        <v/>
      </c>
    </row>
    <row r="2807" spans="9:16">
      <c r="I2807" s="23" t="str">
        <f>_xlfn.IFNA(VLOOKUP(A2807,A2808:$H$3524,8,0),"")</f>
        <v/>
      </c>
      <c r="J2807" s="40" t="str">
        <f t="shared" si="224"/>
        <v/>
      </c>
      <c r="K2807" s="24" t="str">
        <f t="shared" si="225"/>
        <v/>
      </c>
      <c r="L2807" s="25" t="str">
        <f t="shared" ref="L2807:L2870" si="226">IF(K2807="","",IF(B2807="Break","Break",IF(K2807&lt;&gt;0,"Work Finished",IF(B2807="OFF","Work Finished",IF(I2807="","Working","Work Finished")))))</f>
        <v/>
      </c>
      <c r="O2807" s="33" t="str">
        <f t="shared" ref="O2807:O2870" si="227">IF(AND(J2807="",M2807="",N2807=""),"",J2807-M2807-N2807)</f>
        <v/>
      </c>
      <c r="P2807" s="33" t="str">
        <f t="shared" ref="P2807:P2870" si="228">IF(HOUR(H2807)=0,"",HOUR(H2807))</f>
        <v/>
      </c>
    </row>
    <row r="2808" spans="9:16">
      <c r="I2808" s="23" t="str">
        <f>_xlfn.IFNA(VLOOKUP(A2808,A2809:$H$3524,8,0),"")</f>
        <v/>
      </c>
      <c r="J2808" s="40" t="str">
        <f t="shared" si="224"/>
        <v/>
      </c>
      <c r="K2808" s="24" t="str">
        <f t="shared" si="225"/>
        <v/>
      </c>
      <c r="L2808" s="25" t="str">
        <f t="shared" si="226"/>
        <v/>
      </c>
      <c r="O2808" s="33" t="str">
        <f t="shared" si="227"/>
        <v/>
      </c>
      <c r="P2808" s="33" t="str">
        <f t="shared" si="228"/>
        <v/>
      </c>
    </row>
    <row r="2809" spans="9:16">
      <c r="I2809" s="23" t="str">
        <f>_xlfn.IFNA(VLOOKUP(A2809,A2810:$H$3524,8,0),"")</f>
        <v/>
      </c>
      <c r="J2809" s="40" t="str">
        <f t="shared" si="224"/>
        <v/>
      </c>
      <c r="K2809" s="24" t="str">
        <f t="shared" si="225"/>
        <v/>
      </c>
      <c r="L2809" s="25" t="str">
        <f t="shared" si="226"/>
        <v/>
      </c>
      <c r="O2809" s="33" t="str">
        <f t="shared" si="227"/>
        <v/>
      </c>
      <c r="P2809" s="33" t="str">
        <f t="shared" si="228"/>
        <v/>
      </c>
    </row>
    <row r="2810" spans="9:16">
      <c r="I2810" s="23" t="str">
        <f>_xlfn.IFNA(VLOOKUP(A2810,A2811:$H$3524,8,0),"")</f>
        <v/>
      </c>
      <c r="J2810" s="40" t="str">
        <f t="shared" si="224"/>
        <v/>
      </c>
      <c r="K2810" s="24" t="str">
        <f t="shared" si="225"/>
        <v/>
      </c>
      <c r="L2810" s="25" t="str">
        <f t="shared" si="226"/>
        <v/>
      </c>
      <c r="O2810" s="33" t="str">
        <f t="shared" si="227"/>
        <v/>
      </c>
      <c r="P2810" s="33" t="str">
        <f t="shared" si="228"/>
        <v/>
      </c>
    </row>
    <row r="2811" spans="9:16">
      <c r="I2811" s="23" t="str">
        <f>_xlfn.IFNA(VLOOKUP(A2811,A2812:$H$3524,8,0),"")</f>
        <v/>
      </c>
      <c r="J2811" s="40" t="str">
        <f t="shared" si="224"/>
        <v/>
      </c>
      <c r="K2811" s="24" t="str">
        <f t="shared" si="225"/>
        <v/>
      </c>
      <c r="L2811" s="25" t="str">
        <f t="shared" si="226"/>
        <v/>
      </c>
      <c r="O2811" s="33" t="str">
        <f t="shared" si="227"/>
        <v/>
      </c>
      <c r="P2811" s="33" t="str">
        <f t="shared" si="228"/>
        <v/>
      </c>
    </row>
    <row r="2812" spans="9:16">
      <c r="I2812" s="23" t="str">
        <f>_xlfn.IFNA(VLOOKUP(A2812,A2813:$H$3524,8,0),"")</f>
        <v/>
      </c>
      <c r="J2812" s="40" t="str">
        <f t="shared" si="224"/>
        <v/>
      </c>
      <c r="K2812" s="24" t="str">
        <f t="shared" si="225"/>
        <v/>
      </c>
      <c r="L2812" s="25" t="str">
        <f t="shared" si="226"/>
        <v/>
      </c>
      <c r="O2812" s="33" t="str">
        <f t="shared" si="227"/>
        <v/>
      </c>
      <c r="P2812" s="33" t="str">
        <f t="shared" si="228"/>
        <v/>
      </c>
    </row>
    <row r="2813" spans="9:16">
      <c r="I2813" s="23" t="str">
        <f>_xlfn.IFNA(VLOOKUP(A2813,A2814:$H$3524,8,0),"")</f>
        <v/>
      </c>
      <c r="J2813" s="40" t="str">
        <f t="shared" si="224"/>
        <v/>
      </c>
      <c r="K2813" s="24" t="str">
        <f t="shared" si="225"/>
        <v/>
      </c>
      <c r="L2813" s="25" t="str">
        <f t="shared" si="226"/>
        <v/>
      </c>
      <c r="O2813" s="33" t="str">
        <f t="shared" si="227"/>
        <v/>
      </c>
      <c r="P2813" s="33" t="str">
        <f t="shared" si="228"/>
        <v/>
      </c>
    </row>
    <row r="2814" spans="9:16">
      <c r="I2814" s="23" t="str">
        <f>_xlfn.IFNA(VLOOKUP(A2814,A2815:$H$3524,8,0),"")</f>
        <v/>
      </c>
      <c r="J2814" s="40" t="str">
        <f t="shared" si="224"/>
        <v/>
      </c>
      <c r="K2814" s="24" t="str">
        <f t="shared" si="225"/>
        <v/>
      </c>
      <c r="L2814" s="25" t="str">
        <f t="shared" si="226"/>
        <v/>
      </c>
      <c r="O2814" s="33" t="str">
        <f t="shared" si="227"/>
        <v/>
      </c>
      <c r="P2814" s="33" t="str">
        <f t="shared" si="228"/>
        <v/>
      </c>
    </row>
    <row r="2815" spans="9:16">
      <c r="I2815" s="23" t="str">
        <f>_xlfn.IFNA(VLOOKUP(A2815,A2816:$H$3524,8,0),"")</f>
        <v/>
      </c>
      <c r="J2815" s="40" t="str">
        <f t="shared" si="224"/>
        <v/>
      </c>
      <c r="K2815" s="24" t="str">
        <f t="shared" si="225"/>
        <v/>
      </c>
      <c r="L2815" s="25" t="str">
        <f t="shared" si="226"/>
        <v/>
      </c>
      <c r="O2815" s="33" t="str">
        <f t="shared" si="227"/>
        <v/>
      </c>
      <c r="P2815" s="33" t="str">
        <f t="shared" si="228"/>
        <v/>
      </c>
    </row>
    <row r="2816" spans="9:16">
      <c r="I2816" s="23" t="str">
        <f>_xlfn.IFNA(VLOOKUP(A2816,A2817:$H$3524,8,0),"")</f>
        <v/>
      </c>
      <c r="J2816" s="40" t="str">
        <f t="shared" si="224"/>
        <v/>
      </c>
      <c r="K2816" s="24" t="str">
        <f t="shared" si="225"/>
        <v/>
      </c>
      <c r="L2816" s="25" t="str">
        <f t="shared" si="226"/>
        <v/>
      </c>
      <c r="O2816" s="33" t="str">
        <f t="shared" si="227"/>
        <v/>
      </c>
      <c r="P2816" s="33" t="str">
        <f t="shared" si="228"/>
        <v/>
      </c>
    </row>
    <row r="2817" spans="9:16">
      <c r="I2817" s="23" t="str">
        <f>_xlfn.IFNA(VLOOKUP(A2817,A2818:$H$3524,8,0),"")</f>
        <v/>
      </c>
      <c r="J2817" s="40" t="str">
        <f t="shared" si="224"/>
        <v/>
      </c>
      <c r="K2817" s="24" t="str">
        <f t="shared" si="225"/>
        <v/>
      </c>
      <c r="L2817" s="25" t="str">
        <f t="shared" si="226"/>
        <v/>
      </c>
      <c r="O2817" s="33" t="str">
        <f t="shared" si="227"/>
        <v/>
      </c>
      <c r="P2817" s="33" t="str">
        <f t="shared" si="228"/>
        <v/>
      </c>
    </row>
    <row r="2818" spans="9:16">
      <c r="I2818" s="23" t="str">
        <f>_xlfn.IFNA(VLOOKUP(A2818,A2819:$H$3524,8,0),"")</f>
        <v/>
      </c>
      <c r="J2818" s="40" t="str">
        <f t="shared" si="224"/>
        <v/>
      </c>
      <c r="K2818" s="24" t="str">
        <f t="shared" si="225"/>
        <v/>
      </c>
      <c r="L2818" s="25" t="str">
        <f t="shared" si="226"/>
        <v/>
      </c>
      <c r="O2818" s="33" t="str">
        <f t="shared" si="227"/>
        <v/>
      </c>
      <c r="P2818" s="33" t="str">
        <f t="shared" si="228"/>
        <v/>
      </c>
    </row>
    <row r="2819" spans="9:16">
      <c r="I2819" s="23" t="str">
        <f>_xlfn.IFNA(VLOOKUP(A2819,A2820:$H$3524,8,0),"")</f>
        <v/>
      </c>
      <c r="J2819" s="40" t="str">
        <f t="shared" si="224"/>
        <v/>
      </c>
      <c r="K2819" s="24" t="str">
        <f t="shared" si="225"/>
        <v/>
      </c>
      <c r="L2819" s="25" t="str">
        <f t="shared" si="226"/>
        <v/>
      </c>
      <c r="O2819" s="33" t="str">
        <f t="shared" si="227"/>
        <v/>
      </c>
      <c r="P2819" s="33" t="str">
        <f t="shared" si="228"/>
        <v/>
      </c>
    </row>
    <row r="2820" spans="9:16">
      <c r="I2820" s="23" t="str">
        <f>_xlfn.IFNA(VLOOKUP(A2820,A2821:$H$3524,8,0),"")</f>
        <v/>
      </c>
      <c r="J2820" s="40" t="str">
        <f t="shared" si="224"/>
        <v/>
      </c>
      <c r="K2820" s="24" t="str">
        <f t="shared" si="225"/>
        <v/>
      </c>
      <c r="L2820" s="25" t="str">
        <f t="shared" si="226"/>
        <v/>
      </c>
      <c r="O2820" s="33" t="str">
        <f t="shared" si="227"/>
        <v/>
      </c>
      <c r="P2820" s="33" t="str">
        <f t="shared" si="228"/>
        <v/>
      </c>
    </row>
    <row r="2821" spans="9:16">
      <c r="I2821" s="23" t="str">
        <f>_xlfn.IFNA(VLOOKUP(A2821,A2822:$H$3524,8,0),"")</f>
        <v/>
      </c>
      <c r="J2821" s="40" t="str">
        <f t="shared" si="224"/>
        <v/>
      </c>
      <c r="K2821" s="24" t="str">
        <f t="shared" si="225"/>
        <v/>
      </c>
      <c r="L2821" s="25" t="str">
        <f t="shared" si="226"/>
        <v/>
      </c>
      <c r="O2821" s="33" t="str">
        <f t="shared" si="227"/>
        <v/>
      </c>
      <c r="P2821" s="33" t="str">
        <f t="shared" si="228"/>
        <v/>
      </c>
    </row>
    <row r="2822" spans="9:16">
      <c r="I2822" s="23" t="str">
        <f>_xlfn.IFNA(VLOOKUP(A2822,A2823:$H$3524,8,0),"")</f>
        <v/>
      </c>
      <c r="J2822" s="40" t="str">
        <f t="shared" ref="J2822:J2885" si="229">IF(B2822="OFF",0,IF(AND(D2822&lt;&gt;"",E2822&lt;&gt;""),E2822-D2822+1,""))</f>
        <v/>
      </c>
      <c r="K2822" s="24" t="str">
        <f t="shared" si="225"/>
        <v/>
      </c>
      <c r="L2822" s="25" t="str">
        <f t="shared" si="226"/>
        <v/>
      </c>
      <c r="O2822" s="33" t="str">
        <f t="shared" si="227"/>
        <v/>
      </c>
      <c r="P2822" s="33" t="str">
        <f t="shared" si="228"/>
        <v/>
      </c>
    </row>
    <row r="2823" spans="9:16">
      <c r="I2823" s="23" t="str">
        <f>_xlfn.IFNA(VLOOKUP(A2823,A2824:$H$3524,8,0),"")</f>
        <v/>
      </c>
      <c r="J2823" s="40" t="str">
        <f t="shared" si="229"/>
        <v/>
      </c>
      <c r="K2823" s="24" t="str">
        <f t="shared" si="225"/>
        <v/>
      </c>
      <c r="L2823" s="25" t="str">
        <f t="shared" si="226"/>
        <v/>
      </c>
      <c r="O2823" s="33" t="str">
        <f t="shared" si="227"/>
        <v/>
      </c>
      <c r="P2823" s="33" t="str">
        <f t="shared" si="228"/>
        <v/>
      </c>
    </row>
    <row r="2824" spans="9:16">
      <c r="I2824" s="23" t="str">
        <f>_xlfn.IFNA(VLOOKUP(A2824,A2825:$H$3524,8,0),"")</f>
        <v/>
      </c>
      <c r="J2824" s="40" t="str">
        <f t="shared" si="229"/>
        <v/>
      </c>
      <c r="K2824" s="24" t="str">
        <f t="shared" si="225"/>
        <v/>
      </c>
      <c r="L2824" s="25" t="str">
        <f t="shared" si="226"/>
        <v/>
      </c>
      <c r="O2824" s="33" t="str">
        <f t="shared" si="227"/>
        <v/>
      </c>
      <c r="P2824" s="33" t="str">
        <f t="shared" si="228"/>
        <v/>
      </c>
    </row>
    <row r="2825" spans="9:16">
      <c r="I2825" s="23" t="str">
        <f>_xlfn.IFNA(VLOOKUP(A2825,A2826:$H$3524,8,0),"")</f>
        <v/>
      </c>
      <c r="J2825" s="40" t="str">
        <f t="shared" si="229"/>
        <v/>
      </c>
      <c r="K2825" s="24" t="str">
        <f t="shared" si="225"/>
        <v/>
      </c>
      <c r="L2825" s="25" t="str">
        <f t="shared" si="226"/>
        <v/>
      </c>
      <c r="O2825" s="33" t="str">
        <f t="shared" si="227"/>
        <v/>
      </c>
      <c r="P2825" s="33" t="str">
        <f t="shared" si="228"/>
        <v/>
      </c>
    </row>
    <row r="2826" spans="9:16">
      <c r="I2826" s="23" t="str">
        <f>_xlfn.IFNA(VLOOKUP(A2826,A2827:$H$3524,8,0),"")</f>
        <v/>
      </c>
      <c r="J2826" s="40" t="str">
        <f t="shared" si="229"/>
        <v/>
      </c>
      <c r="K2826" s="24" t="str">
        <f t="shared" si="225"/>
        <v/>
      </c>
      <c r="L2826" s="25" t="str">
        <f t="shared" si="226"/>
        <v/>
      </c>
      <c r="O2826" s="33" t="str">
        <f t="shared" si="227"/>
        <v/>
      </c>
      <c r="P2826" s="33" t="str">
        <f t="shared" si="228"/>
        <v/>
      </c>
    </row>
    <row r="2827" spans="9:16">
      <c r="I2827" s="23" t="str">
        <f>_xlfn.IFNA(VLOOKUP(A2827,A2828:$H$3524,8,0),"")</f>
        <v/>
      </c>
      <c r="J2827" s="40" t="str">
        <f t="shared" si="229"/>
        <v/>
      </c>
      <c r="K2827" s="24" t="str">
        <f t="shared" si="225"/>
        <v/>
      </c>
      <c r="L2827" s="25" t="str">
        <f t="shared" si="226"/>
        <v/>
      </c>
      <c r="O2827" s="33" t="str">
        <f t="shared" si="227"/>
        <v/>
      </c>
      <c r="P2827" s="33" t="str">
        <f t="shared" si="228"/>
        <v/>
      </c>
    </row>
    <row r="2828" spans="9:16">
      <c r="I2828" s="23" t="str">
        <f>_xlfn.IFNA(VLOOKUP(A2828,A2829:$H$3524,8,0),"")</f>
        <v/>
      </c>
      <c r="J2828" s="40" t="str">
        <f t="shared" si="229"/>
        <v/>
      </c>
      <c r="K2828" s="24" t="str">
        <f t="shared" si="225"/>
        <v/>
      </c>
      <c r="L2828" s="25" t="str">
        <f t="shared" si="226"/>
        <v/>
      </c>
      <c r="O2828" s="33" t="str">
        <f t="shared" si="227"/>
        <v/>
      </c>
      <c r="P2828" s="33" t="str">
        <f t="shared" si="228"/>
        <v/>
      </c>
    </row>
    <row r="2829" spans="9:16">
      <c r="I2829" s="23" t="str">
        <f>_xlfn.IFNA(VLOOKUP(A2829,A2830:$H$3524,8,0),"")</f>
        <v/>
      </c>
      <c r="J2829" s="40" t="str">
        <f t="shared" si="229"/>
        <v/>
      </c>
      <c r="K2829" s="24" t="str">
        <f t="shared" si="225"/>
        <v/>
      </c>
      <c r="L2829" s="25" t="str">
        <f t="shared" si="226"/>
        <v/>
      </c>
      <c r="O2829" s="33" t="str">
        <f t="shared" si="227"/>
        <v/>
      </c>
      <c r="P2829" s="33" t="str">
        <f t="shared" si="228"/>
        <v/>
      </c>
    </row>
    <row r="2830" spans="9:16">
      <c r="I2830" s="23" t="str">
        <f>_xlfn.IFNA(VLOOKUP(A2830,A2831:$H$3524,8,0),"")</f>
        <v/>
      </c>
      <c r="J2830" s="40" t="str">
        <f t="shared" si="229"/>
        <v/>
      </c>
      <c r="K2830" s="24" t="str">
        <f t="shared" si="225"/>
        <v/>
      </c>
      <c r="L2830" s="25" t="str">
        <f t="shared" si="226"/>
        <v/>
      </c>
      <c r="O2830" s="33" t="str">
        <f t="shared" si="227"/>
        <v/>
      </c>
      <c r="P2830" s="33" t="str">
        <f t="shared" si="228"/>
        <v/>
      </c>
    </row>
    <row r="2831" spans="9:16">
      <c r="I2831" s="23" t="str">
        <f>_xlfn.IFNA(VLOOKUP(A2831,A2832:$H$3524,8,0),"")</f>
        <v/>
      </c>
      <c r="J2831" s="40" t="str">
        <f t="shared" si="229"/>
        <v/>
      </c>
      <c r="K2831" s="24" t="str">
        <f t="shared" si="225"/>
        <v/>
      </c>
      <c r="L2831" s="25" t="str">
        <f t="shared" si="226"/>
        <v/>
      </c>
      <c r="O2831" s="33" t="str">
        <f t="shared" si="227"/>
        <v/>
      </c>
      <c r="P2831" s="33" t="str">
        <f t="shared" si="228"/>
        <v/>
      </c>
    </row>
    <row r="2832" spans="9:16">
      <c r="I2832" s="23" t="str">
        <f>_xlfn.IFNA(VLOOKUP(A2832,A2833:$H$3524,8,0),"")</f>
        <v/>
      </c>
      <c r="J2832" s="40" t="str">
        <f t="shared" si="229"/>
        <v/>
      </c>
      <c r="K2832" s="24" t="str">
        <f t="shared" si="225"/>
        <v/>
      </c>
      <c r="L2832" s="25" t="str">
        <f t="shared" si="226"/>
        <v/>
      </c>
      <c r="O2832" s="33" t="str">
        <f t="shared" si="227"/>
        <v/>
      </c>
      <c r="P2832" s="33" t="str">
        <f t="shared" si="228"/>
        <v/>
      </c>
    </row>
    <row r="2833" spans="9:16">
      <c r="I2833" s="23" t="str">
        <f>_xlfn.IFNA(VLOOKUP(A2833,A2834:$H$3524,8,0),"")</f>
        <v/>
      </c>
      <c r="J2833" s="40" t="str">
        <f t="shared" si="229"/>
        <v/>
      </c>
      <c r="K2833" s="24" t="str">
        <f t="shared" si="225"/>
        <v/>
      </c>
      <c r="L2833" s="25" t="str">
        <f t="shared" si="226"/>
        <v/>
      </c>
      <c r="O2833" s="33" t="str">
        <f t="shared" si="227"/>
        <v/>
      </c>
      <c r="P2833" s="33" t="str">
        <f t="shared" si="228"/>
        <v/>
      </c>
    </row>
    <row r="2834" spans="9:16">
      <c r="I2834" s="23" t="str">
        <f>_xlfn.IFNA(VLOOKUP(A2834,A2835:$H$3524,8,0),"")</f>
        <v/>
      </c>
      <c r="J2834" s="40" t="str">
        <f t="shared" si="229"/>
        <v/>
      </c>
      <c r="K2834" s="24" t="str">
        <f t="shared" si="225"/>
        <v/>
      </c>
      <c r="L2834" s="25" t="str">
        <f t="shared" si="226"/>
        <v/>
      </c>
      <c r="O2834" s="33" t="str">
        <f t="shared" si="227"/>
        <v/>
      </c>
      <c r="P2834" s="33" t="str">
        <f t="shared" si="228"/>
        <v/>
      </c>
    </row>
    <row r="2835" spans="9:16">
      <c r="I2835" s="23" t="str">
        <f>_xlfn.IFNA(VLOOKUP(A2835,A2836:$H$3524,8,0),"")</f>
        <v/>
      </c>
      <c r="J2835" s="40" t="str">
        <f t="shared" si="229"/>
        <v/>
      </c>
      <c r="K2835" s="24" t="str">
        <f t="shared" si="225"/>
        <v/>
      </c>
      <c r="L2835" s="25" t="str">
        <f t="shared" si="226"/>
        <v/>
      </c>
      <c r="O2835" s="33" t="str">
        <f t="shared" si="227"/>
        <v/>
      </c>
      <c r="P2835" s="33" t="str">
        <f t="shared" si="228"/>
        <v/>
      </c>
    </row>
    <row r="2836" spans="9:16">
      <c r="I2836" s="23" t="str">
        <f>_xlfn.IFNA(VLOOKUP(A2836,A2837:$H$3524,8,0),"")</f>
        <v/>
      </c>
      <c r="J2836" s="40" t="str">
        <f t="shared" si="229"/>
        <v/>
      </c>
      <c r="K2836" s="24" t="str">
        <f t="shared" si="225"/>
        <v/>
      </c>
      <c r="L2836" s="25" t="str">
        <f t="shared" si="226"/>
        <v/>
      </c>
      <c r="O2836" s="33" t="str">
        <f t="shared" si="227"/>
        <v/>
      </c>
      <c r="P2836" s="33" t="str">
        <f t="shared" si="228"/>
        <v/>
      </c>
    </row>
    <row r="2837" spans="9:16">
      <c r="I2837" s="23" t="str">
        <f>_xlfn.IFNA(VLOOKUP(A2837,A2838:$H$3524,8,0),"")</f>
        <v/>
      </c>
      <c r="J2837" s="40" t="str">
        <f t="shared" si="229"/>
        <v/>
      </c>
      <c r="K2837" s="24" t="str">
        <f t="shared" si="225"/>
        <v/>
      </c>
      <c r="L2837" s="25" t="str">
        <f t="shared" si="226"/>
        <v/>
      </c>
      <c r="O2837" s="33" t="str">
        <f t="shared" si="227"/>
        <v/>
      </c>
      <c r="P2837" s="33" t="str">
        <f t="shared" si="228"/>
        <v/>
      </c>
    </row>
    <row r="2838" spans="9:16">
      <c r="I2838" s="23" t="str">
        <f>_xlfn.IFNA(VLOOKUP(A2838,A2839:$H$3524,8,0),"")</f>
        <v/>
      </c>
      <c r="J2838" s="40" t="str">
        <f t="shared" si="229"/>
        <v/>
      </c>
      <c r="K2838" s="24" t="str">
        <f t="shared" ref="K2838:K2901" si="230">IF(H2838="","",IFERROR((I2838-H2838)*24,0))</f>
        <v/>
      </c>
      <c r="L2838" s="25" t="str">
        <f t="shared" si="226"/>
        <v/>
      </c>
      <c r="O2838" s="33" t="str">
        <f t="shared" si="227"/>
        <v/>
      </c>
      <c r="P2838" s="33" t="str">
        <f t="shared" si="228"/>
        <v/>
      </c>
    </row>
    <row r="2839" spans="9:16">
      <c r="I2839" s="23" t="str">
        <f>_xlfn.IFNA(VLOOKUP(A2839,A2840:$H$3524,8,0),"")</f>
        <v/>
      </c>
      <c r="J2839" s="40" t="str">
        <f t="shared" si="229"/>
        <v/>
      </c>
      <c r="K2839" s="24" t="str">
        <f t="shared" si="230"/>
        <v/>
      </c>
      <c r="L2839" s="25" t="str">
        <f t="shared" si="226"/>
        <v/>
      </c>
      <c r="O2839" s="33" t="str">
        <f t="shared" si="227"/>
        <v/>
      </c>
      <c r="P2839" s="33" t="str">
        <f t="shared" si="228"/>
        <v/>
      </c>
    </row>
    <row r="2840" spans="9:16">
      <c r="I2840" s="23" t="str">
        <f>_xlfn.IFNA(VLOOKUP(A2840,A2841:$H$3524,8,0),"")</f>
        <v/>
      </c>
      <c r="J2840" s="40" t="str">
        <f t="shared" si="229"/>
        <v/>
      </c>
      <c r="K2840" s="24" t="str">
        <f t="shared" si="230"/>
        <v/>
      </c>
      <c r="L2840" s="25" t="str">
        <f t="shared" si="226"/>
        <v/>
      </c>
      <c r="O2840" s="33" t="str">
        <f t="shared" si="227"/>
        <v/>
      </c>
      <c r="P2840" s="33" t="str">
        <f t="shared" si="228"/>
        <v/>
      </c>
    </row>
    <row r="2841" spans="9:16">
      <c r="I2841" s="23" t="str">
        <f>_xlfn.IFNA(VLOOKUP(A2841,A2842:$H$3524,8,0),"")</f>
        <v/>
      </c>
      <c r="J2841" s="40" t="str">
        <f t="shared" si="229"/>
        <v/>
      </c>
      <c r="K2841" s="24" t="str">
        <f t="shared" si="230"/>
        <v/>
      </c>
      <c r="L2841" s="25" t="str">
        <f t="shared" si="226"/>
        <v/>
      </c>
      <c r="O2841" s="33" t="str">
        <f t="shared" si="227"/>
        <v/>
      </c>
      <c r="P2841" s="33" t="str">
        <f t="shared" si="228"/>
        <v/>
      </c>
    </row>
    <row r="2842" spans="9:16">
      <c r="I2842" s="23" t="str">
        <f>_xlfn.IFNA(VLOOKUP(A2842,A2843:$H$3524,8,0),"")</f>
        <v/>
      </c>
      <c r="J2842" s="40" t="str">
        <f t="shared" si="229"/>
        <v/>
      </c>
      <c r="K2842" s="24" t="str">
        <f t="shared" si="230"/>
        <v/>
      </c>
      <c r="L2842" s="25" t="str">
        <f t="shared" si="226"/>
        <v/>
      </c>
      <c r="O2842" s="33" t="str">
        <f t="shared" si="227"/>
        <v/>
      </c>
      <c r="P2842" s="33" t="str">
        <f t="shared" si="228"/>
        <v/>
      </c>
    </row>
    <row r="2843" spans="9:16">
      <c r="I2843" s="23" t="str">
        <f>_xlfn.IFNA(VLOOKUP(A2843,A2844:$H$3524,8,0),"")</f>
        <v/>
      </c>
      <c r="J2843" s="40" t="str">
        <f t="shared" si="229"/>
        <v/>
      </c>
      <c r="K2843" s="24" t="str">
        <f t="shared" si="230"/>
        <v/>
      </c>
      <c r="L2843" s="25" t="str">
        <f t="shared" si="226"/>
        <v/>
      </c>
      <c r="O2843" s="33" t="str">
        <f t="shared" si="227"/>
        <v/>
      </c>
      <c r="P2843" s="33" t="str">
        <f t="shared" si="228"/>
        <v/>
      </c>
    </row>
    <row r="2844" spans="9:16">
      <c r="I2844" s="23" t="str">
        <f>_xlfn.IFNA(VLOOKUP(A2844,A2845:$H$3524,8,0),"")</f>
        <v/>
      </c>
      <c r="J2844" s="40" t="str">
        <f t="shared" si="229"/>
        <v/>
      </c>
      <c r="K2844" s="24" t="str">
        <f t="shared" si="230"/>
        <v/>
      </c>
      <c r="L2844" s="25" t="str">
        <f t="shared" si="226"/>
        <v/>
      </c>
      <c r="O2844" s="33" t="str">
        <f t="shared" si="227"/>
        <v/>
      </c>
      <c r="P2844" s="33" t="str">
        <f t="shared" si="228"/>
        <v/>
      </c>
    </row>
    <row r="2845" spans="9:16">
      <c r="I2845" s="23" t="str">
        <f>_xlfn.IFNA(VLOOKUP(A2845,A2846:$H$3524,8,0),"")</f>
        <v/>
      </c>
      <c r="J2845" s="40" t="str">
        <f t="shared" si="229"/>
        <v/>
      </c>
      <c r="K2845" s="24" t="str">
        <f t="shared" si="230"/>
        <v/>
      </c>
      <c r="L2845" s="25" t="str">
        <f t="shared" si="226"/>
        <v/>
      </c>
      <c r="O2845" s="33" t="str">
        <f t="shared" si="227"/>
        <v/>
      </c>
      <c r="P2845" s="33" t="str">
        <f t="shared" si="228"/>
        <v/>
      </c>
    </row>
    <row r="2846" spans="9:16">
      <c r="I2846" s="23" t="str">
        <f>_xlfn.IFNA(VLOOKUP(A2846,A2847:$H$3524,8,0),"")</f>
        <v/>
      </c>
      <c r="J2846" s="40" t="str">
        <f t="shared" si="229"/>
        <v/>
      </c>
      <c r="K2846" s="24" t="str">
        <f t="shared" si="230"/>
        <v/>
      </c>
      <c r="L2846" s="25" t="str">
        <f t="shared" si="226"/>
        <v/>
      </c>
      <c r="O2846" s="33" t="str">
        <f t="shared" si="227"/>
        <v/>
      </c>
      <c r="P2846" s="33" t="str">
        <f t="shared" si="228"/>
        <v/>
      </c>
    </row>
    <row r="2847" spans="9:16">
      <c r="I2847" s="23" t="str">
        <f>_xlfn.IFNA(VLOOKUP(A2847,A2848:$H$3524,8,0),"")</f>
        <v/>
      </c>
      <c r="J2847" s="40" t="str">
        <f t="shared" si="229"/>
        <v/>
      </c>
      <c r="K2847" s="24" t="str">
        <f t="shared" si="230"/>
        <v/>
      </c>
      <c r="L2847" s="25" t="str">
        <f t="shared" si="226"/>
        <v/>
      </c>
      <c r="O2847" s="33" t="str">
        <f t="shared" si="227"/>
        <v/>
      </c>
      <c r="P2847" s="33" t="str">
        <f t="shared" si="228"/>
        <v/>
      </c>
    </row>
    <row r="2848" spans="9:16">
      <c r="I2848" s="23" t="str">
        <f>_xlfn.IFNA(VLOOKUP(A2848,A2849:$H$3524,8,0),"")</f>
        <v/>
      </c>
      <c r="J2848" s="40" t="str">
        <f t="shared" si="229"/>
        <v/>
      </c>
      <c r="K2848" s="24" t="str">
        <f t="shared" si="230"/>
        <v/>
      </c>
      <c r="L2848" s="25" t="str">
        <f t="shared" si="226"/>
        <v/>
      </c>
      <c r="O2848" s="33" t="str">
        <f t="shared" si="227"/>
        <v/>
      </c>
      <c r="P2848" s="33" t="str">
        <f t="shared" si="228"/>
        <v/>
      </c>
    </row>
    <row r="2849" spans="9:16">
      <c r="I2849" s="23" t="str">
        <f>_xlfn.IFNA(VLOOKUP(A2849,A2850:$H$3524,8,0),"")</f>
        <v/>
      </c>
      <c r="J2849" s="40" t="str">
        <f t="shared" si="229"/>
        <v/>
      </c>
      <c r="K2849" s="24" t="str">
        <f t="shared" si="230"/>
        <v/>
      </c>
      <c r="L2849" s="25" t="str">
        <f t="shared" si="226"/>
        <v/>
      </c>
      <c r="O2849" s="33" t="str">
        <f t="shared" si="227"/>
        <v/>
      </c>
      <c r="P2849" s="33" t="str">
        <f t="shared" si="228"/>
        <v/>
      </c>
    </row>
    <row r="2850" spans="9:16">
      <c r="I2850" s="23" t="str">
        <f>_xlfn.IFNA(VLOOKUP(A2850,A2851:$H$3524,8,0),"")</f>
        <v/>
      </c>
      <c r="J2850" s="40" t="str">
        <f t="shared" si="229"/>
        <v/>
      </c>
      <c r="K2850" s="24" t="str">
        <f t="shared" si="230"/>
        <v/>
      </c>
      <c r="L2850" s="25" t="str">
        <f t="shared" si="226"/>
        <v/>
      </c>
      <c r="O2850" s="33" t="str">
        <f t="shared" si="227"/>
        <v/>
      </c>
      <c r="P2850" s="33" t="str">
        <f t="shared" si="228"/>
        <v/>
      </c>
    </row>
    <row r="2851" spans="9:16">
      <c r="I2851" s="23" t="str">
        <f>_xlfn.IFNA(VLOOKUP(A2851,A2852:$H$3524,8,0),"")</f>
        <v/>
      </c>
      <c r="J2851" s="40" t="str">
        <f t="shared" si="229"/>
        <v/>
      </c>
      <c r="K2851" s="24" t="str">
        <f t="shared" si="230"/>
        <v/>
      </c>
      <c r="L2851" s="25" t="str">
        <f t="shared" si="226"/>
        <v/>
      </c>
      <c r="O2851" s="33" t="str">
        <f t="shared" si="227"/>
        <v/>
      </c>
      <c r="P2851" s="33" t="str">
        <f t="shared" si="228"/>
        <v/>
      </c>
    </row>
    <row r="2852" spans="9:16">
      <c r="I2852" s="23" t="str">
        <f>_xlfn.IFNA(VLOOKUP(A2852,A2853:$H$3524,8,0),"")</f>
        <v/>
      </c>
      <c r="J2852" s="40" t="str">
        <f t="shared" si="229"/>
        <v/>
      </c>
      <c r="K2852" s="24" t="str">
        <f t="shared" si="230"/>
        <v/>
      </c>
      <c r="L2852" s="25" t="str">
        <f t="shared" si="226"/>
        <v/>
      </c>
      <c r="O2852" s="33" t="str">
        <f t="shared" si="227"/>
        <v/>
      </c>
      <c r="P2852" s="33" t="str">
        <f t="shared" si="228"/>
        <v/>
      </c>
    </row>
    <row r="2853" spans="9:16">
      <c r="I2853" s="23" t="str">
        <f>_xlfn.IFNA(VLOOKUP(A2853,A2854:$H$3524,8,0),"")</f>
        <v/>
      </c>
      <c r="J2853" s="40" t="str">
        <f t="shared" si="229"/>
        <v/>
      </c>
      <c r="K2853" s="24" t="str">
        <f t="shared" si="230"/>
        <v/>
      </c>
      <c r="L2853" s="25" t="str">
        <f t="shared" si="226"/>
        <v/>
      </c>
      <c r="O2853" s="33" t="str">
        <f t="shared" si="227"/>
        <v/>
      </c>
      <c r="P2853" s="33" t="str">
        <f t="shared" si="228"/>
        <v/>
      </c>
    </row>
    <row r="2854" spans="9:16">
      <c r="I2854" s="23" t="str">
        <f>_xlfn.IFNA(VLOOKUP(A2854,A2855:$H$3524,8,0),"")</f>
        <v/>
      </c>
      <c r="J2854" s="40" t="str">
        <f t="shared" si="229"/>
        <v/>
      </c>
      <c r="K2854" s="24" t="str">
        <f t="shared" si="230"/>
        <v/>
      </c>
      <c r="L2854" s="25" t="str">
        <f t="shared" si="226"/>
        <v/>
      </c>
      <c r="O2854" s="33" t="str">
        <f t="shared" si="227"/>
        <v/>
      </c>
      <c r="P2854" s="33" t="str">
        <f t="shared" si="228"/>
        <v/>
      </c>
    </row>
    <row r="2855" spans="9:16">
      <c r="I2855" s="23" t="str">
        <f>_xlfn.IFNA(VLOOKUP(A2855,A2856:$H$3524,8,0),"")</f>
        <v/>
      </c>
      <c r="J2855" s="40" t="str">
        <f t="shared" si="229"/>
        <v/>
      </c>
      <c r="K2855" s="24" t="str">
        <f t="shared" si="230"/>
        <v/>
      </c>
      <c r="L2855" s="25" t="str">
        <f t="shared" si="226"/>
        <v/>
      </c>
      <c r="O2855" s="33" t="str">
        <f t="shared" si="227"/>
        <v/>
      </c>
      <c r="P2855" s="33" t="str">
        <f t="shared" si="228"/>
        <v/>
      </c>
    </row>
    <row r="2856" spans="9:16">
      <c r="I2856" s="23" t="str">
        <f>_xlfn.IFNA(VLOOKUP(A2856,A2857:$H$3524,8,0),"")</f>
        <v/>
      </c>
      <c r="J2856" s="40" t="str">
        <f t="shared" si="229"/>
        <v/>
      </c>
      <c r="K2856" s="24" t="str">
        <f t="shared" si="230"/>
        <v/>
      </c>
      <c r="L2856" s="25" t="str">
        <f t="shared" si="226"/>
        <v/>
      </c>
      <c r="O2856" s="33" t="str">
        <f t="shared" si="227"/>
        <v/>
      </c>
      <c r="P2856" s="33" t="str">
        <f t="shared" si="228"/>
        <v/>
      </c>
    </row>
    <row r="2857" spans="9:16">
      <c r="I2857" s="23" t="str">
        <f>_xlfn.IFNA(VLOOKUP(A2857,A2858:$H$3524,8,0),"")</f>
        <v/>
      </c>
      <c r="J2857" s="40" t="str">
        <f t="shared" si="229"/>
        <v/>
      </c>
      <c r="K2857" s="24" t="str">
        <f t="shared" si="230"/>
        <v/>
      </c>
      <c r="L2857" s="25" t="str">
        <f t="shared" si="226"/>
        <v/>
      </c>
      <c r="O2857" s="33" t="str">
        <f t="shared" si="227"/>
        <v/>
      </c>
      <c r="P2857" s="33" t="str">
        <f t="shared" si="228"/>
        <v/>
      </c>
    </row>
    <row r="2858" spans="9:16">
      <c r="I2858" s="23" t="str">
        <f>_xlfn.IFNA(VLOOKUP(A2858,A2859:$H$3524,8,0),"")</f>
        <v/>
      </c>
      <c r="J2858" s="40" t="str">
        <f t="shared" si="229"/>
        <v/>
      </c>
      <c r="K2858" s="24" t="str">
        <f t="shared" si="230"/>
        <v/>
      </c>
      <c r="L2858" s="25" t="str">
        <f t="shared" si="226"/>
        <v/>
      </c>
      <c r="O2858" s="33" t="str">
        <f t="shared" si="227"/>
        <v/>
      </c>
      <c r="P2858" s="33" t="str">
        <f t="shared" si="228"/>
        <v/>
      </c>
    </row>
    <row r="2859" spans="9:16">
      <c r="I2859" s="23" t="str">
        <f>_xlfn.IFNA(VLOOKUP(A2859,A2860:$H$3524,8,0),"")</f>
        <v/>
      </c>
      <c r="J2859" s="40" t="str">
        <f t="shared" si="229"/>
        <v/>
      </c>
      <c r="K2859" s="24" t="str">
        <f t="shared" si="230"/>
        <v/>
      </c>
      <c r="L2859" s="25" t="str">
        <f t="shared" si="226"/>
        <v/>
      </c>
      <c r="O2859" s="33" t="str">
        <f t="shared" si="227"/>
        <v/>
      </c>
      <c r="P2859" s="33" t="str">
        <f t="shared" si="228"/>
        <v/>
      </c>
    </row>
    <row r="2860" spans="9:16">
      <c r="I2860" s="23" t="str">
        <f>_xlfn.IFNA(VLOOKUP(A2860,A2861:$H$3524,8,0),"")</f>
        <v/>
      </c>
      <c r="J2860" s="40" t="str">
        <f t="shared" si="229"/>
        <v/>
      </c>
      <c r="K2860" s="24" t="str">
        <f t="shared" si="230"/>
        <v/>
      </c>
      <c r="L2860" s="25" t="str">
        <f t="shared" si="226"/>
        <v/>
      </c>
      <c r="O2860" s="33" t="str">
        <f t="shared" si="227"/>
        <v/>
      </c>
      <c r="P2860" s="33" t="str">
        <f t="shared" si="228"/>
        <v/>
      </c>
    </row>
    <row r="2861" spans="9:16">
      <c r="I2861" s="23" t="str">
        <f>_xlfn.IFNA(VLOOKUP(A2861,A2862:$H$3524,8,0),"")</f>
        <v/>
      </c>
      <c r="J2861" s="40" t="str">
        <f t="shared" si="229"/>
        <v/>
      </c>
      <c r="K2861" s="24" t="str">
        <f t="shared" si="230"/>
        <v/>
      </c>
      <c r="L2861" s="25" t="str">
        <f t="shared" si="226"/>
        <v/>
      </c>
      <c r="O2861" s="33" t="str">
        <f t="shared" si="227"/>
        <v/>
      </c>
      <c r="P2861" s="33" t="str">
        <f t="shared" si="228"/>
        <v/>
      </c>
    </row>
    <row r="2862" spans="9:16">
      <c r="I2862" s="23" t="str">
        <f>_xlfn.IFNA(VLOOKUP(A2862,A2863:$H$3524,8,0),"")</f>
        <v/>
      </c>
      <c r="J2862" s="40" t="str">
        <f t="shared" si="229"/>
        <v/>
      </c>
      <c r="K2862" s="24" t="str">
        <f t="shared" si="230"/>
        <v/>
      </c>
      <c r="L2862" s="25" t="str">
        <f t="shared" si="226"/>
        <v/>
      </c>
      <c r="O2862" s="33" t="str">
        <f t="shared" si="227"/>
        <v/>
      </c>
      <c r="P2862" s="33" t="str">
        <f t="shared" si="228"/>
        <v/>
      </c>
    </row>
    <row r="2863" spans="9:16">
      <c r="I2863" s="23" t="str">
        <f>_xlfn.IFNA(VLOOKUP(A2863,A2864:$H$3524,8,0),"")</f>
        <v/>
      </c>
      <c r="J2863" s="40" t="str">
        <f t="shared" si="229"/>
        <v/>
      </c>
      <c r="K2863" s="24" t="str">
        <f t="shared" si="230"/>
        <v/>
      </c>
      <c r="L2863" s="25" t="str">
        <f t="shared" si="226"/>
        <v/>
      </c>
      <c r="O2863" s="33" t="str">
        <f t="shared" si="227"/>
        <v/>
      </c>
      <c r="P2863" s="33" t="str">
        <f t="shared" si="228"/>
        <v/>
      </c>
    </row>
    <row r="2864" spans="9:16">
      <c r="I2864" s="23" t="str">
        <f>_xlfn.IFNA(VLOOKUP(A2864,A2865:$H$3524,8,0),"")</f>
        <v/>
      </c>
      <c r="J2864" s="40" t="str">
        <f t="shared" si="229"/>
        <v/>
      </c>
      <c r="K2864" s="24" t="str">
        <f t="shared" si="230"/>
        <v/>
      </c>
      <c r="L2864" s="25" t="str">
        <f t="shared" si="226"/>
        <v/>
      </c>
      <c r="O2864" s="33" t="str">
        <f t="shared" si="227"/>
        <v/>
      </c>
      <c r="P2864" s="33" t="str">
        <f t="shared" si="228"/>
        <v/>
      </c>
    </row>
    <row r="2865" spans="9:16">
      <c r="I2865" s="23" t="str">
        <f>_xlfn.IFNA(VLOOKUP(A2865,A2866:$H$3524,8,0),"")</f>
        <v/>
      </c>
      <c r="J2865" s="40" t="str">
        <f t="shared" si="229"/>
        <v/>
      </c>
      <c r="K2865" s="24" t="str">
        <f t="shared" si="230"/>
        <v/>
      </c>
      <c r="L2865" s="25" t="str">
        <f t="shared" si="226"/>
        <v/>
      </c>
      <c r="O2865" s="33" t="str">
        <f t="shared" si="227"/>
        <v/>
      </c>
      <c r="P2865" s="33" t="str">
        <f t="shared" si="228"/>
        <v/>
      </c>
    </row>
    <row r="2866" spans="9:16">
      <c r="I2866" s="23" t="str">
        <f>_xlfn.IFNA(VLOOKUP(A2866,A2867:$H$3524,8,0),"")</f>
        <v/>
      </c>
      <c r="J2866" s="40" t="str">
        <f t="shared" si="229"/>
        <v/>
      </c>
      <c r="K2866" s="24" t="str">
        <f t="shared" si="230"/>
        <v/>
      </c>
      <c r="L2866" s="25" t="str">
        <f t="shared" si="226"/>
        <v/>
      </c>
      <c r="O2866" s="33" t="str">
        <f t="shared" si="227"/>
        <v/>
      </c>
      <c r="P2866" s="33" t="str">
        <f t="shared" si="228"/>
        <v/>
      </c>
    </row>
    <row r="2867" spans="9:16">
      <c r="I2867" s="23" t="str">
        <f>_xlfn.IFNA(VLOOKUP(A2867,A2868:$H$3524,8,0),"")</f>
        <v/>
      </c>
      <c r="J2867" s="40" t="str">
        <f t="shared" si="229"/>
        <v/>
      </c>
      <c r="K2867" s="24" t="str">
        <f t="shared" si="230"/>
        <v/>
      </c>
      <c r="L2867" s="25" t="str">
        <f t="shared" si="226"/>
        <v/>
      </c>
      <c r="O2867" s="33" t="str">
        <f t="shared" si="227"/>
        <v/>
      </c>
      <c r="P2867" s="33" t="str">
        <f t="shared" si="228"/>
        <v/>
      </c>
    </row>
    <row r="2868" spans="9:16">
      <c r="I2868" s="23" t="str">
        <f>_xlfn.IFNA(VLOOKUP(A2868,A2869:$H$3524,8,0),"")</f>
        <v/>
      </c>
      <c r="J2868" s="40" t="str">
        <f t="shared" si="229"/>
        <v/>
      </c>
      <c r="K2868" s="24" t="str">
        <f t="shared" si="230"/>
        <v/>
      </c>
      <c r="L2868" s="25" t="str">
        <f t="shared" si="226"/>
        <v/>
      </c>
      <c r="O2868" s="33" t="str">
        <f t="shared" si="227"/>
        <v/>
      </c>
      <c r="P2868" s="33" t="str">
        <f t="shared" si="228"/>
        <v/>
      </c>
    </row>
    <row r="2869" spans="9:16">
      <c r="I2869" s="23" t="str">
        <f>_xlfn.IFNA(VLOOKUP(A2869,A2870:$H$3524,8,0),"")</f>
        <v/>
      </c>
      <c r="J2869" s="40" t="str">
        <f t="shared" si="229"/>
        <v/>
      </c>
      <c r="K2869" s="24" t="str">
        <f t="shared" si="230"/>
        <v/>
      </c>
      <c r="L2869" s="25" t="str">
        <f t="shared" si="226"/>
        <v/>
      </c>
      <c r="O2869" s="33" t="str">
        <f t="shared" si="227"/>
        <v/>
      </c>
      <c r="P2869" s="33" t="str">
        <f t="shared" si="228"/>
        <v/>
      </c>
    </row>
    <row r="2870" spans="9:16">
      <c r="I2870" s="23" t="str">
        <f>_xlfn.IFNA(VLOOKUP(A2870,A2871:$H$3524,8,0),"")</f>
        <v/>
      </c>
      <c r="J2870" s="40" t="str">
        <f t="shared" si="229"/>
        <v/>
      </c>
      <c r="K2870" s="24" t="str">
        <f t="shared" si="230"/>
        <v/>
      </c>
      <c r="L2870" s="25" t="str">
        <f t="shared" si="226"/>
        <v/>
      </c>
      <c r="O2870" s="33" t="str">
        <f t="shared" si="227"/>
        <v/>
      </c>
      <c r="P2870" s="33" t="str">
        <f t="shared" si="228"/>
        <v/>
      </c>
    </row>
    <row r="2871" spans="9:16">
      <c r="I2871" s="23" t="str">
        <f>_xlfn.IFNA(VLOOKUP(A2871,A2872:$H$3524,8,0),"")</f>
        <v/>
      </c>
      <c r="J2871" s="40" t="str">
        <f t="shared" si="229"/>
        <v/>
      </c>
      <c r="K2871" s="24" t="str">
        <f t="shared" si="230"/>
        <v/>
      </c>
      <c r="L2871" s="25" t="str">
        <f t="shared" ref="L2871:L2934" si="231">IF(K2871="","",IF(B2871="Break","Break",IF(K2871&lt;&gt;0,"Work Finished",IF(B2871="OFF","Work Finished",IF(I2871="","Working","Work Finished")))))</f>
        <v/>
      </c>
      <c r="O2871" s="33" t="str">
        <f t="shared" ref="O2871:O2934" si="232">IF(AND(J2871="",M2871="",N2871=""),"",J2871-M2871-N2871)</f>
        <v/>
      </c>
      <c r="P2871" s="33" t="str">
        <f t="shared" ref="P2871:P2934" si="233">IF(HOUR(H2871)=0,"",HOUR(H2871))</f>
        <v/>
      </c>
    </row>
    <row r="2872" spans="9:16">
      <c r="I2872" s="23" t="str">
        <f>_xlfn.IFNA(VLOOKUP(A2872,A2873:$H$3524,8,0),"")</f>
        <v/>
      </c>
      <c r="J2872" s="40" t="str">
        <f t="shared" si="229"/>
        <v/>
      </c>
      <c r="K2872" s="24" t="str">
        <f t="shared" si="230"/>
        <v/>
      </c>
      <c r="L2872" s="25" t="str">
        <f t="shared" si="231"/>
        <v/>
      </c>
      <c r="O2872" s="33" t="str">
        <f t="shared" si="232"/>
        <v/>
      </c>
      <c r="P2872" s="33" t="str">
        <f t="shared" si="233"/>
        <v/>
      </c>
    </row>
    <row r="2873" spans="9:16">
      <c r="I2873" s="23" t="str">
        <f>_xlfn.IFNA(VLOOKUP(A2873,A2874:$H$3524,8,0),"")</f>
        <v/>
      </c>
      <c r="J2873" s="40" t="str">
        <f t="shared" si="229"/>
        <v/>
      </c>
      <c r="K2873" s="24" t="str">
        <f t="shared" si="230"/>
        <v/>
      </c>
      <c r="L2873" s="25" t="str">
        <f t="shared" si="231"/>
        <v/>
      </c>
      <c r="O2873" s="33" t="str">
        <f t="shared" si="232"/>
        <v/>
      </c>
      <c r="P2873" s="33" t="str">
        <f t="shared" si="233"/>
        <v/>
      </c>
    </row>
    <row r="2874" spans="9:16">
      <c r="I2874" s="23" t="str">
        <f>_xlfn.IFNA(VLOOKUP(A2874,A2875:$H$3524,8,0),"")</f>
        <v/>
      </c>
      <c r="J2874" s="40" t="str">
        <f t="shared" si="229"/>
        <v/>
      </c>
      <c r="K2874" s="24" t="str">
        <f t="shared" si="230"/>
        <v/>
      </c>
      <c r="L2874" s="25" t="str">
        <f t="shared" si="231"/>
        <v/>
      </c>
      <c r="O2874" s="33" t="str">
        <f t="shared" si="232"/>
        <v/>
      </c>
      <c r="P2874" s="33" t="str">
        <f t="shared" si="233"/>
        <v/>
      </c>
    </row>
    <row r="2875" spans="9:16">
      <c r="I2875" s="23" t="str">
        <f>_xlfn.IFNA(VLOOKUP(A2875,A2876:$H$3524,8,0),"")</f>
        <v/>
      </c>
      <c r="J2875" s="40" t="str">
        <f t="shared" si="229"/>
        <v/>
      </c>
      <c r="K2875" s="24" t="str">
        <f t="shared" si="230"/>
        <v/>
      </c>
      <c r="L2875" s="25" t="str">
        <f t="shared" si="231"/>
        <v/>
      </c>
      <c r="O2875" s="33" t="str">
        <f t="shared" si="232"/>
        <v/>
      </c>
      <c r="P2875" s="33" t="str">
        <f t="shared" si="233"/>
        <v/>
      </c>
    </row>
    <row r="2876" spans="9:16">
      <c r="I2876" s="23" t="str">
        <f>_xlfn.IFNA(VLOOKUP(A2876,A2877:$H$3524,8,0),"")</f>
        <v/>
      </c>
      <c r="J2876" s="40" t="str">
        <f t="shared" si="229"/>
        <v/>
      </c>
      <c r="K2876" s="24" t="str">
        <f t="shared" si="230"/>
        <v/>
      </c>
      <c r="L2876" s="25" t="str">
        <f t="shared" si="231"/>
        <v/>
      </c>
      <c r="O2876" s="33" t="str">
        <f t="shared" si="232"/>
        <v/>
      </c>
      <c r="P2876" s="33" t="str">
        <f t="shared" si="233"/>
        <v/>
      </c>
    </row>
    <row r="2877" spans="9:16">
      <c r="I2877" s="23" t="str">
        <f>_xlfn.IFNA(VLOOKUP(A2877,A2878:$H$3524,8,0),"")</f>
        <v/>
      </c>
      <c r="J2877" s="40" t="str">
        <f t="shared" si="229"/>
        <v/>
      </c>
      <c r="K2877" s="24" t="str">
        <f t="shared" si="230"/>
        <v/>
      </c>
      <c r="L2877" s="25" t="str">
        <f t="shared" si="231"/>
        <v/>
      </c>
      <c r="O2877" s="33" t="str">
        <f t="shared" si="232"/>
        <v/>
      </c>
      <c r="P2877" s="33" t="str">
        <f t="shared" si="233"/>
        <v/>
      </c>
    </row>
    <row r="2878" spans="9:16">
      <c r="I2878" s="23" t="str">
        <f>_xlfn.IFNA(VLOOKUP(A2878,A2879:$H$3524,8,0),"")</f>
        <v/>
      </c>
      <c r="J2878" s="40" t="str">
        <f t="shared" si="229"/>
        <v/>
      </c>
      <c r="K2878" s="24" t="str">
        <f t="shared" si="230"/>
        <v/>
      </c>
      <c r="L2878" s="25" t="str">
        <f t="shared" si="231"/>
        <v/>
      </c>
      <c r="O2878" s="33" t="str">
        <f t="shared" si="232"/>
        <v/>
      </c>
      <c r="P2878" s="33" t="str">
        <f t="shared" si="233"/>
        <v/>
      </c>
    </row>
    <row r="2879" spans="9:16">
      <c r="I2879" s="23" t="str">
        <f>_xlfn.IFNA(VLOOKUP(A2879,A2880:$H$3524,8,0),"")</f>
        <v/>
      </c>
      <c r="J2879" s="40" t="str">
        <f t="shared" si="229"/>
        <v/>
      </c>
      <c r="K2879" s="24" t="str">
        <f t="shared" si="230"/>
        <v/>
      </c>
      <c r="L2879" s="25" t="str">
        <f t="shared" si="231"/>
        <v/>
      </c>
      <c r="O2879" s="33" t="str">
        <f t="shared" si="232"/>
        <v/>
      </c>
      <c r="P2879" s="33" t="str">
        <f t="shared" si="233"/>
        <v/>
      </c>
    </row>
    <row r="2880" spans="9:16">
      <c r="I2880" s="23" t="str">
        <f>_xlfn.IFNA(VLOOKUP(A2880,A2881:$H$3524,8,0),"")</f>
        <v/>
      </c>
      <c r="J2880" s="40" t="str">
        <f t="shared" si="229"/>
        <v/>
      </c>
      <c r="K2880" s="24" t="str">
        <f t="shared" si="230"/>
        <v/>
      </c>
      <c r="L2880" s="25" t="str">
        <f t="shared" si="231"/>
        <v/>
      </c>
      <c r="O2880" s="33" t="str">
        <f t="shared" si="232"/>
        <v/>
      </c>
      <c r="P2880" s="33" t="str">
        <f t="shared" si="233"/>
        <v/>
      </c>
    </row>
    <row r="2881" spans="9:16">
      <c r="I2881" s="23" t="str">
        <f>_xlfn.IFNA(VLOOKUP(A2881,A2882:$H$3524,8,0),"")</f>
        <v/>
      </c>
      <c r="J2881" s="40" t="str">
        <f t="shared" si="229"/>
        <v/>
      </c>
      <c r="K2881" s="24" t="str">
        <f t="shared" si="230"/>
        <v/>
      </c>
      <c r="L2881" s="25" t="str">
        <f t="shared" si="231"/>
        <v/>
      </c>
      <c r="O2881" s="33" t="str">
        <f t="shared" si="232"/>
        <v/>
      </c>
      <c r="P2881" s="33" t="str">
        <f t="shared" si="233"/>
        <v/>
      </c>
    </row>
    <row r="2882" spans="9:16">
      <c r="I2882" s="23" t="str">
        <f>_xlfn.IFNA(VLOOKUP(A2882,A2883:$H$3524,8,0),"")</f>
        <v/>
      </c>
      <c r="J2882" s="40" t="str">
        <f t="shared" si="229"/>
        <v/>
      </c>
      <c r="K2882" s="24" t="str">
        <f t="shared" si="230"/>
        <v/>
      </c>
      <c r="L2882" s="25" t="str">
        <f t="shared" si="231"/>
        <v/>
      </c>
      <c r="O2882" s="33" t="str">
        <f t="shared" si="232"/>
        <v/>
      </c>
      <c r="P2882" s="33" t="str">
        <f t="shared" si="233"/>
        <v/>
      </c>
    </row>
    <row r="2883" spans="9:16">
      <c r="I2883" s="23" t="str">
        <f>_xlfn.IFNA(VLOOKUP(A2883,A2884:$H$3524,8,0),"")</f>
        <v/>
      </c>
      <c r="J2883" s="40" t="str">
        <f t="shared" si="229"/>
        <v/>
      </c>
      <c r="K2883" s="24" t="str">
        <f t="shared" si="230"/>
        <v/>
      </c>
      <c r="L2883" s="25" t="str">
        <f t="shared" si="231"/>
        <v/>
      </c>
      <c r="O2883" s="33" t="str">
        <f t="shared" si="232"/>
        <v/>
      </c>
      <c r="P2883" s="33" t="str">
        <f t="shared" si="233"/>
        <v/>
      </c>
    </row>
    <row r="2884" spans="9:16">
      <c r="I2884" s="23" t="str">
        <f>_xlfn.IFNA(VLOOKUP(A2884,A2885:$H$3524,8,0),"")</f>
        <v/>
      </c>
      <c r="J2884" s="40" t="str">
        <f t="shared" si="229"/>
        <v/>
      </c>
      <c r="K2884" s="24" t="str">
        <f t="shared" si="230"/>
        <v/>
      </c>
      <c r="L2884" s="25" t="str">
        <f t="shared" si="231"/>
        <v/>
      </c>
      <c r="O2884" s="33" t="str">
        <f t="shared" si="232"/>
        <v/>
      </c>
      <c r="P2884" s="33" t="str">
        <f t="shared" si="233"/>
        <v/>
      </c>
    </row>
    <row r="2885" spans="9:16">
      <c r="I2885" s="23" t="str">
        <f>_xlfn.IFNA(VLOOKUP(A2885,A2886:$H$3524,8,0),"")</f>
        <v/>
      </c>
      <c r="J2885" s="40" t="str">
        <f t="shared" si="229"/>
        <v/>
      </c>
      <c r="K2885" s="24" t="str">
        <f t="shared" si="230"/>
        <v/>
      </c>
      <c r="L2885" s="25" t="str">
        <f t="shared" si="231"/>
        <v/>
      </c>
      <c r="O2885" s="33" t="str">
        <f t="shared" si="232"/>
        <v/>
      </c>
      <c r="P2885" s="33" t="str">
        <f t="shared" si="233"/>
        <v/>
      </c>
    </row>
    <row r="2886" spans="9:16">
      <c r="I2886" s="23" t="str">
        <f>_xlfn.IFNA(VLOOKUP(A2886,A2887:$H$3524,8,0),"")</f>
        <v/>
      </c>
      <c r="J2886" s="40" t="str">
        <f t="shared" ref="J2886:J2949" si="234">IF(B2886="OFF",0,IF(AND(D2886&lt;&gt;"",E2886&lt;&gt;""),E2886-D2886+1,""))</f>
        <v/>
      </c>
      <c r="K2886" s="24" t="str">
        <f t="shared" si="230"/>
        <v/>
      </c>
      <c r="L2886" s="25" t="str">
        <f t="shared" si="231"/>
        <v/>
      </c>
      <c r="O2886" s="33" t="str">
        <f t="shared" si="232"/>
        <v/>
      </c>
      <c r="P2886" s="33" t="str">
        <f t="shared" si="233"/>
        <v/>
      </c>
    </row>
    <row r="2887" spans="9:16">
      <c r="I2887" s="23" t="str">
        <f>_xlfn.IFNA(VLOOKUP(A2887,A2888:$H$3524,8,0),"")</f>
        <v/>
      </c>
      <c r="J2887" s="40" t="str">
        <f t="shared" si="234"/>
        <v/>
      </c>
      <c r="K2887" s="24" t="str">
        <f t="shared" si="230"/>
        <v/>
      </c>
      <c r="L2887" s="25" t="str">
        <f t="shared" si="231"/>
        <v/>
      </c>
      <c r="O2887" s="33" t="str">
        <f t="shared" si="232"/>
        <v/>
      </c>
      <c r="P2887" s="33" t="str">
        <f t="shared" si="233"/>
        <v/>
      </c>
    </row>
    <row r="2888" spans="9:16">
      <c r="I2888" s="23" t="str">
        <f>_xlfn.IFNA(VLOOKUP(A2888,A2889:$H$3524,8,0),"")</f>
        <v/>
      </c>
      <c r="J2888" s="40" t="str">
        <f t="shared" si="234"/>
        <v/>
      </c>
      <c r="K2888" s="24" t="str">
        <f t="shared" si="230"/>
        <v/>
      </c>
      <c r="L2888" s="25" t="str">
        <f t="shared" si="231"/>
        <v/>
      </c>
      <c r="O2888" s="33" t="str">
        <f t="shared" si="232"/>
        <v/>
      </c>
      <c r="P2888" s="33" t="str">
        <f t="shared" si="233"/>
        <v/>
      </c>
    </row>
    <row r="2889" spans="9:16">
      <c r="I2889" s="23" t="str">
        <f>_xlfn.IFNA(VLOOKUP(A2889,A2890:$H$3524,8,0),"")</f>
        <v/>
      </c>
      <c r="J2889" s="40" t="str">
        <f t="shared" si="234"/>
        <v/>
      </c>
      <c r="K2889" s="24" t="str">
        <f t="shared" si="230"/>
        <v/>
      </c>
      <c r="L2889" s="25" t="str">
        <f t="shared" si="231"/>
        <v/>
      </c>
      <c r="O2889" s="33" t="str">
        <f t="shared" si="232"/>
        <v/>
      </c>
      <c r="P2889" s="33" t="str">
        <f t="shared" si="233"/>
        <v/>
      </c>
    </row>
    <row r="2890" spans="9:16">
      <c r="I2890" s="23" t="str">
        <f>_xlfn.IFNA(VLOOKUP(A2890,A2891:$H$3524,8,0),"")</f>
        <v/>
      </c>
      <c r="J2890" s="40" t="str">
        <f t="shared" si="234"/>
        <v/>
      </c>
      <c r="K2890" s="24" t="str">
        <f t="shared" si="230"/>
        <v/>
      </c>
      <c r="L2890" s="25" t="str">
        <f t="shared" si="231"/>
        <v/>
      </c>
      <c r="O2890" s="33" t="str">
        <f t="shared" si="232"/>
        <v/>
      </c>
      <c r="P2890" s="33" t="str">
        <f t="shared" si="233"/>
        <v/>
      </c>
    </row>
    <row r="2891" spans="9:16">
      <c r="I2891" s="23" t="str">
        <f>_xlfn.IFNA(VLOOKUP(A2891,A2892:$H$3524,8,0),"")</f>
        <v/>
      </c>
      <c r="J2891" s="40" t="str">
        <f t="shared" si="234"/>
        <v/>
      </c>
      <c r="K2891" s="24" t="str">
        <f t="shared" si="230"/>
        <v/>
      </c>
      <c r="L2891" s="25" t="str">
        <f t="shared" si="231"/>
        <v/>
      </c>
      <c r="O2891" s="33" t="str">
        <f t="shared" si="232"/>
        <v/>
      </c>
      <c r="P2891" s="33" t="str">
        <f t="shared" si="233"/>
        <v/>
      </c>
    </row>
    <row r="2892" spans="9:16">
      <c r="I2892" s="23" t="str">
        <f>_xlfn.IFNA(VLOOKUP(A2892,A2893:$H$3524,8,0),"")</f>
        <v/>
      </c>
      <c r="J2892" s="40" t="str">
        <f t="shared" si="234"/>
        <v/>
      </c>
      <c r="K2892" s="24" t="str">
        <f t="shared" si="230"/>
        <v/>
      </c>
      <c r="L2892" s="25" t="str">
        <f t="shared" si="231"/>
        <v/>
      </c>
      <c r="O2892" s="33" t="str">
        <f t="shared" si="232"/>
        <v/>
      </c>
      <c r="P2892" s="33" t="str">
        <f t="shared" si="233"/>
        <v/>
      </c>
    </row>
    <row r="2893" spans="9:16">
      <c r="I2893" s="23" t="str">
        <f>_xlfn.IFNA(VLOOKUP(A2893,A2894:$H$3524,8,0),"")</f>
        <v/>
      </c>
      <c r="J2893" s="40" t="str">
        <f t="shared" si="234"/>
        <v/>
      </c>
      <c r="K2893" s="24" t="str">
        <f t="shared" si="230"/>
        <v/>
      </c>
      <c r="L2893" s="25" t="str">
        <f t="shared" si="231"/>
        <v/>
      </c>
      <c r="O2893" s="33" t="str">
        <f t="shared" si="232"/>
        <v/>
      </c>
      <c r="P2893" s="33" t="str">
        <f t="shared" si="233"/>
        <v/>
      </c>
    </row>
    <row r="2894" spans="9:16">
      <c r="I2894" s="23" t="str">
        <f>_xlfn.IFNA(VLOOKUP(A2894,A2895:$H$3524,8,0),"")</f>
        <v/>
      </c>
      <c r="J2894" s="40" t="str">
        <f t="shared" si="234"/>
        <v/>
      </c>
      <c r="K2894" s="24" t="str">
        <f t="shared" si="230"/>
        <v/>
      </c>
      <c r="L2894" s="25" t="str">
        <f t="shared" si="231"/>
        <v/>
      </c>
      <c r="O2894" s="33" t="str">
        <f t="shared" si="232"/>
        <v/>
      </c>
      <c r="P2894" s="33" t="str">
        <f t="shared" si="233"/>
        <v/>
      </c>
    </row>
    <row r="2895" spans="9:16">
      <c r="I2895" s="23" t="str">
        <f>_xlfn.IFNA(VLOOKUP(A2895,A2896:$H$3524,8,0),"")</f>
        <v/>
      </c>
      <c r="J2895" s="40" t="str">
        <f t="shared" si="234"/>
        <v/>
      </c>
      <c r="K2895" s="24" t="str">
        <f t="shared" si="230"/>
        <v/>
      </c>
      <c r="L2895" s="25" t="str">
        <f t="shared" si="231"/>
        <v/>
      </c>
      <c r="O2895" s="33" t="str">
        <f t="shared" si="232"/>
        <v/>
      </c>
      <c r="P2895" s="33" t="str">
        <f t="shared" si="233"/>
        <v/>
      </c>
    </row>
    <row r="2896" spans="9:16">
      <c r="I2896" s="23" t="str">
        <f>_xlfn.IFNA(VLOOKUP(A2896,A2897:$H$3524,8,0),"")</f>
        <v/>
      </c>
      <c r="J2896" s="40" t="str">
        <f t="shared" si="234"/>
        <v/>
      </c>
      <c r="K2896" s="24" t="str">
        <f t="shared" si="230"/>
        <v/>
      </c>
      <c r="L2896" s="25" t="str">
        <f t="shared" si="231"/>
        <v/>
      </c>
      <c r="O2896" s="33" t="str">
        <f t="shared" si="232"/>
        <v/>
      </c>
      <c r="P2896" s="33" t="str">
        <f t="shared" si="233"/>
        <v/>
      </c>
    </row>
    <row r="2897" spans="9:16">
      <c r="I2897" s="23" t="str">
        <f>_xlfn.IFNA(VLOOKUP(A2897,A2898:$H$3524,8,0),"")</f>
        <v/>
      </c>
      <c r="J2897" s="40" t="str">
        <f t="shared" si="234"/>
        <v/>
      </c>
      <c r="K2897" s="24" t="str">
        <f t="shared" si="230"/>
        <v/>
      </c>
      <c r="L2897" s="25" t="str">
        <f t="shared" si="231"/>
        <v/>
      </c>
      <c r="O2897" s="33" t="str">
        <f t="shared" si="232"/>
        <v/>
      </c>
      <c r="P2897" s="33" t="str">
        <f t="shared" si="233"/>
        <v/>
      </c>
    </row>
    <row r="2898" spans="9:16">
      <c r="I2898" s="23" t="str">
        <f>_xlfn.IFNA(VLOOKUP(A2898,A2899:$H$3524,8,0),"")</f>
        <v/>
      </c>
      <c r="J2898" s="40" t="str">
        <f t="shared" si="234"/>
        <v/>
      </c>
      <c r="K2898" s="24" t="str">
        <f t="shared" si="230"/>
        <v/>
      </c>
      <c r="L2898" s="25" t="str">
        <f t="shared" si="231"/>
        <v/>
      </c>
      <c r="O2898" s="33" t="str">
        <f t="shared" si="232"/>
        <v/>
      </c>
      <c r="P2898" s="33" t="str">
        <f t="shared" si="233"/>
        <v/>
      </c>
    </row>
    <row r="2899" spans="9:16">
      <c r="I2899" s="23" t="str">
        <f>_xlfn.IFNA(VLOOKUP(A2899,A2900:$H$3524,8,0),"")</f>
        <v/>
      </c>
      <c r="J2899" s="40" t="str">
        <f t="shared" si="234"/>
        <v/>
      </c>
      <c r="K2899" s="24" t="str">
        <f t="shared" si="230"/>
        <v/>
      </c>
      <c r="L2899" s="25" t="str">
        <f t="shared" si="231"/>
        <v/>
      </c>
      <c r="O2899" s="33" t="str">
        <f t="shared" si="232"/>
        <v/>
      </c>
      <c r="P2899" s="33" t="str">
        <f t="shared" si="233"/>
        <v/>
      </c>
    </row>
    <row r="2900" spans="9:16">
      <c r="I2900" s="23" t="str">
        <f>_xlfn.IFNA(VLOOKUP(A2900,A2901:$H$3524,8,0),"")</f>
        <v/>
      </c>
      <c r="J2900" s="40" t="str">
        <f t="shared" si="234"/>
        <v/>
      </c>
      <c r="K2900" s="24" t="str">
        <f t="shared" si="230"/>
        <v/>
      </c>
      <c r="L2900" s="25" t="str">
        <f t="shared" si="231"/>
        <v/>
      </c>
      <c r="O2900" s="33" t="str">
        <f t="shared" si="232"/>
        <v/>
      </c>
      <c r="P2900" s="33" t="str">
        <f t="shared" si="233"/>
        <v/>
      </c>
    </row>
    <row r="2901" spans="9:16">
      <c r="I2901" s="23" t="str">
        <f>_xlfn.IFNA(VLOOKUP(A2901,A2902:$H$3524,8,0),"")</f>
        <v/>
      </c>
      <c r="J2901" s="40" t="str">
        <f t="shared" si="234"/>
        <v/>
      </c>
      <c r="K2901" s="24" t="str">
        <f t="shared" si="230"/>
        <v/>
      </c>
      <c r="L2901" s="25" t="str">
        <f t="shared" si="231"/>
        <v/>
      </c>
      <c r="O2901" s="33" t="str">
        <f t="shared" si="232"/>
        <v/>
      </c>
      <c r="P2901" s="33" t="str">
        <f t="shared" si="233"/>
        <v/>
      </c>
    </row>
    <row r="2902" spans="9:16">
      <c r="I2902" s="23" t="str">
        <f>_xlfn.IFNA(VLOOKUP(A2902,A2903:$H$3524,8,0),"")</f>
        <v/>
      </c>
      <c r="J2902" s="40" t="str">
        <f t="shared" si="234"/>
        <v/>
      </c>
      <c r="K2902" s="24" t="str">
        <f t="shared" ref="K2902:K2965" si="235">IF(H2902="","",IFERROR((I2902-H2902)*24,0))</f>
        <v/>
      </c>
      <c r="L2902" s="25" t="str">
        <f t="shared" si="231"/>
        <v/>
      </c>
      <c r="O2902" s="33" t="str">
        <f t="shared" si="232"/>
        <v/>
      </c>
      <c r="P2902" s="33" t="str">
        <f t="shared" si="233"/>
        <v/>
      </c>
    </row>
    <row r="2903" spans="9:16">
      <c r="I2903" s="23" t="str">
        <f>_xlfn.IFNA(VLOOKUP(A2903,A2904:$H$3524,8,0),"")</f>
        <v/>
      </c>
      <c r="J2903" s="40" t="str">
        <f t="shared" si="234"/>
        <v/>
      </c>
      <c r="K2903" s="24" t="str">
        <f t="shared" si="235"/>
        <v/>
      </c>
      <c r="L2903" s="25" t="str">
        <f t="shared" si="231"/>
        <v/>
      </c>
      <c r="O2903" s="33" t="str">
        <f t="shared" si="232"/>
        <v/>
      </c>
      <c r="P2903" s="33" t="str">
        <f t="shared" si="233"/>
        <v/>
      </c>
    </row>
    <row r="2904" spans="9:16">
      <c r="I2904" s="23" t="str">
        <f>_xlfn.IFNA(VLOOKUP(A2904,A2905:$H$3524,8,0),"")</f>
        <v/>
      </c>
      <c r="J2904" s="40" t="str">
        <f t="shared" si="234"/>
        <v/>
      </c>
      <c r="K2904" s="24" t="str">
        <f t="shared" si="235"/>
        <v/>
      </c>
      <c r="L2904" s="25" t="str">
        <f t="shared" si="231"/>
        <v/>
      </c>
      <c r="O2904" s="33" t="str">
        <f t="shared" si="232"/>
        <v/>
      </c>
      <c r="P2904" s="33" t="str">
        <f t="shared" si="233"/>
        <v/>
      </c>
    </row>
    <row r="2905" spans="9:16">
      <c r="I2905" s="23" t="str">
        <f>_xlfn.IFNA(VLOOKUP(A2905,A2906:$H$3524,8,0),"")</f>
        <v/>
      </c>
      <c r="J2905" s="40" t="str">
        <f t="shared" si="234"/>
        <v/>
      </c>
      <c r="K2905" s="24" t="str">
        <f t="shared" si="235"/>
        <v/>
      </c>
      <c r="L2905" s="25" t="str">
        <f t="shared" si="231"/>
        <v/>
      </c>
      <c r="O2905" s="33" t="str">
        <f t="shared" si="232"/>
        <v/>
      </c>
      <c r="P2905" s="33" t="str">
        <f t="shared" si="233"/>
        <v/>
      </c>
    </row>
    <row r="2906" spans="9:16">
      <c r="I2906" s="23" t="str">
        <f>_xlfn.IFNA(VLOOKUP(A2906,A2907:$H$3524,8,0),"")</f>
        <v/>
      </c>
      <c r="J2906" s="40" t="str">
        <f t="shared" si="234"/>
        <v/>
      </c>
      <c r="K2906" s="24" t="str">
        <f t="shared" si="235"/>
        <v/>
      </c>
      <c r="L2906" s="25" t="str">
        <f t="shared" si="231"/>
        <v/>
      </c>
      <c r="O2906" s="33" t="str">
        <f t="shared" si="232"/>
        <v/>
      </c>
      <c r="P2906" s="33" t="str">
        <f t="shared" si="233"/>
        <v/>
      </c>
    </row>
    <row r="2907" spans="9:16">
      <c r="I2907" s="23" t="str">
        <f>_xlfn.IFNA(VLOOKUP(A2907,A2908:$H$3524,8,0),"")</f>
        <v/>
      </c>
      <c r="J2907" s="40" t="str">
        <f t="shared" si="234"/>
        <v/>
      </c>
      <c r="K2907" s="24" t="str">
        <f t="shared" si="235"/>
        <v/>
      </c>
      <c r="L2907" s="25" t="str">
        <f t="shared" si="231"/>
        <v/>
      </c>
      <c r="O2907" s="33" t="str">
        <f t="shared" si="232"/>
        <v/>
      </c>
      <c r="P2907" s="33" t="str">
        <f t="shared" si="233"/>
        <v/>
      </c>
    </row>
    <row r="2908" spans="9:16">
      <c r="I2908" s="23" t="str">
        <f>_xlfn.IFNA(VLOOKUP(A2908,A2909:$H$3524,8,0),"")</f>
        <v/>
      </c>
      <c r="J2908" s="40" t="str">
        <f t="shared" si="234"/>
        <v/>
      </c>
      <c r="K2908" s="24" t="str">
        <f t="shared" si="235"/>
        <v/>
      </c>
      <c r="L2908" s="25" t="str">
        <f t="shared" si="231"/>
        <v/>
      </c>
      <c r="O2908" s="33" t="str">
        <f t="shared" si="232"/>
        <v/>
      </c>
      <c r="P2908" s="33" t="str">
        <f t="shared" si="233"/>
        <v/>
      </c>
    </row>
    <row r="2909" spans="9:16">
      <c r="I2909" s="23" t="str">
        <f>_xlfn.IFNA(VLOOKUP(A2909,A2910:$H$3524,8,0),"")</f>
        <v/>
      </c>
      <c r="J2909" s="40" t="str">
        <f t="shared" si="234"/>
        <v/>
      </c>
      <c r="K2909" s="24" t="str">
        <f t="shared" si="235"/>
        <v/>
      </c>
      <c r="L2909" s="25" t="str">
        <f t="shared" si="231"/>
        <v/>
      </c>
      <c r="O2909" s="33" t="str">
        <f t="shared" si="232"/>
        <v/>
      </c>
      <c r="P2909" s="33" t="str">
        <f t="shared" si="233"/>
        <v/>
      </c>
    </row>
    <row r="2910" spans="9:16">
      <c r="I2910" s="23" t="str">
        <f>_xlfn.IFNA(VLOOKUP(A2910,A2911:$H$3524,8,0),"")</f>
        <v/>
      </c>
      <c r="J2910" s="40" t="str">
        <f t="shared" si="234"/>
        <v/>
      </c>
      <c r="K2910" s="24" t="str">
        <f t="shared" si="235"/>
        <v/>
      </c>
      <c r="L2910" s="25" t="str">
        <f t="shared" si="231"/>
        <v/>
      </c>
      <c r="O2910" s="33" t="str">
        <f t="shared" si="232"/>
        <v/>
      </c>
      <c r="P2910" s="33" t="str">
        <f t="shared" si="233"/>
        <v/>
      </c>
    </row>
    <row r="2911" spans="9:16">
      <c r="I2911" s="23" t="str">
        <f>_xlfn.IFNA(VLOOKUP(A2911,A2912:$H$3524,8,0),"")</f>
        <v/>
      </c>
      <c r="J2911" s="40" t="str">
        <f t="shared" si="234"/>
        <v/>
      </c>
      <c r="K2911" s="24" t="str">
        <f t="shared" si="235"/>
        <v/>
      </c>
      <c r="L2911" s="25" t="str">
        <f t="shared" si="231"/>
        <v/>
      </c>
      <c r="O2911" s="33" t="str">
        <f t="shared" si="232"/>
        <v/>
      </c>
      <c r="P2911" s="33" t="str">
        <f t="shared" si="233"/>
        <v/>
      </c>
    </row>
    <row r="2912" spans="9:16">
      <c r="I2912" s="23" t="str">
        <f>_xlfn.IFNA(VLOOKUP(A2912,A2913:$H$3524,8,0),"")</f>
        <v/>
      </c>
      <c r="J2912" s="40" t="str">
        <f t="shared" si="234"/>
        <v/>
      </c>
      <c r="K2912" s="24" t="str">
        <f t="shared" si="235"/>
        <v/>
      </c>
      <c r="L2912" s="25" t="str">
        <f t="shared" si="231"/>
        <v/>
      </c>
      <c r="O2912" s="33" t="str">
        <f t="shared" si="232"/>
        <v/>
      </c>
      <c r="P2912" s="33" t="str">
        <f t="shared" si="233"/>
        <v/>
      </c>
    </row>
    <row r="2913" spans="9:16">
      <c r="I2913" s="23" t="str">
        <f>_xlfn.IFNA(VLOOKUP(A2913,A2914:$H$3524,8,0),"")</f>
        <v/>
      </c>
      <c r="J2913" s="40" t="str">
        <f t="shared" si="234"/>
        <v/>
      </c>
      <c r="K2913" s="24" t="str">
        <f t="shared" si="235"/>
        <v/>
      </c>
      <c r="L2913" s="25" t="str">
        <f t="shared" si="231"/>
        <v/>
      </c>
      <c r="O2913" s="33" t="str">
        <f t="shared" si="232"/>
        <v/>
      </c>
      <c r="P2913" s="33" t="str">
        <f t="shared" si="233"/>
        <v/>
      </c>
    </row>
    <row r="2914" spans="9:16">
      <c r="I2914" s="23" t="str">
        <f>_xlfn.IFNA(VLOOKUP(A2914,A2915:$H$3524,8,0),"")</f>
        <v/>
      </c>
      <c r="J2914" s="40" t="str">
        <f t="shared" si="234"/>
        <v/>
      </c>
      <c r="K2914" s="24" t="str">
        <f t="shared" si="235"/>
        <v/>
      </c>
      <c r="L2914" s="25" t="str">
        <f t="shared" si="231"/>
        <v/>
      </c>
      <c r="O2914" s="33" t="str">
        <f t="shared" si="232"/>
        <v/>
      </c>
      <c r="P2914" s="33" t="str">
        <f t="shared" si="233"/>
        <v/>
      </c>
    </row>
    <row r="2915" spans="9:16">
      <c r="I2915" s="23" t="str">
        <f>_xlfn.IFNA(VLOOKUP(A2915,A2916:$H$3524,8,0),"")</f>
        <v/>
      </c>
      <c r="J2915" s="40" t="str">
        <f t="shared" si="234"/>
        <v/>
      </c>
      <c r="K2915" s="24" t="str">
        <f t="shared" si="235"/>
        <v/>
      </c>
      <c r="L2915" s="25" t="str">
        <f t="shared" si="231"/>
        <v/>
      </c>
      <c r="O2915" s="33" t="str">
        <f t="shared" si="232"/>
        <v/>
      </c>
      <c r="P2915" s="33" t="str">
        <f t="shared" si="233"/>
        <v/>
      </c>
    </row>
    <row r="2916" spans="9:16">
      <c r="I2916" s="23" t="str">
        <f>_xlfn.IFNA(VLOOKUP(A2916,A2917:$H$3524,8,0),"")</f>
        <v/>
      </c>
      <c r="J2916" s="40" t="str">
        <f t="shared" si="234"/>
        <v/>
      </c>
      <c r="K2916" s="24" t="str">
        <f t="shared" si="235"/>
        <v/>
      </c>
      <c r="L2916" s="25" t="str">
        <f t="shared" si="231"/>
        <v/>
      </c>
      <c r="O2916" s="33" t="str">
        <f t="shared" si="232"/>
        <v/>
      </c>
      <c r="P2916" s="33" t="str">
        <f t="shared" si="233"/>
        <v/>
      </c>
    </row>
    <row r="2917" spans="9:16">
      <c r="I2917" s="23" t="str">
        <f>_xlfn.IFNA(VLOOKUP(A2917,A2918:$H$3524,8,0),"")</f>
        <v/>
      </c>
      <c r="J2917" s="40" t="str">
        <f t="shared" si="234"/>
        <v/>
      </c>
      <c r="K2917" s="24" t="str">
        <f t="shared" si="235"/>
        <v/>
      </c>
      <c r="L2917" s="25" t="str">
        <f t="shared" si="231"/>
        <v/>
      </c>
      <c r="O2917" s="33" t="str">
        <f t="shared" si="232"/>
        <v/>
      </c>
      <c r="P2917" s="33" t="str">
        <f t="shared" si="233"/>
        <v/>
      </c>
    </row>
    <row r="2918" spans="9:16">
      <c r="I2918" s="23" t="str">
        <f>_xlfn.IFNA(VLOOKUP(A2918,A2919:$H$3524,8,0),"")</f>
        <v/>
      </c>
      <c r="J2918" s="40" t="str">
        <f t="shared" si="234"/>
        <v/>
      </c>
      <c r="K2918" s="24" t="str">
        <f t="shared" si="235"/>
        <v/>
      </c>
      <c r="L2918" s="25" t="str">
        <f t="shared" si="231"/>
        <v/>
      </c>
      <c r="O2918" s="33" t="str">
        <f t="shared" si="232"/>
        <v/>
      </c>
      <c r="P2918" s="33" t="str">
        <f t="shared" si="233"/>
        <v/>
      </c>
    </row>
    <row r="2919" spans="9:16">
      <c r="I2919" s="23" t="str">
        <f>_xlfn.IFNA(VLOOKUP(A2919,A2920:$H$3524,8,0),"")</f>
        <v/>
      </c>
      <c r="J2919" s="40" t="str">
        <f t="shared" si="234"/>
        <v/>
      </c>
      <c r="K2919" s="24" t="str">
        <f t="shared" si="235"/>
        <v/>
      </c>
      <c r="L2919" s="25" t="str">
        <f t="shared" si="231"/>
        <v/>
      </c>
      <c r="O2919" s="33" t="str">
        <f t="shared" si="232"/>
        <v/>
      </c>
      <c r="P2919" s="33" t="str">
        <f t="shared" si="233"/>
        <v/>
      </c>
    </row>
    <row r="2920" spans="9:16">
      <c r="I2920" s="23" t="str">
        <f>_xlfn.IFNA(VLOOKUP(A2920,A2921:$H$3524,8,0),"")</f>
        <v/>
      </c>
      <c r="J2920" s="40" t="str">
        <f t="shared" si="234"/>
        <v/>
      </c>
      <c r="K2920" s="24" t="str">
        <f t="shared" si="235"/>
        <v/>
      </c>
      <c r="L2920" s="25" t="str">
        <f t="shared" si="231"/>
        <v/>
      </c>
      <c r="O2920" s="33" t="str">
        <f t="shared" si="232"/>
        <v/>
      </c>
      <c r="P2920" s="33" t="str">
        <f t="shared" si="233"/>
        <v/>
      </c>
    </row>
    <row r="2921" spans="9:16">
      <c r="I2921" s="23" t="str">
        <f>_xlfn.IFNA(VLOOKUP(A2921,A2922:$H$3524,8,0),"")</f>
        <v/>
      </c>
      <c r="J2921" s="40" t="str">
        <f t="shared" si="234"/>
        <v/>
      </c>
      <c r="K2921" s="24" t="str">
        <f t="shared" si="235"/>
        <v/>
      </c>
      <c r="L2921" s="25" t="str">
        <f t="shared" si="231"/>
        <v/>
      </c>
      <c r="O2921" s="33" t="str">
        <f t="shared" si="232"/>
        <v/>
      </c>
      <c r="P2921" s="33" t="str">
        <f t="shared" si="233"/>
        <v/>
      </c>
    </row>
    <row r="2922" spans="9:16">
      <c r="I2922" s="23" t="str">
        <f>_xlfn.IFNA(VLOOKUP(A2922,A2923:$H$3524,8,0),"")</f>
        <v/>
      </c>
      <c r="J2922" s="40" t="str">
        <f t="shared" si="234"/>
        <v/>
      </c>
      <c r="K2922" s="24" t="str">
        <f t="shared" si="235"/>
        <v/>
      </c>
      <c r="L2922" s="25" t="str">
        <f t="shared" si="231"/>
        <v/>
      </c>
      <c r="O2922" s="33" t="str">
        <f t="shared" si="232"/>
        <v/>
      </c>
      <c r="P2922" s="33" t="str">
        <f t="shared" si="233"/>
        <v/>
      </c>
    </row>
    <row r="2923" spans="9:16">
      <c r="I2923" s="23" t="str">
        <f>_xlfn.IFNA(VLOOKUP(A2923,A2924:$H$3524,8,0),"")</f>
        <v/>
      </c>
      <c r="J2923" s="40" t="str">
        <f t="shared" si="234"/>
        <v/>
      </c>
      <c r="K2923" s="24" t="str">
        <f t="shared" si="235"/>
        <v/>
      </c>
      <c r="L2923" s="25" t="str">
        <f t="shared" si="231"/>
        <v/>
      </c>
      <c r="O2923" s="33" t="str">
        <f t="shared" si="232"/>
        <v/>
      </c>
      <c r="P2923" s="33" t="str">
        <f t="shared" si="233"/>
        <v/>
      </c>
    </row>
    <row r="2924" spans="9:16">
      <c r="I2924" s="23" t="str">
        <f>_xlfn.IFNA(VLOOKUP(A2924,A2925:$H$3524,8,0),"")</f>
        <v/>
      </c>
      <c r="J2924" s="40" t="str">
        <f t="shared" si="234"/>
        <v/>
      </c>
      <c r="K2924" s="24" t="str">
        <f t="shared" si="235"/>
        <v/>
      </c>
      <c r="L2924" s="25" t="str">
        <f t="shared" si="231"/>
        <v/>
      </c>
      <c r="O2924" s="33" t="str">
        <f t="shared" si="232"/>
        <v/>
      </c>
      <c r="P2924" s="33" t="str">
        <f t="shared" si="233"/>
        <v/>
      </c>
    </row>
    <row r="2925" spans="9:16">
      <c r="I2925" s="23" t="str">
        <f>_xlfn.IFNA(VLOOKUP(A2925,A2926:$H$3524,8,0),"")</f>
        <v/>
      </c>
      <c r="J2925" s="40" t="str">
        <f t="shared" si="234"/>
        <v/>
      </c>
      <c r="K2925" s="24" t="str">
        <f t="shared" si="235"/>
        <v/>
      </c>
      <c r="L2925" s="25" t="str">
        <f t="shared" si="231"/>
        <v/>
      </c>
      <c r="O2925" s="33" t="str">
        <f t="shared" si="232"/>
        <v/>
      </c>
      <c r="P2925" s="33" t="str">
        <f t="shared" si="233"/>
        <v/>
      </c>
    </row>
    <row r="2926" spans="9:16">
      <c r="I2926" s="23" t="str">
        <f>_xlfn.IFNA(VLOOKUP(A2926,A2927:$H$3524,8,0),"")</f>
        <v/>
      </c>
      <c r="J2926" s="40" t="str">
        <f t="shared" si="234"/>
        <v/>
      </c>
      <c r="K2926" s="24" t="str">
        <f t="shared" si="235"/>
        <v/>
      </c>
      <c r="L2926" s="25" t="str">
        <f t="shared" si="231"/>
        <v/>
      </c>
      <c r="O2926" s="33" t="str">
        <f t="shared" si="232"/>
        <v/>
      </c>
      <c r="P2926" s="33" t="str">
        <f t="shared" si="233"/>
        <v/>
      </c>
    </row>
    <row r="2927" spans="9:16">
      <c r="I2927" s="23" t="str">
        <f>_xlfn.IFNA(VLOOKUP(A2927,A2928:$H$3524,8,0),"")</f>
        <v/>
      </c>
      <c r="J2927" s="40" t="str">
        <f t="shared" si="234"/>
        <v/>
      </c>
      <c r="K2927" s="24" t="str">
        <f t="shared" si="235"/>
        <v/>
      </c>
      <c r="L2927" s="25" t="str">
        <f t="shared" si="231"/>
        <v/>
      </c>
      <c r="O2927" s="33" t="str">
        <f t="shared" si="232"/>
        <v/>
      </c>
      <c r="P2927" s="33" t="str">
        <f t="shared" si="233"/>
        <v/>
      </c>
    </row>
    <row r="2928" spans="9:16">
      <c r="I2928" s="23" t="str">
        <f>_xlfn.IFNA(VLOOKUP(A2928,A2929:$H$3524,8,0),"")</f>
        <v/>
      </c>
      <c r="J2928" s="40" t="str">
        <f t="shared" si="234"/>
        <v/>
      </c>
      <c r="K2928" s="24" t="str">
        <f t="shared" si="235"/>
        <v/>
      </c>
      <c r="L2928" s="25" t="str">
        <f t="shared" si="231"/>
        <v/>
      </c>
      <c r="O2928" s="33" t="str">
        <f t="shared" si="232"/>
        <v/>
      </c>
      <c r="P2928" s="33" t="str">
        <f t="shared" si="233"/>
        <v/>
      </c>
    </row>
    <row r="2929" spans="9:16">
      <c r="I2929" s="23" t="str">
        <f>_xlfn.IFNA(VLOOKUP(A2929,A2930:$H$3524,8,0),"")</f>
        <v/>
      </c>
      <c r="J2929" s="40" t="str">
        <f t="shared" si="234"/>
        <v/>
      </c>
      <c r="K2929" s="24" t="str">
        <f t="shared" si="235"/>
        <v/>
      </c>
      <c r="L2929" s="25" t="str">
        <f t="shared" si="231"/>
        <v/>
      </c>
      <c r="O2929" s="33" t="str">
        <f t="shared" si="232"/>
        <v/>
      </c>
      <c r="P2929" s="33" t="str">
        <f t="shared" si="233"/>
        <v/>
      </c>
    </row>
    <row r="2930" spans="9:16">
      <c r="I2930" s="23" t="str">
        <f>_xlfn.IFNA(VLOOKUP(A2930,A2931:$H$3524,8,0),"")</f>
        <v/>
      </c>
      <c r="J2930" s="40" t="str">
        <f t="shared" si="234"/>
        <v/>
      </c>
      <c r="K2930" s="24" t="str">
        <f t="shared" si="235"/>
        <v/>
      </c>
      <c r="L2930" s="25" t="str">
        <f t="shared" si="231"/>
        <v/>
      </c>
      <c r="O2930" s="33" t="str">
        <f t="shared" si="232"/>
        <v/>
      </c>
      <c r="P2930" s="33" t="str">
        <f t="shared" si="233"/>
        <v/>
      </c>
    </row>
    <row r="2931" spans="9:16">
      <c r="I2931" s="23" t="str">
        <f>_xlfn.IFNA(VLOOKUP(A2931,A2932:$H$3524,8,0),"")</f>
        <v/>
      </c>
      <c r="J2931" s="40" t="str">
        <f t="shared" si="234"/>
        <v/>
      </c>
      <c r="K2931" s="24" t="str">
        <f t="shared" si="235"/>
        <v/>
      </c>
      <c r="L2931" s="25" t="str">
        <f t="shared" si="231"/>
        <v/>
      </c>
      <c r="O2931" s="33" t="str">
        <f t="shared" si="232"/>
        <v/>
      </c>
      <c r="P2931" s="33" t="str">
        <f t="shared" si="233"/>
        <v/>
      </c>
    </row>
    <row r="2932" spans="9:16">
      <c r="I2932" s="23" t="str">
        <f>_xlfn.IFNA(VLOOKUP(A2932,A2933:$H$3524,8,0),"")</f>
        <v/>
      </c>
      <c r="J2932" s="40" t="str">
        <f t="shared" si="234"/>
        <v/>
      </c>
      <c r="K2932" s="24" t="str">
        <f t="shared" si="235"/>
        <v/>
      </c>
      <c r="L2932" s="25" t="str">
        <f t="shared" si="231"/>
        <v/>
      </c>
      <c r="O2932" s="33" t="str">
        <f t="shared" si="232"/>
        <v/>
      </c>
      <c r="P2932" s="33" t="str">
        <f t="shared" si="233"/>
        <v/>
      </c>
    </row>
    <row r="2933" spans="9:16">
      <c r="I2933" s="23" t="str">
        <f>_xlfn.IFNA(VLOOKUP(A2933,A2934:$H$3524,8,0),"")</f>
        <v/>
      </c>
      <c r="J2933" s="40" t="str">
        <f t="shared" si="234"/>
        <v/>
      </c>
      <c r="K2933" s="24" t="str">
        <f t="shared" si="235"/>
        <v/>
      </c>
      <c r="L2933" s="25" t="str">
        <f t="shared" si="231"/>
        <v/>
      </c>
      <c r="O2933" s="33" t="str">
        <f t="shared" si="232"/>
        <v/>
      </c>
      <c r="P2933" s="33" t="str">
        <f t="shared" si="233"/>
        <v/>
      </c>
    </row>
    <row r="2934" spans="9:16">
      <c r="I2934" s="23" t="str">
        <f>_xlfn.IFNA(VLOOKUP(A2934,A2935:$H$3524,8,0),"")</f>
        <v/>
      </c>
      <c r="J2934" s="40" t="str">
        <f t="shared" si="234"/>
        <v/>
      </c>
      <c r="K2934" s="24" t="str">
        <f t="shared" si="235"/>
        <v/>
      </c>
      <c r="L2934" s="25" t="str">
        <f t="shared" si="231"/>
        <v/>
      </c>
      <c r="O2934" s="33" t="str">
        <f t="shared" si="232"/>
        <v/>
      </c>
      <c r="P2934" s="33" t="str">
        <f t="shared" si="233"/>
        <v/>
      </c>
    </row>
    <row r="2935" spans="9:16">
      <c r="I2935" s="23" t="str">
        <f>_xlfn.IFNA(VLOOKUP(A2935,A2936:$H$3524,8,0),"")</f>
        <v/>
      </c>
      <c r="J2935" s="40" t="str">
        <f t="shared" si="234"/>
        <v/>
      </c>
      <c r="K2935" s="24" t="str">
        <f t="shared" si="235"/>
        <v/>
      </c>
      <c r="L2935" s="25" t="str">
        <f t="shared" ref="L2935:L2998" si="236">IF(K2935="","",IF(B2935="Break","Break",IF(K2935&lt;&gt;0,"Work Finished",IF(B2935="OFF","Work Finished",IF(I2935="","Working","Work Finished")))))</f>
        <v/>
      </c>
      <c r="O2935" s="33" t="str">
        <f t="shared" ref="O2935:O2998" si="237">IF(AND(J2935="",M2935="",N2935=""),"",J2935-M2935-N2935)</f>
        <v/>
      </c>
      <c r="P2935" s="33" t="str">
        <f t="shared" ref="P2935:P2998" si="238">IF(HOUR(H2935)=0,"",HOUR(H2935))</f>
        <v/>
      </c>
    </row>
    <row r="2936" spans="9:16">
      <c r="I2936" s="23" t="str">
        <f>_xlfn.IFNA(VLOOKUP(A2936,A2937:$H$3524,8,0),"")</f>
        <v/>
      </c>
      <c r="J2936" s="40" t="str">
        <f t="shared" si="234"/>
        <v/>
      </c>
      <c r="K2936" s="24" t="str">
        <f t="shared" si="235"/>
        <v/>
      </c>
      <c r="L2936" s="25" t="str">
        <f t="shared" si="236"/>
        <v/>
      </c>
      <c r="O2936" s="33" t="str">
        <f t="shared" si="237"/>
        <v/>
      </c>
      <c r="P2936" s="33" t="str">
        <f t="shared" si="238"/>
        <v/>
      </c>
    </row>
    <row r="2937" spans="9:16">
      <c r="I2937" s="23" t="str">
        <f>_xlfn.IFNA(VLOOKUP(A2937,A2938:$H$3524,8,0),"")</f>
        <v/>
      </c>
      <c r="J2937" s="40" t="str">
        <f t="shared" si="234"/>
        <v/>
      </c>
      <c r="K2937" s="24" t="str">
        <f t="shared" si="235"/>
        <v/>
      </c>
      <c r="L2937" s="25" t="str">
        <f t="shared" si="236"/>
        <v/>
      </c>
      <c r="O2937" s="33" t="str">
        <f t="shared" si="237"/>
        <v/>
      </c>
      <c r="P2937" s="33" t="str">
        <f t="shared" si="238"/>
        <v/>
      </c>
    </row>
    <row r="2938" spans="9:16">
      <c r="I2938" s="23" t="str">
        <f>_xlfn.IFNA(VLOOKUP(A2938,A2939:$H$3524,8,0),"")</f>
        <v/>
      </c>
      <c r="J2938" s="40" t="str">
        <f t="shared" si="234"/>
        <v/>
      </c>
      <c r="K2938" s="24" t="str">
        <f t="shared" si="235"/>
        <v/>
      </c>
      <c r="L2938" s="25" t="str">
        <f t="shared" si="236"/>
        <v/>
      </c>
      <c r="O2938" s="33" t="str">
        <f t="shared" si="237"/>
        <v/>
      </c>
      <c r="P2938" s="33" t="str">
        <f t="shared" si="238"/>
        <v/>
      </c>
    </row>
    <row r="2939" spans="9:16">
      <c r="I2939" s="23" t="str">
        <f>_xlfn.IFNA(VLOOKUP(A2939,A2940:$H$3524,8,0),"")</f>
        <v/>
      </c>
      <c r="J2939" s="40" t="str">
        <f t="shared" si="234"/>
        <v/>
      </c>
      <c r="K2939" s="24" t="str">
        <f t="shared" si="235"/>
        <v/>
      </c>
      <c r="L2939" s="25" t="str">
        <f t="shared" si="236"/>
        <v/>
      </c>
      <c r="O2939" s="33" t="str">
        <f t="shared" si="237"/>
        <v/>
      </c>
      <c r="P2939" s="33" t="str">
        <f t="shared" si="238"/>
        <v/>
      </c>
    </row>
    <row r="2940" spans="9:16">
      <c r="I2940" s="23" t="str">
        <f>_xlfn.IFNA(VLOOKUP(A2940,A2941:$H$3524,8,0),"")</f>
        <v/>
      </c>
      <c r="J2940" s="40" t="str">
        <f t="shared" si="234"/>
        <v/>
      </c>
      <c r="K2940" s="24" t="str">
        <f t="shared" si="235"/>
        <v/>
      </c>
      <c r="L2940" s="25" t="str">
        <f t="shared" si="236"/>
        <v/>
      </c>
      <c r="O2940" s="33" t="str">
        <f t="shared" si="237"/>
        <v/>
      </c>
      <c r="P2940" s="33" t="str">
        <f t="shared" si="238"/>
        <v/>
      </c>
    </row>
    <row r="2941" spans="9:16">
      <c r="I2941" s="23" t="str">
        <f>_xlfn.IFNA(VLOOKUP(A2941,A2942:$H$3524,8,0),"")</f>
        <v/>
      </c>
      <c r="J2941" s="40" t="str">
        <f t="shared" si="234"/>
        <v/>
      </c>
      <c r="K2941" s="24" t="str">
        <f t="shared" si="235"/>
        <v/>
      </c>
      <c r="L2941" s="25" t="str">
        <f t="shared" si="236"/>
        <v/>
      </c>
      <c r="O2941" s="33" t="str">
        <f t="shared" si="237"/>
        <v/>
      </c>
      <c r="P2941" s="33" t="str">
        <f t="shared" si="238"/>
        <v/>
      </c>
    </row>
    <row r="2942" spans="9:16">
      <c r="I2942" s="23" t="str">
        <f>_xlfn.IFNA(VLOOKUP(A2942,A2943:$H$3524,8,0),"")</f>
        <v/>
      </c>
      <c r="J2942" s="40" t="str">
        <f t="shared" si="234"/>
        <v/>
      </c>
      <c r="K2942" s="24" t="str">
        <f t="shared" si="235"/>
        <v/>
      </c>
      <c r="L2942" s="25" t="str">
        <f t="shared" si="236"/>
        <v/>
      </c>
      <c r="O2942" s="33" t="str">
        <f t="shared" si="237"/>
        <v/>
      </c>
      <c r="P2942" s="33" t="str">
        <f t="shared" si="238"/>
        <v/>
      </c>
    </row>
    <row r="2943" spans="9:16">
      <c r="I2943" s="23" t="str">
        <f>_xlfn.IFNA(VLOOKUP(A2943,A2944:$H$3524,8,0),"")</f>
        <v/>
      </c>
      <c r="J2943" s="40" t="str">
        <f t="shared" si="234"/>
        <v/>
      </c>
      <c r="K2943" s="24" t="str">
        <f t="shared" si="235"/>
        <v/>
      </c>
      <c r="L2943" s="25" t="str">
        <f t="shared" si="236"/>
        <v/>
      </c>
      <c r="O2943" s="33" t="str">
        <f t="shared" si="237"/>
        <v/>
      </c>
      <c r="P2943" s="33" t="str">
        <f t="shared" si="238"/>
        <v/>
      </c>
    </row>
    <row r="2944" spans="9:16">
      <c r="I2944" s="23" t="str">
        <f>_xlfn.IFNA(VLOOKUP(A2944,A2945:$H$3524,8,0),"")</f>
        <v/>
      </c>
      <c r="J2944" s="40" t="str">
        <f t="shared" si="234"/>
        <v/>
      </c>
      <c r="K2944" s="24" t="str">
        <f t="shared" si="235"/>
        <v/>
      </c>
      <c r="L2944" s="25" t="str">
        <f t="shared" si="236"/>
        <v/>
      </c>
      <c r="O2944" s="33" t="str">
        <f t="shared" si="237"/>
        <v/>
      </c>
      <c r="P2944" s="33" t="str">
        <f t="shared" si="238"/>
        <v/>
      </c>
    </row>
    <row r="2945" spans="9:16">
      <c r="I2945" s="23" t="str">
        <f>_xlfn.IFNA(VLOOKUP(A2945,A2946:$H$3524,8,0),"")</f>
        <v/>
      </c>
      <c r="J2945" s="40" t="str">
        <f t="shared" si="234"/>
        <v/>
      </c>
      <c r="K2945" s="24" t="str">
        <f t="shared" si="235"/>
        <v/>
      </c>
      <c r="L2945" s="25" t="str">
        <f t="shared" si="236"/>
        <v/>
      </c>
      <c r="O2945" s="33" t="str">
        <f t="shared" si="237"/>
        <v/>
      </c>
      <c r="P2945" s="33" t="str">
        <f t="shared" si="238"/>
        <v/>
      </c>
    </row>
    <row r="2946" spans="9:16">
      <c r="I2946" s="23" t="str">
        <f>_xlfn.IFNA(VLOOKUP(A2946,A2947:$H$3524,8,0),"")</f>
        <v/>
      </c>
      <c r="J2946" s="40" t="str">
        <f t="shared" si="234"/>
        <v/>
      </c>
      <c r="K2946" s="24" t="str">
        <f t="shared" si="235"/>
        <v/>
      </c>
      <c r="L2946" s="25" t="str">
        <f t="shared" si="236"/>
        <v/>
      </c>
      <c r="O2946" s="33" t="str">
        <f t="shared" si="237"/>
        <v/>
      </c>
      <c r="P2946" s="33" t="str">
        <f t="shared" si="238"/>
        <v/>
      </c>
    </row>
    <row r="2947" spans="9:16">
      <c r="I2947" s="23" t="str">
        <f>_xlfn.IFNA(VLOOKUP(A2947,A2948:$H$3524,8,0),"")</f>
        <v/>
      </c>
      <c r="J2947" s="40" t="str">
        <f t="shared" si="234"/>
        <v/>
      </c>
      <c r="K2947" s="24" t="str">
        <f t="shared" si="235"/>
        <v/>
      </c>
      <c r="L2947" s="25" t="str">
        <f t="shared" si="236"/>
        <v/>
      </c>
      <c r="O2947" s="33" t="str">
        <f t="shared" si="237"/>
        <v/>
      </c>
      <c r="P2947" s="33" t="str">
        <f t="shared" si="238"/>
        <v/>
      </c>
    </row>
    <row r="2948" spans="9:16">
      <c r="I2948" s="23" t="str">
        <f>_xlfn.IFNA(VLOOKUP(A2948,A2949:$H$3524,8,0),"")</f>
        <v/>
      </c>
      <c r="J2948" s="40" t="str">
        <f t="shared" si="234"/>
        <v/>
      </c>
      <c r="K2948" s="24" t="str">
        <f t="shared" si="235"/>
        <v/>
      </c>
      <c r="L2948" s="25" t="str">
        <f t="shared" si="236"/>
        <v/>
      </c>
      <c r="O2948" s="33" t="str">
        <f t="shared" si="237"/>
        <v/>
      </c>
      <c r="P2948" s="33" t="str">
        <f t="shared" si="238"/>
        <v/>
      </c>
    </row>
    <row r="2949" spans="9:16">
      <c r="I2949" s="23" t="str">
        <f>_xlfn.IFNA(VLOOKUP(A2949,A2950:$H$3524,8,0),"")</f>
        <v/>
      </c>
      <c r="J2949" s="40" t="str">
        <f t="shared" si="234"/>
        <v/>
      </c>
      <c r="K2949" s="24" t="str">
        <f t="shared" si="235"/>
        <v/>
      </c>
      <c r="L2949" s="25" t="str">
        <f t="shared" si="236"/>
        <v/>
      </c>
      <c r="O2949" s="33" t="str">
        <f t="shared" si="237"/>
        <v/>
      </c>
      <c r="P2949" s="33" t="str">
        <f t="shared" si="238"/>
        <v/>
      </c>
    </row>
    <row r="2950" spans="9:16">
      <c r="I2950" s="23" t="str">
        <f>_xlfn.IFNA(VLOOKUP(A2950,A2951:$H$3524,8,0),"")</f>
        <v/>
      </c>
      <c r="J2950" s="40" t="str">
        <f t="shared" ref="J2950:J3013" si="239">IF(B2950="OFF",0,IF(AND(D2950&lt;&gt;"",E2950&lt;&gt;""),E2950-D2950+1,""))</f>
        <v/>
      </c>
      <c r="K2950" s="24" t="str">
        <f t="shared" si="235"/>
        <v/>
      </c>
      <c r="L2950" s="25" t="str">
        <f t="shared" si="236"/>
        <v/>
      </c>
      <c r="O2950" s="33" t="str">
        <f t="shared" si="237"/>
        <v/>
      </c>
      <c r="P2950" s="33" t="str">
        <f t="shared" si="238"/>
        <v/>
      </c>
    </row>
    <row r="2951" spans="9:16">
      <c r="I2951" s="23" t="str">
        <f>_xlfn.IFNA(VLOOKUP(A2951,A2952:$H$3524,8,0),"")</f>
        <v/>
      </c>
      <c r="J2951" s="40" t="str">
        <f t="shared" si="239"/>
        <v/>
      </c>
      <c r="K2951" s="24" t="str">
        <f t="shared" si="235"/>
        <v/>
      </c>
      <c r="L2951" s="25" t="str">
        <f t="shared" si="236"/>
        <v/>
      </c>
      <c r="O2951" s="33" t="str">
        <f t="shared" si="237"/>
        <v/>
      </c>
      <c r="P2951" s="33" t="str">
        <f t="shared" si="238"/>
        <v/>
      </c>
    </row>
    <row r="2952" spans="9:16">
      <c r="I2952" s="23" t="str">
        <f>_xlfn.IFNA(VLOOKUP(A2952,A2953:$H$3524,8,0),"")</f>
        <v/>
      </c>
      <c r="J2952" s="40" t="str">
        <f t="shared" si="239"/>
        <v/>
      </c>
      <c r="K2952" s="24" t="str">
        <f t="shared" si="235"/>
        <v/>
      </c>
      <c r="L2952" s="25" t="str">
        <f t="shared" si="236"/>
        <v/>
      </c>
      <c r="O2952" s="33" t="str">
        <f t="shared" si="237"/>
        <v/>
      </c>
      <c r="P2952" s="33" t="str">
        <f t="shared" si="238"/>
        <v/>
      </c>
    </row>
    <row r="2953" spans="9:16">
      <c r="I2953" s="23" t="str">
        <f>_xlfn.IFNA(VLOOKUP(A2953,A2954:$H$3524,8,0),"")</f>
        <v/>
      </c>
      <c r="J2953" s="40" t="str">
        <f t="shared" si="239"/>
        <v/>
      </c>
      <c r="K2953" s="24" t="str">
        <f t="shared" si="235"/>
        <v/>
      </c>
      <c r="L2953" s="25" t="str">
        <f t="shared" si="236"/>
        <v/>
      </c>
      <c r="O2953" s="33" t="str">
        <f t="shared" si="237"/>
        <v/>
      </c>
      <c r="P2953" s="33" t="str">
        <f t="shared" si="238"/>
        <v/>
      </c>
    </row>
    <row r="2954" spans="9:16">
      <c r="I2954" s="23" t="str">
        <f>_xlfn.IFNA(VLOOKUP(A2954,A2955:$H$3524,8,0),"")</f>
        <v/>
      </c>
      <c r="J2954" s="40" t="str">
        <f t="shared" si="239"/>
        <v/>
      </c>
      <c r="K2954" s="24" t="str">
        <f t="shared" si="235"/>
        <v/>
      </c>
      <c r="L2954" s="25" t="str">
        <f t="shared" si="236"/>
        <v/>
      </c>
      <c r="O2954" s="33" t="str">
        <f t="shared" si="237"/>
        <v/>
      </c>
      <c r="P2954" s="33" t="str">
        <f t="shared" si="238"/>
        <v/>
      </c>
    </row>
    <row r="2955" spans="9:16">
      <c r="I2955" s="23" t="str">
        <f>_xlfn.IFNA(VLOOKUP(A2955,A2956:$H$3524,8,0),"")</f>
        <v/>
      </c>
      <c r="J2955" s="40" t="str">
        <f t="shared" si="239"/>
        <v/>
      </c>
      <c r="K2955" s="24" t="str">
        <f t="shared" si="235"/>
        <v/>
      </c>
      <c r="L2955" s="25" t="str">
        <f t="shared" si="236"/>
        <v/>
      </c>
      <c r="O2955" s="33" t="str">
        <f t="shared" si="237"/>
        <v/>
      </c>
      <c r="P2955" s="33" t="str">
        <f t="shared" si="238"/>
        <v/>
      </c>
    </row>
    <row r="2956" spans="9:16">
      <c r="I2956" s="23" t="str">
        <f>_xlfn.IFNA(VLOOKUP(A2956,A2957:$H$3524,8,0),"")</f>
        <v/>
      </c>
      <c r="J2956" s="40" t="str">
        <f t="shared" si="239"/>
        <v/>
      </c>
      <c r="K2956" s="24" t="str">
        <f t="shared" si="235"/>
        <v/>
      </c>
      <c r="L2956" s="25" t="str">
        <f t="shared" si="236"/>
        <v/>
      </c>
      <c r="O2956" s="33" t="str">
        <f t="shared" si="237"/>
        <v/>
      </c>
      <c r="P2956" s="33" t="str">
        <f t="shared" si="238"/>
        <v/>
      </c>
    </row>
    <row r="2957" spans="9:16">
      <c r="I2957" s="23" t="str">
        <f>_xlfn.IFNA(VLOOKUP(A2957,A2958:$H$3524,8,0),"")</f>
        <v/>
      </c>
      <c r="J2957" s="40" t="str">
        <f t="shared" si="239"/>
        <v/>
      </c>
      <c r="K2957" s="24" t="str">
        <f t="shared" si="235"/>
        <v/>
      </c>
      <c r="L2957" s="25" t="str">
        <f t="shared" si="236"/>
        <v/>
      </c>
      <c r="O2957" s="33" t="str">
        <f t="shared" si="237"/>
        <v/>
      </c>
      <c r="P2957" s="33" t="str">
        <f t="shared" si="238"/>
        <v/>
      </c>
    </row>
    <row r="2958" spans="9:16">
      <c r="I2958" s="23" t="str">
        <f>_xlfn.IFNA(VLOOKUP(A2958,A2959:$H$3524,8,0),"")</f>
        <v/>
      </c>
      <c r="J2958" s="40" t="str">
        <f t="shared" si="239"/>
        <v/>
      </c>
      <c r="K2958" s="24" t="str">
        <f t="shared" si="235"/>
        <v/>
      </c>
      <c r="L2958" s="25" t="str">
        <f t="shared" si="236"/>
        <v/>
      </c>
      <c r="O2958" s="33" t="str">
        <f t="shared" si="237"/>
        <v/>
      </c>
      <c r="P2958" s="33" t="str">
        <f t="shared" si="238"/>
        <v/>
      </c>
    </row>
    <row r="2959" spans="9:16">
      <c r="I2959" s="23" t="str">
        <f>_xlfn.IFNA(VLOOKUP(A2959,A2960:$H$3524,8,0),"")</f>
        <v/>
      </c>
      <c r="J2959" s="40" t="str">
        <f t="shared" si="239"/>
        <v/>
      </c>
      <c r="K2959" s="24" t="str">
        <f t="shared" si="235"/>
        <v/>
      </c>
      <c r="L2959" s="25" t="str">
        <f t="shared" si="236"/>
        <v/>
      </c>
      <c r="O2959" s="33" t="str">
        <f t="shared" si="237"/>
        <v/>
      </c>
      <c r="P2959" s="33" t="str">
        <f t="shared" si="238"/>
        <v/>
      </c>
    </row>
    <row r="2960" spans="9:16">
      <c r="I2960" s="23" t="str">
        <f>_xlfn.IFNA(VLOOKUP(A2960,A2961:$H$3524,8,0),"")</f>
        <v/>
      </c>
      <c r="J2960" s="40" t="str">
        <f t="shared" si="239"/>
        <v/>
      </c>
      <c r="K2960" s="24" t="str">
        <f t="shared" si="235"/>
        <v/>
      </c>
      <c r="L2960" s="25" t="str">
        <f t="shared" si="236"/>
        <v/>
      </c>
      <c r="O2960" s="33" t="str">
        <f t="shared" si="237"/>
        <v/>
      </c>
      <c r="P2960" s="33" t="str">
        <f t="shared" si="238"/>
        <v/>
      </c>
    </row>
    <row r="2961" spans="9:16">
      <c r="I2961" s="23" t="str">
        <f>_xlfn.IFNA(VLOOKUP(A2961,A2962:$H$3524,8,0),"")</f>
        <v/>
      </c>
      <c r="J2961" s="40" t="str">
        <f t="shared" si="239"/>
        <v/>
      </c>
      <c r="K2961" s="24" t="str">
        <f t="shared" si="235"/>
        <v/>
      </c>
      <c r="L2961" s="25" t="str">
        <f t="shared" si="236"/>
        <v/>
      </c>
      <c r="O2961" s="33" t="str">
        <f t="shared" si="237"/>
        <v/>
      </c>
      <c r="P2961" s="33" t="str">
        <f t="shared" si="238"/>
        <v/>
      </c>
    </row>
    <row r="2962" spans="9:16">
      <c r="I2962" s="23" t="str">
        <f>_xlfn.IFNA(VLOOKUP(A2962,A2963:$H$3524,8,0),"")</f>
        <v/>
      </c>
      <c r="J2962" s="40" t="str">
        <f t="shared" si="239"/>
        <v/>
      </c>
      <c r="K2962" s="24" t="str">
        <f t="shared" si="235"/>
        <v/>
      </c>
      <c r="L2962" s="25" t="str">
        <f t="shared" si="236"/>
        <v/>
      </c>
      <c r="O2962" s="33" t="str">
        <f t="shared" si="237"/>
        <v/>
      </c>
      <c r="P2962" s="33" t="str">
        <f t="shared" si="238"/>
        <v/>
      </c>
    </row>
    <row r="2963" spans="9:16">
      <c r="I2963" s="23" t="str">
        <f>_xlfn.IFNA(VLOOKUP(A2963,A2964:$H$3524,8,0),"")</f>
        <v/>
      </c>
      <c r="J2963" s="40" t="str">
        <f t="shared" si="239"/>
        <v/>
      </c>
      <c r="K2963" s="24" t="str">
        <f t="shared" si="235"/>
        <v/>
      </c>
      <c r="L2963" s="25" t="str">
        <f t="shared" si="236"/>
        <v/>
      </c>
      <c r="O2963" s="33" t="str">
        <f t="shared" si="237"/>
        <v/>
      </c>
      <c r="P2963" s="33" t="str">
        <f t="shared" si="238"/>
        <v/>
      </c>
    </row>
    <row r="2964" spans="9:16">
      <c r="I2964" s="23" t="str">
        <f>_xlfn.IFNA(VLOOKUP(A2964,A2965:$H$3524,8,0),"")</f>
        <v/>
      </c>
      <c r="J2964" s="40" t="str">
        <f t="shared" si="239"/>
        <v/>
      </c>
      <c r="K2964" s="24" t="str">
        <f t="shared" si="235"/>
        <v/>
      </c>
      <c r="L2964" s="25" t="str">
        <f t="shared" si="236"/>
        <v/>
      </c>
      <c r="O2964" s="33" t="str">
        <f t="shared" si="237"/>
        <v/>
      </c>
      <c r="P2964" s="33" t="str">
        <f t="shared" si="238"/>
        <v/>
      </c>
    </row>
    <row r="2965" spans="9:16">
      <c r="I2965" s="23" t="str">
        <f>_xlfn.IFNA(VLOOKUP(A2965,A2966:$H$3524,8,0),"")</f>
        <v/>
      </c>
      <c r="J2965" s="40" t="str">
        <f t="shared" si="239"/>
        <v/>
      </c>
      <c r="K2965" s="24" t="str">
        <f t="shared" si="235"/>
        <v/>
      </c>
      <c r="L2965" s="25" t="str">
        <f t="shared" si="236"/>
        <v/>
      </c>
      <c r="O2965" s="33" t="str">
        <f t="shared" si="237"/>
        <v/>
      </c>
      <c r="P2965" s="33" t="str">
        <f t="shared" si="238"/>
        <v/>
      </c>
    </row>
    <row r="2966" spans="9:16">
      <c r="I2966" s="23" t="str">
        <f>_xlfn.IFNA(VLOOKUP(A2966,A2967:$H$3524,8,0),"")</f>
        <v/>
      </c>
      <c r="J2966" s="40" t="str">
        <f t="shared" si="239"/>
        <v/>
      </c>
      <c r="K2966" s="24" t="str">
        <f t="shared" ref="K2966:K3029" si="240">IF(H2966="","",IFERROR((I2966-H2966)*24,0))</f>
        <v/>
      </c>
      <c r="L2966" s="25" t="str">
        <f t="shared" si="236"/>
        <v/>
      </c>
      <c r="O2966" s="33" t="str">
        <f t="shared" si="237"/>
        <v/>
      </c>
      <c r="P2966" s="33" t="str">
        <f t="shared" si="238"/>
        <v/>
      </c>
    </row>
    <row r="2967" spans="9:16">
      <c r="I2967" s="23" t="str">
        <f>_xlfn.IFNA(VLOOKUP(A2967,A2968:$H$3524,8,0),"")</f>
        <v/>
      </c>
      <c r="J2967" s="40" t="str">
        <f t="shared" si="239"/>
        <v/>
      </c>
      <c r="K2967" s="24" t="str">
        <f t="shared" si="240"/>
        <v/>
      </c>
      <c r="L2967" s="25" t="str">
        <f t="shared" si="236"/>
        <v/>
      </c>
      <c r="O2967" s="33" t="str">
        <f t="shared" si="237"/>
        <v/>
      </c>
      <c r="P2967" s="33" t="str">
        <f t="shared" si="238"/>
        <v/>
      </c>
    </row>
    <row r="2968" spans="9:16">
      <c r="I2968" s="23" t="str">
        <f>_xlfn.IFNA(VLOOKUP(A2968,A2969:$H$3524,8,0),"")</f>
        <v/>
      </c>
      <c r="J2968" s="40" t="str">
        <f t="shared" si="239"/>
        <v/>
      </c>
      <c r="K2968" s="24" t="str">
        <f t="shared" si="240"/>
        <v/>
      </c>
      <c r="L2968" s="25" t="str">
        <f t="shared" si="236"/>
        <v/>
      </c>
      <c r="O2968" s="33" t="str">
        <f t="shared" si="237"/>
        <v/>
      </c>
      <c r="P2968" s="33" t="str">
        <f t="shared" si="238"/>
        <v/>
      </c>
    </row>
    <row r="2969" spans="9:16">
      <c r="I2969" s="23" t="str">
        <f>_xlfn.IFNA(VLOOKUP(A2969,A2970:$H$3524,8,0),"")</f>
        <v/>
      </c>
      <c r="J2969" s="40" t="str">
        <f t="shared" si="239"/>
        <v/>
      </c>
      <c r="K2969" s="24" t="str">
        <f t="shared" si="240"/>
        <v/>
      </c>
      <c r="L2969" s="25" t="str">
        <f t="shared" si="236"/>
        <v/>
      </c>
      <c r="O2969" s="33" t="str">
        <f t="shared" si="237"/>
        <v/>
      </c>
      <c r="P2969" s="33" t="str">
        <f t="shared" si="238"/>
        <v/>
      </c>
    </row>
    <row r="2970" spans="9:16">
      <c r="I2970" s="23" t="str">
        <f>_xlfn.IFNA(VLOOKUP(A2970,A2971:$H$3524,8,0),"")</f>
        <v/>
      </c>
      <c r="J2970" s="40" t="str">
        <f t="shared" si="239"/>
        <v/>
      </c>
      <c r="K2970" s="24" t="str">
        <f t="shared" si="240"/>
        <v/>
      </c>
      <c r="L2970" s="25" t="str">
        <f t="shared" si="236"/>
        <v/>
      </c>
      <c r="O2970" s="33" t="str">
        <f t="shared" si="237"/>
        <v/>
      </c>
      <c r="P2970" s="33" t="str">
        <f t="shared" si="238"/>
        <v/>
      </c>
    </row>
    <row r="2971" spans="9:16">
      <c r="I2971" s="23" t="str">
        <f>_xlfn.IFNA(VLOOKUP(A2971,A2972:$H$3524,8,0),"")</f>
        <v/>
      </c>
      <c r="J2971" s="40" t="str">
        <f t="shared" si="239"/>
        <v/>
      </c>
      <c r="K2971" s="24" t="str">
        <f t="shared" si="240"/>
        <v/>
      </c>
      <c r="L2971" s="25" t="str">
        <f t="shared" si="236"/>
        <v/>
      </c>
      <c r="O2971" s="33" t="str">
        <f t="shared" si="237"/>
        <v/>
      </c>
      <c r="P2971" s="33" t="str">
        <f t="shared" si="238"/>
        <v/>
      </c>
    </row>
    <row r="2972" spans="9:16">
      <c r="I2972" s="23" t="str">
        <f>_xlfn.IFNA(VLOOKUP(A2972,A2973:$H$3524,8,0),"")</f>
        <v/>
      </c>
      <c r="J2972" s="40" t="str">
        <f t="shared" si="239"/>
        <v/>
      </c>
      <c r="K2972" s="24" t="str">
        <f t="shared" si="240"/>
        <v/>
      </c>
      <c r="L2972" s="25" t="str">
        <f t="shared" si="236"/>
        <v/>
      </c>
      <c r="O2972" s="33" t="str">
        <f t="shared" si="237"/>
        <v/>
      </c>
      <c r="P2972" s="33" t="str">
        <f t="shared" si="238"/>
        <v/>
      </c>
    </row>
    <row r="2973" spans="9:16">
      <c r="I2973" s="23" t="str">
        <f>_xlfn.IFNA(VLOOKUP(A2973,A2974:$H$3524,8,0),"")</f>
        <v/>
      </c>
      <c r="J2973" s="40" t="str">
        <f t="shared" si="239"/>
        <v/>
      </c>
      <c r="K2973" s="24" t="str">
        <f t="shared" si="240"/>
        <v/>
      </c>
      <c r="L2973" s="25" t="str">
        <f t="shared" si="236"/>
        <v/>
      </c>
      <c r="O2973" s="33" t="str">
        <f t="shared" si="237"/>
        <v/>
      </c>
      <c r="P2973" s="33" t="str">
        <f t="shared" si="238"/>
        <v/>
      </c>
    </row>
    <row r="2974" spans="9:16">
      <c r="I2974" s="23" t="str">
        <f>_xlfn.IFNA(VLOOKUP(A2974,A2975:$H$3524,8,0),"")</f>
        <v/>
      </c>
      <c r="J2974" s="40" t="str">
        <f t="shared" si="239"/>
        <v/>
      </c>
      <c r="K2974" s="24" t="str">
        <f t="shared" si="240"/>
        <v/>
      </c>
      <c r="L2974" s="25" t="str">
        <f t="shared" si="236"/>
        <v/>
      </c>
      <c r="O2974" s="33" t="str">
        <f t="shared" si="237"/>
        <v/>
      </c>
      <c r="P2974" s="33" t="str">
        <f t="shared" si="238"/>
        <v/>
      </c>
    </row>
    <row r="2975" spans="9:16">
      <c r="I2975" s="23" t="str">
        <f>_xlfn.IFNA(VLOOKUP(A2975,A2976:$H$3524,8,0),"")</f>
        <v/>
      </c>
      <c r="J2975" s="40" t="str">
        <f t="shared" si="239"/>
        <v/>
      </c>
      <c r="K2975" s="24" t="str">
        <f t="shared" si="240"/>
        <v/>
      </c>
      <c r="L2975" s="25" t="str">
        <f t="shared" si="236"/>
        <v/>
      </c>
      <c r="O2975" s="33" t="str">
        <f t="shared" si="237"/>
        <v/>
      </c>
      <c r="P2975" s="33" t="str">
        <f t="shared" si="238"/>
        <v/>
      </c>
    </row>
    <row r="2976" spans="9:16">
      <c r="I2976" s="23" t="str">
        <f>_xlfn.IFNA(VLOOKUP(A2976,A2977:$H$3524,8,0),"")</f>
        <v/>
      </c>
      <c r="J2976" s="40" t="str">
        <f t="shared" si="239"/>
        <v/>
      </c>
      <c r="K2976" s="24" t="str">
        <f t="shared" si="240"/>
        <v/>
      </c>
      <c r="L2976" s="25" t="str">
        <f t="shared" si="236"/>
        <v/>
      </c>
      <c r="O2976" s="33" t="str">
        <f t="shared" si="237"/>
        <v/>
      </c>
      <c r="P2976" s="33" t="str">
        <f t="shared" si="238"/>
        <v/>
      </c>
    </row>
    <row r="2977" spans="9:16">
      <c r="I2977" s="23" t="str">
        <f>_xlfn.IFNA(VLOOKUP(A2977,A2978:$H$3524,8,0),"")</f>
        <v/>
      </c>
      <c r="J2977" s="40" t="str">
        <f t="shared" si="239"/>
        <v/>
      </c>
      <c r="K2977" s="24" t="str">
        <f t="shared" si="240"/>
        <v/>
      </c>
      <c r="L2977" s="25" t="str">
        <f t="shared" si="236"/>
        <v/>
      </c>
      <c r="O2977" s="33" t="str">
        <f t="shared" si="237"/>
        <v/>
      </c>
      <c r="P2977" s="33" t="str">
        <f t="shared" si="238"/>
        <v/>
      </c>
    </row>
    <row r="2978" spans="9:16">
      <c r="I2978" s="23" t="str">
        <f>_xlfn.IFNA(VLOOKUP(A2978,A2979:$H$3524,8,0),"")</f>
        <v/>
      </c>
      <c r="J2978" s="40" t="str">
        <f t="shared" si="239"/>
        <v/>
      </c>
      <c r="K2978" s="24" t="str">
        <f t="shared" si="240"/>
        <v/>
      </c>
      <c r="L2978" s="25" t="str">
        <f t="shared" si="236"/>
        <v/>
      </c>
      <c r="O2978" s="33" t="str">
        <f t="shared" si="237"/>
        <v/>
      </c>
      <c r="P2978" s="33" t="str">
        <f t="shared" si="238"/>
        <v/>
      </c>
    </row>
    <row r="2979" spans="9:16">
      <c r="I2979" s="23" t="str">
        <f>_xlfn.IFNA(VLOOKUP(A2979,A2980:$H$3524,8,0),"")</f>
        <v/>
      </c>
      <c r="J2979" s="40" t="str">
        <f t="shared" si="239"/>
        <v/>
      </c>
      <c r="K2979" s="24" t="str">
        <f t="shared" si="240"/>
        <v/>
      </c>
      <c r="L2979" s="25" t="str">
        <f t="shared" si="236"/>
        <v/>
      </c>
      <c r="O2979" s="33" t="str">
        <f t="shared" si="237"/>
        <v/>
      </c>
      <c r="P2979" s="33" t="str">
        <f t="shared" si="238"/>
        <v/>
      </c>
    </row>
    <row r="2980" spans="9:16">
      <c r="I2980" s="23" t="str">
        <f>_xlfn.IFNA(VLOOKUP(A2980,A2981:$H$3524,8,0),"")</f>
        <v/>
      </c>
      <c r="J2980" s="40" t="str">
        <f t="shared" si="239"/>
        <v/>
      </c>
      <c r="K2980" s="24" t="str">
        <f t="shared" si="240"/>
        <v/>
      </c>
      <c r="L2980" s="25" t="str">
        <f t="shared" si="236"/>
        <v/>
      </c>
      <c r="O2980" s="33" t="str">
        <f t="shared" si="237"/>
        <v/>
      </c>
      <c r="P2980" s="33" t="str">
        <f t="shared" si="238"/>
        <v/>
      </c>
    </row>
    <row r="2981" spans="9:16">
      <c r="I2981" s="23" t="str">
        <f>_xlfn.IFNA(VLOOKUP(A2981,A2982:$H$3524,8,0),"")</f>
        <v/>
      </c>
      <c r="J2981" s="40" t="str">
        <f t="shared" si="239"/>
        <v/>
      </c>
      <c r="K2981" s="24" t="str">
        <f t="shared" si="240"/>
        <v/>
      </c>
      <c r="L2981" s="25" t="str">
        <f t="shared" si="236"/>
        <v/>
      </c>
      <c r="O2981" s="33" t="str">
        <f t="shared" si="237"/>
        <v/>
      </c>
      <c r="P2981" s="33" t="str">
        <f t="shared" si="238"/>
        <v/>
      </c>
    </row>
    <row r="2982" spans="9:16">
      <c r="I2982" s="23" t="str">
        <f>_xlfn.IFNA(VLOOKUP(A2982,A2983:$H$3524,8,0),"")</f>
        <v/>
      </c>
      <c r="J2982" s="40" t="str">
        <f t="shared" si="239"/>
        <v/>
      </c>
      <c r="K2982" s="24" t="str">
        <f t="shared" si="240"/>
        <v/>
      </c>
      <c r="L2982" s="25" t="str">
        <f t="shared" si="236"/>
        <v/>
      </c>
      <c r="O2982" s="33" t="str">
        <f t="shared" si="237"/>
        <v/>
      </c>
      <c r="P2982" s="33" t="str">
        <f t="shared" si="238"/>
        <v/>
      </c>
    </row>
    <row r="2983" spans="9:16">
      <c r="I2983" s="23" t="str">
        <f>_xlfn.IFNA(VLOOKUP(A2983,A2984:$H$3524,8,0),"")</f>
        <v/>
      </c>
      <c r="J2983" s="40" t="str">
        <f t="shared" si="239"/>
        <v/>
      </c>
      <c r="K2983" s="24" t="str">
        <f t="shared" si="240"/>
        <v/>
      </c>
      <c r="L2983" s="25" t="str">
        <f t="shared" si="236"/>
        <v/>
      </c>
      <c r="O2983" s="33" t="str">
        <f t="shared" si="237"/>
        <v/>
      </c>
      <c r="P2983" s="33" t="str">
        <f t="shared" si="238"/>
        <v/>
      </c>
    </row>
    <row r="2984" spans="9:16">
      <c r="I2984" s="23" t="str">
        <f>_xlfn.IFNA(VLOOKUP(A2984,A2985:$H$3524,8,0),"")</f>
        <v/>
      </c>
      <c r="J2984" s="40" t="str">
        <f t="shared" si="239"/>
        <v/>
      </c>
      <c r="K2984" s="24" t="str">
        <f t="shared" si="240"/>
        <v/>
      </c>
      <c r="L2984" s="25" t="str">
        <f t="shared" si="236"/>
        <v/>
      </c>
      <c r="O2984" s="33" t="str">
        <f t="shared" si="237"/>
        <v/>
      </c>
      <c r="P2984" s="33" t="str">
        <f t="shared" si="238"/>
        <v/>
      </c>
    </row>
    <row r="2985" spans="9:16">
      <c r="I2985" s="23" t="str">
        <f>_xlfn.IFNA(VLOOKUP(A2985,A2986:$H$3524,8,0),"")</f>
        <v/>
      </c>
      <c r="J2985" s="40" t="str">
        <f t="shared" si="239"/>
        <v/>
      </c>
      <c r="K2985" s="24" t="str">
        <f t="shared" si="240"/>
        <v/>
      </c>
      <c r="L2985" s="25" t="str">
        <f t="shared" si="236"/>
        <v/>
      </c>
      <c r="O2985" s="33" t="str">
        <f t="shared" si="237"/>
        <v/>
      </c>
      <c r="P2985" s="33" t="str">
        <f t="shared" si="238"/>
        <v/>
      </c>
    </row>
    <row r="2986" spans="9:16">
      <c r="I2986" s="23" t="str">
        <f>_xlfn.IFNA(VLOOKUP(A2986,A2987:$H$3524,8,0),"")</f>
        <v/>
      </c>
      <c r="J2986" s="40" t="str">
        <f t="shared" si="239"/>
        <v/>
      </c>
      <c r="K2986" s="24" t="str">
        <f t="shared" si="240"/>
        <v/>
      </c>
      <c r="L2986" s="25" t="str">
        <f t="shared" si="236"/>
        <v/>
      </c>
      <c r="O2986" s="33" t="str">
        <f t="shared" si="237"/>
        <v/>
      </c>
      <c r="P2986" s="33" t="str">
        <f t="shared" si="238"/>
        <v/>
      </c>
    </row>
    <row r="2987" spans="9:16">
      <c r="I2987" s="23" t="str">
        <f>_xlfn.IFNA(VLOOKUP(A2987,A2988:$H$3524,8,0),"")</f>
        <v/>
      </c>
      <c r="J2987" s="40" t="str">
        <f t="shared" si="239"/>
        <v/>
      </c>
      <c r="K2987" s="24" t="str">
        <f t="shared" si="240"/>
        <v/>
      </c>
      <c r="L2987" s="25" t="str">
        <f t="shared" si="236"/>
        <v/>
      </c>
      <c r="O2987" s="33" t="str">
        <f t="shared" si="237"/>
        <v/>
      </c>
      <c r="P2987" s="33" t="str">
        <f t="shared" si="238"/>
        <v/>
      </c>
    </row>
    <row r="2988" spans="9:16">
      <c r="I2988" s="23" t="str">
        <f>_xlfn.IFNA(VLOOKUP(A2988,A2989:$H$3524,8,0),"")</f>
        <v/>
      </c>
      <c r="J2988" s="40" t="str">
        <f t="shared" si="239"/>
        <v/>
      </c>
      <c r="K2988" s="24" t="str">
        <f t="shared" si="240"/>
        <v/>
      </c>
      <c r="L2988" s="25" t="str">
        <f t="shared" si="236"/>
        <v/>
      </c>
      <c r="O2988" s="33" t="str">
        <f t="shared" si="237"/>
        <v/>
      </c>
      <c r="P2988" s="33" t="str">
        <f t="shared" si="238"/>
        <v/>
      </c>
    </row>
    <row r="2989" spans="9:16">
      <c r="I2989" s="23" t="str">
        <f>_xlfn.IFNA(VLOOKUP(A2989,A2990:$H$3524,8,0),"")</f>
        <v/>
      </c>
      <c r="J2989" s="40" t="str">
        <f t="shared" si="239"/>
        <v/>
      </c>
      <c r="K2989" s="24" t="str">
        <f t="shared" si="240"/>
        <v/>
      </c>
      <c r="L2989" s="25" t="str">
        <f t="shared" si="236"/>
        <v/>
      </c>
      <c r="O2989" s="33" t="str">
        <f t="shared" si="237"/>
        <v/>
      </c>
      <c r="P2989" s="33" t="str">
        <f t="shared" si="238"/>
        <v/>
      </c>
    </row>
    <row r="2990" spans="9:16">
      <c r="I2990" s="23" t="str">
        <f>_xlfn.IFNA(VLOOKUP(A2990,A2991:$H$3524,8,0),"")</f>
        <v/>
      </c>
      <c r="J2990" s="40" t="str">
        <f t="shared" si="239"/>
        <v/>
      </c>
      <c r="K2990" s="24" t="str">
        <f t="shared" si="240"/>
        <v/>
      </c>
      <c r="L2990" s="25" t="str">
        <f t="shared" si="236"/>
        <v/>
      </c>
      <c r="O2990" s="33" t="str">
        <f t="shared" si="237"/>
        <v/>
      </c>
      <c r="P2990" s="33" t="str">
        <f t="shared" si="238"/>
        <v/>
      </c>
    </row>
    <row r="2991" spans="9:16">
      <c r="I2991" s="23" t="str">
        <f>_xlfn.IFNA(VLOOKUP(A2991,A2992:$H$3524,8,0),"")</f>
        <v/>
      </c>
      <c r="J2991" s="40" t="str">
        <f t="shared" si="239"/>
        <v/>
      </c>
      <c r="K2991" s="24" t="str">
        <f t="shared" si="240"/>
        <v/>
      </c>
      <c r="L2991" s="25" t="str">
        <f t="shared" si="236"/>
        <v/>
      </c>
      <c r="O2991" s="33" t="str">
        <f t="shared" si="237"/>
        <v/>
      </c>
      <c r="P2991" s="33" t="str">
        <f t="shared" si="238"/>
        <v/>
      </c>
    </row>
    <row r="2992" spans="9:16">
      <c r="I2992" s="23" t="str">
        <f>_xlfn.IFNA(VLOOKUP(A2992,A2993:$H$3524,8,0),"")</f>
        <v/>
      </c>
      <c r="J2992" s="40" t="str">
        <f t="shared" si="239"/>
        <v/>
      </c>
      <c r="K2992" s="24" t="str">
        <f t="shared" si="240"/>
        <v/>
      </c>
      <c r="L2992" s="25" t="str">
        <f t="shared" si="236"/>
        <v/>
      </c>
      <c r="O2992" s="33" t="str">
        <f t="shared" si="237"/>
        <v/>
      </c>
      <c r="P2992" s="33" t="str">
        <f t="shared" si="238"/>
        <v/>
      </c>
    </row>
    <row r="2993" spans="9:16">
      <c r="I2993" s="23" t="str">
        <f>_xlfn.IFNA(VLOOKUP(A2993,A2994:$H$3524,8,0),"")</f>
        <v/>
      </c>
      <c r="J2993" s="40" t="str">
        <f t="shared" si="239"/>
        <v/>
      </c>
      <c r="K2993" s="24" t="str">
        <f t="shared" si="240"/>
        <v/>
      </c>
      <c r="L2993" s="25" t="str">
        <f t="shared" si="236"/>
        <v/>
      </c>
      <c r="O2993" s="33" t="str">
        <f t="shared" si="237"/>
        <v/>
      </c>
      <c r="P2993" s="33" t="str">
        <f t="shared" si="238"/>
        <v/>
      </c>
    </row>
    <row r="2994" spans="9:16">
      <c r="I2994" s="23" t="str">
        <f>_xlfn.IFNA(VLOOKUP(A2994,A2995:$H$3524,8,0),"")</f>
        <v/>
      </c>
      <c r="J2994" s="40" t="str">
        <f t="shared" si="239"/>
        <v/>
      </c>
      <c r="K2994" s="24" t="str">
        <f t="shared" si="240"/>
        <v/>
      </c>
      <c r="L2994" s="25" t="str">
        <f t="shared" si="236"/>
        <v/>
      </c>
      <c r="O2994" s="33" t="str">
        <f t="shared" si="237"/>
        <v/>
      </c>
      <c r="P2994" s="33" t="str">
        <f t="shared" si="238"/>
        <v/>
      </c>
    </row>
    <row r="2995" spans="9:16">
      <c r="I2995" s="23" t="str">
        <f>_xlfn.IFNA(VLOOKUP(A2995,A2996:$H$3524,8,0),"")</f>
        <v/>
      </c>
      <c r="J2995" s="40" t="str">
        <f t="shared" si="239"/>
        <v/>
      </c>
      <c r="K2995" s="24" t="str">
        <f t="shared" si="240"/>
        <v/>
      </c>
      <c r="L2995" s="25" t="str">
        <f t="shared" si="236"/>
        <v/>
      </c>
      <c r="O2995" s="33" t="str">
        <f t="shared" si="237"/>
        <v/>
      </c>
      <c r="P2995" s="33" t="str">
        <f t="shared" si="238"/>
        <v/>
      </c>
    </row>
    <row r="2996" spans="9:16">
      <c r="I2996" s="23" t="str">
        <f>_xlfn.IFNA(VLOOKUP(A2996,A2997:$H$3524,8,0),"")</f>
        <v/>
      </c>
      <c r="J2996" s="40" t="str">
        <f t="shared" si="239"/>
        <v/>
      </c>
      <c r="K2996" s="24" t="str">
        <f t="shared" si="240"/>
        <v/>
      </c>
      <c r="L2996" s="25" t="str">
        <f t="shared" si="236"/>
        <v/>
      </c>
      <c r="O2996" s="33" t="str">
        <f t="shared" si="237"/>
        <v/>
      </c>
      <c r="P2996" s="33" t="str">
        <f t="shared" si="238"/>
        <v/>
      </c>
    </row>
    <row r="2997" spans="9:16">
      <c r="I2997" s="23" t="str">
        <f>_xlfn.IFNA(VLOOKUP(A2997,A2998:$H$3524,8,0),"")</f>
        <v/>
      </c>
      <c r="J2997" s="40" t="str">
        <f t="shared" si="239"/>
        <v/>
      </c>
      <c r="K2997" s="24" t="str">
        <f t="shared" si="240"/>
        <v/>
      </c>
      <c r="L2997" s="25" t="str">
        <f t="shared" si="236"/>
        <v/>
      </c>
      <c r="O2997" s="33" t="str">
        <f t="shared" si="237"/>
        <v/>
      </c>
      <c r="P2997" s="33" t="str">
        <f t="shared" si="238"/>
        <v/>
      </c>
    </row>
    <row r="2998" spans="9:16">
      <c r="I2998" s="23" t="str">
        <f>_xlfn.IFNA(VLOOKUP(A2998,A2999:$H$3524,8,0),"")</f>
        <v/>
      </c>
      <c r="J2998" s="40" t="str">
        <f t="shared" si="239"/>
        <v/>
      </c>
      <c r="K2998" s="24" t="str">
        <f t="shared" si="240"/>
        <v/>
      </c>
      <c r="L2998" s="25" t="str">
        <f t="shared" si="236"/>
        <v/>
      </c>
      <c r="O2998" s="33" t="str">
        <f t="shared" si="237"/>
        <v/>
      </c>
      <c r="P2998" s="33" t="str">
        <f t="shared" si="238"/>
        <v/>
      </c>
    </row>
    <row r="2999" spans="9:16">
      <c r="I2999" s="23" t="str">
        <f>_xlfn.IFNA(VLOOKUP(A2999,A3000:$H$3524,8,0),"")</f>
        <v/>
      </c>
      <c r="J2999" s="40" t="str">
        <f t="shared" si="239"/>
        <v/>
      </c>
      <c r="K2999" s="24" t="str">
        <f t="shared" si="240"/>
        <v/>
      </c>
      <c r="L2999" s="25" t="str">
        <f t="shared" ref="L2999:L3062" si="241">IF(K2999="","",IF(B2999="Break","Break",IF(K2999&lt;&gt;0,"Work Finished",IF(B2999="OFF","Work Finished",IF(I2999="","Working","Work Finished")))))</f>
        <v/>
      </c>
      <c r="O2999" s="33" t="str">
        <f t="shared" ref="O2999:O3062" si="242">IF(AND(J2999="",M2999="",N2999=""),"",J2999-M2999-N2999)</f>
        <v/>
      </c>
      <c r="P2999" s="33" t="str">
        <f t="shared" ref="P2999:P3062" si="243">IF(HOUR(H2999)=0,"",HOUR(H2999))</f>
        <v/>
      </c>
    </row>
    <row r="3000" spans="9:16">
      <c r="I3000" s="23" t="str">
        <f>_xlfn.IFNA(VLOOKUP(A3000,A3001:$H$3524,8,0),"")</f>
        <v/>
      </c>
      <c r="J3000" s="40" t="str">
        <f t="shared" si="239"/>
        <v/>
      </c>
      <c r="K3000" s="24" t="str">
        <f t="shared" si="240"/>
        <v/>
      </c>
      <c r="L3000" s="25" t="str">
        <f t="shared" si="241"/>
        <v/>
      </c>
      <c r="O3000" s="33" t="str">
        <f t="shared" si="242"/>
        <v/>
      </c>
      <c r="P3000" s="33" t="str">
        <f t="shared" si="243"/>
        <v/>
      </c>
    </row>
    <row r="3001" spans="9:16">
      <c r="I3001" s="23" t="str">
        <f>_xlfn.IFNA(VLOOKUP(A3001,A3002:$H$3524,8,0),"")</f>
        <v/>
      </c>
      <c r="J3001" s="40" t="str">
        <f t="shared" si="239"/>
        <v/>
      </c>
      <c r="K3001" s="24" t="str">
        <f t="shared" si="240"/>
        <v/>
      </c>
      <c r="L3001" s="25" t="str">
        <f t="shared" si="241"/>
        <v/>
      </c>
      <c r="O3001" s="33" t="str">
        <f t="shared" si="242"/>
        <v/>
      </c>
      <c r="P3001" s="33" t="str">
        <f t="shared" si="243"/>
        <v/>
      </c>
    </row>
    <row r="3002" spans="9:16">
      <c r="I3002" s="23" t="str">
        <f>_xlfn.IFNA(VLOOKUP(A3002,A3003:$H$3524,8,0),"")</f>
        <v/>
      </c>
      <c r="J3002" s="40" t="str">
        <f t="shared" si="239"/>
        <v/>
      </c>
      <c r="K3002" s="24" t="str">
        <f t="shared" si="240"/>
        <v/>
      </c>
      <c r="L3002" s="25" t="str">
        <f t="shared" si="241"/>
        <v/>
      </c>
      <c r="O3002" s="33" t="str">
        <f t="shared" si="242"/>
        <v/>
      </c>
      <c r="P3002" s="33" t="str">
        <f t="shared" si="243"/>
        <v/>
      </c>
    </row>
    <row r="3003" spans="9:16">
      <c r="I3003" s="23" t="str">
        <f>_xlfn.IFNA(VLOOKUP(A3003,A3004:$H$3524,8,0),"")</f>
        <v/>
      </c>
      <c r="J3003" s="40" t="str">
        <f t="shared" si="239"/>
        <v/>
      </c>
      <c r="K3003" s="24" t="str">
        <f t="shared" si="240"/>
        <v/>
      </c>
      <c r="L3003" s="25" t="str">
        <f t="shared" si="241"/>
        <v/>
      </c>
      <c r="O3003" s="33" t="str">
        <f t="shared" si="242"/>
        <v/>
      </c>
      <c r="P3003" s="33" t="str">
        <f t="shared" si="243"/>
        <v/>
      </c>
    </row>
    <row r="3004" spans="9:16">
      <c r="I3004" s="23" t="str">
        <f>_xlfn.IFNA(VLOOKUP(A3004,A3005:$H$3524,8,0),"")</f>
        <v/>
      </c>
      <c r="J3004" s="40" t="str">
        <f t="shared" si="239"/>
        <v/>
      </c>
      <c r="K3004" s="24" t="str">
        <f t="shared" si="240"/>
        <v/>
      </c>
      <c r="L3004" s="25" t="str">
        <f t="shared" si="241"/>
        <v/>
      </c>
      <c r="O3004" s="33" t="str">
        <f t="shared" si="242"/>
        <v/>
      </c>
      <c r="P3004" s="33" t="str">
        <f t="shared" si="243"/>
        <v/>
      </c>
    </row>
    <row r="3005" spans="9:16">
      <c r="I3005" s="23" t="str">
        <f>_xlfn.IFNA(VLOOKUP(A3005,A3006:$H$3524,8,0),"")</f>
        <v/>
      </c>
      <c r="J3005" s="40" t="str">
        <f t="shared" si="239"/>
        <v/>
      </c>
      <c r="K3005" s="24" t="str">
        <f t="shared" si="240"/>
        <v/>
      </c>
      <c r="L3005" s="25" t="str">
        <f t="shared" si="241"/>
        <v/>
      </c>
      <c r="O3005" s="33" t="str">
        <f t="shared" si="242"/>
        <v/>
      </c>
      <c r="P3005" s="33" t="str">
        <f t="shared" si="243"/>
        <v/>
      </c>
    </row>
    <row r="3006" spans="9:16">
      <c r="I3006" s="23" t="str">
        <f>_xlfn.IFNA(VLOOKUP(A3006,A3007:$H$3524,8,0),"")</f>
        <v/>
      </c>
      <c r="J3006" s="40" t="str">
        <f t="shared" si="239"/>
        <v/>
      </c>
      <c r="K3006" s="24" t="str">
        <f t="shared" si="240"/>
        <v/>
      </c>
      <c r="L3006" s="25" t="str">
        <f t="shared" si="241"/>
        <v/>
      </c>
      <c r="O3006" s="33" t="str">
        <f t="shared" si="242"/>
        <v/>
      </c>
      <c r="P3006" s="33" t="str">
        <f t="shared" si="243"/>
        <v/>
      </c>
    </row>
    <row r="3007" spans="9:16">
      <c r="I3007" s="23" t="str">
        <f>_xlfn.IFNA(VLOOKUP(A3007,A3008:$H$3524,8,0),"")</f>
        <v/>
      </c>
      <c r="J3007" s="40" t="str">
        <f t="shared" si="239"/>
        <v/>
      </c>
      <c r="K3007" s="24" t="str">
        <f t="shared" si="240"/>
        <v/>
      </c>
      <c r="L3007" s="25" t="str">
        <f t="shared" si="241"/>
        <v/>
      </c>
      <c r="O3007" s="33" t="str">
        <f t="shared" si="242"/>
        <v/>
      </c>
      <c r="P3007" s="33" t="str">
        <f t="shared" si="243"/>
        <v/>
      </c>
    </row>
    <row r="3008" spans="9:16">
      <c r="I3008" s="23" t="str">
        <f>_xlfn.IFNA(VLOOKUP(A3008,A3009:$H$3524,8,0),"")</f>
        <v/>
      </c>
      <c r="J3008" s="40" t="str">
        <f t="shared" si="239"/>
        <v/>
      </c>
      <c r="K3008" s="24" t="str">
        <f t="shared" si="240"/>
        <v/>
      </c>
      <c r="L3008" s="25" t="str">
        <f t="shared" si="241"/>
        <v/>
      </c>
      <c r="O3008" s="33" t="str">
        <f t="shared" si="242"/>
        <v/>
      </c>
      <c r="P3008" s="33" t="str">
        <f t="shared" si="243"/>
        <v/>
      </c>
    </row>
    <row r="3009" spans="9:16">
      <c r="I3009" s="23" t="str">
        <f>_xlfn.IFNA(VLOOKUP(A3009,A3010:$H$3524,8,0),"")</f>
        <v/>
      </c>
      <c r="J3009" s="40" t="str">
        <f t="shared" si="239"/>
        <v/>
      </c>
      <c r="K3009" s="24" t="str">
        <f t="shared" si="240"/>
        <v/>
      </c>
      <c r="L3009" s="25" t="str">
        <f t="shared" si="241"/>
        <v/>
      </c>
      <c r="O3009" s="33" t="str">
        <f t="shared" si="242"/>
        <v/>
      </c>
      <c r="P3009" s="33" t="str">
        <f t="shared" si="243"/>
        <v/>
      </c>
    </row>
    <row r="3010" spans="9:16">
      <c r="I3010" s="23" t="str">
        <f>_xlfn.IFNA(VLOOKUP(A3010,A3011:$H$3524,8,0),"")</f>
        <v/>
      </c>
      <c r="J3010" s="40" t="str">
        <f t="shared" si="239"/>
        <v/>
      </c>
      <c r="K3010" s="24" t="str">
        <f t="shared" si="240"/>
        <v/>
      </c>
      <c r="L3010" s="25" t="str">
        <f t="shared" si="241"/>
        <v/>
      </c>
      <c r="O3010" s="33" t="str">
        <f t="shared" si="242"/>
        <v/>
      </c>
      <c r="P3010" s="33" t="str">
        <f t="shared" si="243"/>
        <v/>
      </c>
    </row>
    <row r="3011" spans="9:16">
      <c r="I3011" s="23" t="str">
        <f>_xlfn.IFNA(VLOOKUP(A3011,A3012:$H$3524,8,0),"")</f>
        <v/>
      </c>
      <c r="J3011" s="40" t="str">
        <f t="shared" si="239"/>
        <v/>
      </c>
      <c r="K3011" s="24" t="str">
        <f t="shared" si="240"/>
        <v/>
      </c>
      <c r="L3011" s="25" t="str">
        <f t="shared" si="241"/>
        <v/>
      </c>
      <c r="O3011" s="33" t="str">
        <f t="shared" si="242"/>
        <v/>
      </c>
      <c r="P3011" s="33" t="str">
        <f t="shared" si="243"/>
        <v/>
      </c>
    </row>
    <row r="3012" spans="9:16">
      <c r="I3012" s="23" t="str">
        <f>_xlfn.IFNA(VLOOKUP(A3012,A3013:$H$3524,8,0),"")</f>
        <v/>
      </c>
      <c r="J3012" s="40" t="str">
        <f t="shared" si="239"/>
        <v/>
      </c>
      <c r="K3012" s="24" t="str">
        <f t="shared" si="240"/>
        <v/>
      </c>
      <c r="L3012" s="25" t="str">
        <f t="shared" si="241"/>
        <v/>
      </c>
      <c r="O3012" s="33" t="str">
        <f t="shared" si="242"/>
        <v/>
      </c>
      <c r="P3012" s="33" t="str">
        <f t="shared" si="243"/>
        <v/>
      </c>
    </row>
    <row r="3013" spans="9:16">
      <c r="I3013" s="23" t="str">
        <f>_xlfn.IFNA(VLOOKUP(A3013,A3014:$H$3524,8,0),"")</f>
        <v/>
      </c>
      <c r="J3013" s="40" t="str">
        <f t="shared" si="239"/>
        <v/>
      </c>
      <c r="K3013" s="24" t="str">
        <f t="shared" si="240"/>
        <v/>
      </c>
      <c r="L3013" s="25" t="str">
        <f t="shared" si="241"/>
        <v/>
      </c>
      <c r="O3013" s="33" t="str">
        <f t="shared" si="242"/>
        <v/>
      </c>
      <c r="P3013" s="33" t="str">
        <f t="shared" si="243"/>
        <v/>
      </c>
    </row>
    <row r="3014" spans="9:16">
      <c r="I3014" s="23" t="str">
        <f>_xlfn.IFNA(VLOOKUP(A3014,A3015:$H$3524,8,0),"")</f>
        <v/>
      </c>
      <c r="J3014" s="40" t="str">
        <f t="shared" ref="J3014:J3077" si="244">IF(B3014="OFF",0,IF(AND(D3014&lt;&gt;"",E3014&lt;&gt;""),E3014-D3014+1,""))</f>
        <v/>
      </c>
      <c r="K3014" s="24" t="str">
        <f t="shared" si="240"/>
        <v/>
      </c>
      <c r="L3014" s="25" t="str">
        <f t="shared" si="241"/>
        <v/>
      </c>
      <c r="O3014" s="33" t="str">
        <f t="shared" si="242"/>
        <v/>
      </c>
      <c r="P3014" s="33" t="str">
        <f t="shared" si="243"/>
        <v/>
      </c>
    </row>
    <row r="3015" spans="9:16">
      <c r="I3015" s="23" t="str">
        <f>_xlfn.IFNA(VLOOKUP(A3015,A3016:$H$3524,8,0),"")</f>
        <v/>
      </c>
      <c r="J3015" s="40" t="str">
        <f t="shared" si="244"/>
        <v/>
      </c>
      <c r="K3015" s="24" t="str">
        <f t="shared" si="240"/>
        <v/>
      </c>
      <c r="L3015" s="25" t="str">
        <f t="shared" si="241"/>
        <v/>
      </c>
      <c r="O3015" s="33" t="str">
        <f t="shared" si="242"/>
        <v/>
      </c>
      <c r="P3015" s="33" t="str">
        <f t="shared" si="243"/>
        <v/>
      </c>
    </row>
    <row r="3016" spans="9:16">
      <c r="I3016" s="23" t="str">
        <f>_xlfn.IFNA(VLOOKUP(A3016,A3017:$H$3524,8,0),"")</f>
        <v/>
      </c>
      <c r="J3016" s="40" t="str">
        <f t="shared" si="244"/>
        <v/>
      </c>
      <c r="K3016" s="24" t="str">
        <f t="shared" si="240"/>
        <v/>
      </c>
      <c r="L3016" s="25" t="str">
        <f t="shared" si="241"/>
        <v/>
      </c>
      <c r="O3016" s="33" t="str">
        <f t="shared" si="242"/>
        <v/>
      </c>
      <c r="P3016" s="33" t="str">
        <f t="shared" si="243"/>
        <v/>
      </c>
    </row>
    <row r="3017" spans="9:16">
      <c r="I3017" s="23" t="str">
        <f>_xlfn.IFNA(VLOOKUP(A3017,A3018:$H$3524,8,0),"")</f>
        <v/>
      </c>
      <c r="J3017" s="40" t="str">
        <f t="shared" si="244"/>
        <v/>
      </c>
      <c r="K3017" s="24" t="str">
        <f t="shared" si="240"/>
        <v/>
      </c>
      <c r="L3017" s="25" t="str">
        <f t="shared" si="241"/>
        <v/>
      </c>
      <c r="O3017" s="33" t="str">
        <f t="shared" si="242"/>
        <v/>
      </c>
      <c r="P3017" s="33" t="str">
        <f t="shared" si="243"/>
        <v/>
      </c>
    </row>
    <row r="3018" spans="9:16">
      <c r="I3018" s="23" t="str">
        <f>_xlfn.IFNA(VLOOKUP(A3018,A3019:$H$3524,8,0),"")</f>
        <v/>
      </c>
      <c r="J3018" s="40" t="str">
        <f t="shared" si="244"/>
        <v/>
      </c>
      <c r="K3018" s="24" t="str">
        <f t="shared" si="240"/>
        <v/>
      </c>
      <c r="L3018" s="25" t="str">
        <f t="shared" si="241"/>
        <v/>
      </c>
      <c r="O3018" s="33" t="str">
        <f t="shared" si="242"/>
        <v/>
      </c>
      <c r="P3018" s="33" t="str">
        <f t="shared" si="243"/>
        <v/>
      </c>
    </row>
    <row r="3019" spans="9:16">
      <c r="I3019" s="23" t="str">
        <f>_xlfn.IFNA(VLOOKUP(A3019,A3020:$H$3524,8,0),"")</f>
        <v/>
      </c>
      <c r="J3019" s="40" t="str">
        <f t="shared" si="244"/>
        <v/>
      </c>
      <c r="K3019" s="24" t="str">
        <f t="shared" si="240"/>
        <v/>
      </c>
      <c r="L3019" s="25" t="str">
        <f t="shared" si="241"/>
        <v/>
      </c>
      <c r="O3019" s="33" t="str">
        <f t="shared" si="242"/>
        <v/>
      </c>
      <c r="P3019" s="33" t="str">
        <f t="shared" si="243"/>
        <v/>
      </c>
    </row>
    <row r="3020" spans="9:16">
      <c r="I3020" s="23" t="str">
        <f>_xlfn.IFNA(VLOOKUP(A3020,A3021:$H$3524,8,0),"")</f>
        <v/>
      </c>
      <c r="J3020" s="40" t="str">
        <f t="shared" si="244"/>
        <v/>
      </c>
      <c r="K3020" s="24" t="str">
        <f t="shared" si="240"/>
        <v/>
      </c>
      <c r="L3020" s="25" t="str">
        <f t="shared" si="241"/>
        <v/>
      </c>
      <c r="O3020" s="33" t="str">
        <f t="shared" si="242"/>
        <v/>
      </c>
      <c r="P3020" s="33" t="str">
        <f t="shared" si="243"/>
        <v/>
      </c>
    </row>
    <row r="3021" spans="9:16">
      <c r="I3021" s="23" t="str">
        <f>_xlfn.IFNA(VLOOKUP(A3021,A3022:$H$3524,8,0),"")</f>
        <v/>
      </c>
      <c r="J3021" s="40" t="str">
        <f t="shared" si="244"/>
        <v/>
      </c>
      <c r="K3021" s="24" t="str">
        <f t="shared" si="240"/>
        <v/>
      </c>
      <c r="L3021" s="25" t="str">
        <f t="shared" si="241"/>
        <v/>
      </c>
      <c r="O3021" s="33" t="str">
        <f t="shared" si="242"/>
        <v/>
      </c>
      <c r="P3021" s="33" t="str">
        <f t="shared" si="243"/>
        <v/>
      </c>
    </row>
    <row r="3022" spans="9:16">
      <c r="I3022" s="23" t="str">
        <f>_xlfn.IFNA(VLOOKUP(A3022,A3023:$H$3524,8,0),"")</f>
        <v/>
      </c>
      <c r="J3022" s="40" t="str">
        <f t="shared" si="244"/>
        <v/>
      </c>
      <c r="K3022" s="24" t="str">
        <f t="shared" si="240"/>
        <v/>
      </c>
      <c r="L3022" s="25" t="str">
        <f t="shared" si="241"/>
        <v/>
      </c>
      <c r="O3022" s="33" t="str">
        <f t="shared" si="242"/>
        <v/>
      </c>
      <c r="P3022" s="33" t="str">
        <f t="shared" si="243"/>
        <v/>
      </c>
    </row>
    <row r="3023" spans="9:16">
      <c r="I3023" s="23" t="str">
        <f>_xlfn.IFNA(VLOOKUP(A3023,A3024:$H$3524,8,0),"")</f>
        <v/>
      </c>
      <c r="J3023" s="40" t="str">
        <f t="shared" si="244"/>
        <v/>
      </c>
      <c r="K3023" s="24" t="str">
        <f t="shared" si="240"/>
        <v/>
      </c>
      <c r="L3023" s="25" t="str">
        <f t="shared" si="241"/>
        <v/>
      </c>
      <c r="O3023" s="33" t="str">
        <f t="shared" si="242"/>
        <v/>
      </c>
      <c r="P3023" s="33" t="str">
        <f t="shared" si="243"/>
        <v/>
      </c>
    </row>
    <row r="3024" spans="9:16">
      <c r="I3024" s="23" t="str">
        <f>_xlfn.IFNA(VLOOKUP(A3024,A3025:$H$3524,8,0),"")</f>
        <v/>
      </c>
      <c r="J3024" s="40" t="str">
        <f t="shared" si="244"/>
        <v/>
      </c>
      <c r="K3024" s="24" t="str">
        <f t="shared" si="240"/>
        <v/>
      </c>
      <c r="L3024" s="25" t="str">
        <f t="shared" si="241"/>
        <v/>
      </c>
      <c r="O3024" s="33" t="str">
        <f t="shared" si="242"/>
        <v/>
      </c>
      <c r="P3024" s="33" t="str">
        <f t="shared" si="243"/>
        <v/>
      </c>
    </row>
    <row r="3025" spans="9:16">
      <c r="I3025" s="23" t="str">
        <f>_xlfn.IFNA(VLOOKUP(A3025,A3026:$H$3524,8,0),"")</f>
        <v/>
      </c>
      <c r="J3025" s="40" t="str">
        <f t="shared" si="244"/>
        <v/>
      </c>
      <c r="K3025" s="24" t="str">
        <f t="shared" si="240"/>
        <v/>
      </c>
      <c r="L3025" s="25" t="str">
        <f t="shared" si="241"/>
        <v/>
      </c>
      <c r="O3025" s="33" t="str">
        <f t="shared" si="242"/>
        <v/>
      </c>
      <c r="P3025" s="33" t="str">
        <f t="shared" si="243"/>
        <v/>
      </c>
    </row>
    <row r="3026" spans="9:16">
      <c r="I3026" s="23" t="str">
        <f>_xlfn.IFNA(VLOOKUP(A3026,A3027:$H$3524,8,0),"")</f>
        <v/>
      </c>
      <c r="J3026" s="40" t="str">
        <f t="shared" si="244"/>
        <v/>
      </c>
      <c r="K3026" s="24" t="str">
        <f t="shared" si="240"/>
        <v/>
      </c>
      <c r="L3026" s="25" t="str">
        <f t="shared" si="241"/>
        <v/>
      </c>
      <c r="O3026" s="33" t="str">
        <f t="shared" si="242"/>
        <v/>
      </c>
      <c r="P3026" s="33" t="str">
        <f t="shared" si="243"/>
        <v/>
      </c>
    </row>
    <row r="3027" spans="9:16">
      <c r="I3027" s="23" t="str">
        <f>_xlfn.IFNA(VLOOKUP(A3027,A3028:$H$3524,8,0),"")</f>
        <v/>
      </c>
      <c r="J3027" s="40" t="str">
        <f t="shared" si="244"/>
        <v/>
      </c>
      <c r="K3027" s="24" t="str">
        <f t="shared" si="240"/>
        <v/>
      </c>
      <c r="L3027" s="25" t="str">
        <f t="shared" si="241"/>
        <v/>
      </c>
      <c r="O3027" s="33" t="str">
        <f t="shared" si="242"/>
        <v/>
      </c>
      <c r="P3027" s="33" t="str">
        <f t="shared" si="243"/>
        <v/>
      </c>
    </row>
    <row r="3028" spans="9:16">
      <c r="I3028" s="23" t="str">
        <f>_xlfn.IFNA(VLOOKUP(A3028,A3029:$H$3524,8,0),"")</f>
        <v/>
      </c>
      <c r="J3028" s="40" t="str">
        <f t="shared" si="244"/>
        <v/>
      </c>
      <c r="K3028" s="24" t="str">
        <f t="shared" si="240"/>
        <v/>
      </c>
      <c r="L3028" s="25" t="str">
        <f t="shared" si="241"/>
        <v/>
      </c>
      <c r="O3028" s="33" t="str">
        <f t="shared" si="242"/>
        <v/>
      </c>
      <c r="P3028" s="33" t="str">
        <f t="shared" si="243"/>
        <v/>
      </c>
    </row>
    <row r="3029" spans="9:16">
      <c r="I3029" s="23" t="str">
        <f>_xlfn.IFNA(VLOOKUP(A3029,A3030:$H$3524,8,0),"")</f>
        <v/>
      </c>
      <c r="J3029" s="40" t="str">
        <f t="shared" si="244"/>
        <v/>
      </c>
      <c r="K3029" s="24" t="str">
        <f t="shared" si="240"/>
        <v/>
      </c>
      <c r="L3029" s="25" t="str">
        <f t="shared" si="241"/>
        <v/>
      </c>
      <c r="O3029" s="33" t="str">
        <f t="shared" si="242"/>
        <v/>
      </c>
      <c r="P3029" s="33" t="str">
        <f t="shared" si="243"/>
        <v/>
      </c>
    </row>
    <row r="3030" spans="9:16">
      <c r="I3030" s="23" t="str">
        <f>_xlfn.IFNA(VLOOKUP(A3030,A3031:$H$3524,8,0),"")</f>
        <v/>
      </c>
      <c r="J3030" s="40" t="str">
        <f t="shared" si="244"/>
        <v/>
      </c>
      <c r="K3030" s="24" t="str">
        <f t="shared" ref="K3030:K3093" si="245">IF(H3030="","",IFERROR((I3030-H3030)*24,0))</f>
        <v/>
      </c>
      <c r="L3030" s="25" t="str">
        <f t="shared" si="241"/>
        <v/>
      </c>
      <c r="O3030" s="33" t="str">
        <f t="shared" si="242"/>
        <v/>
      </c>
      <c r="P3030" s="33" t="str">
        <f t="shared" si="243"/>
        <v/>
      </c>
    </row>
    <row r="3031" spans="9:16">
      <c r="I3031" s="23" t="str">
        <f>_xlfn.IFNA(VLOOKUP(A3031,A3032:$H$3524,8,0),"")</f>
        <v/>
      </c>
      <c r="J3031" s="40" t="str">
        <f t="shared" si="244"/>
        <v/>
      </c>
      <c r="K3031" s="24" t="str">
        <f t="shared" si="245"/>
        <v/>
      </c>
      <c r="L3031" s="25" t="str">
        <f t="shared" si="241"/>
        <v/>
      </c>
      <c r="O3031" s="33" t="str">
        <f t="shared" si="242"/>
        <v/>
      </c>
      <c r="P3031" s="33" t="str">
        <f t="shared" si="243"/>
        <v/>
      </c>
    </row>
    <row r="3032" spans="9:16">
      <c r="I3032" s="23" t="str">
        <f>_xlfn.IFNA(VLOOKUP(A3032,A3033:$H$3524,8,0),"")</f>
        <v/>
      </c>
      <c r="J3032" s="40" t="str">
        <f t="shared" si="244"/>
        <v/>
      </c>
      <c r="K3032" s="24" t="str">
        <f t="shared" si="245"/>
        <v/>
      </c>
      <c r="L3032" s="25" t="str">
        <f t="shared" si="241"/>
        <v/>
      </c>
      <c r="O3032" s="33" t="str">
        <f t="shared" si="242"/>
        <v/>
      </c>
      <c r="P3032" s="33" t="str">
        <f t="shared" si="243"/>
        <v/>
      </c>
    </row>
    <row r="3033" spans="9:16">
      <c r="I3033" s="23" t="str">
        <f>_xlfn.IFNA(VLOOKUP(A3033,A3034:$H$3524,8,0),"")</f>
        <v/>
      </c>
      <c r="J3033" s="40" t="str">
        <f t="shared" si="244"/>
        <v/>
      </c>
      <c r="K3033" s="24" t="str">
        <f t="shared" si="245"/>
        <v/>
      </c>
      <c r="L3033" s="25" t="str">
        <f t="shared" si="241"/>
        <v/>
      </c>
      <c r="O3033" s="33" t="str">
        <f t="shared" si="242"/>
        <v/>
      </c>
      <c r="P3033" s="33" t="str">
        <f t="shared" si="243"/>
        <v/>
      </c>
    </row>
    <row r="3034" spans="9:16">
      <c r="I3034" s="23" t="str">
        <f>_xlfn.IFNA(VLOOKUP(A3034,A3035:$H$3524,8,0),"")</f>
        <v/>
      </c>
      <c r="J3034" s="40" t="str">
        <f t="shared" si="244"/>
        <v/>
      </c>
      <c r="K3034" s="24" t="str">
        <f t="shared" si="245"/>
        <v/>
      </c>
      <c r="L3034" s="25" t="str">
        <f t="shared" si="241"/>
        <v/>
      </c>
      <c r="O3034" s="33" t="str">
        <f t="shared" si="242"/>
        <v/>
      </c>
      <c r="P3034" s="33" t="str">
        <f t="shared" si="243"/>
        <v/>
      </c>
    </row>
    <row r="3035" spans="9:16">
      <c r="I3035" s="23" t="str">
        <f>_xlfn.IFNA(VLOOKUP(A3035,A3036:$H$3524,8,0),"")</f>
        <v/>
      </c>
      <c r="J3035" s="40" t="str">
        <f t="shared" si="244"/>
        <v/>
      </c>
      <c r="K3035" s="24" t="str">
        <f t="shared" si="245"/>
        <v/>
      </c>
      <c r="L3035" s="25" t="str">
        <f t="shared" si="241"/>
        <v/>
      </c>
      <c r="O3035" s="33" t="str">
        <f t="shared" si="242"/>
        <v/>
      </c>
      <c r="P3035" s="33" t="str">
        <f t="shared" si="243"/>
        <v/>
      </c>
    </row>
    <row r="3036" spans="9:16">
      <c r="I3036" s="23" t="str">
        <f>_xlfn.IFNA(VLOOKUP(A3036,A3037:$H$3524,8,0),"")</f>
        <v/>
      </c>
      <c r="J3036" s="40" t="str">
        <f t="shared" si="244"/>
        <v/>
      </c>
      <c r="K3036" s="24" t="str">
        <f t="shared" si="245"/>
        <v/>
      </c>
      <c r="L3036" s="25" t="str">
        <f t="shared" si="241"/>
        <v/>
      </c>
      <c r="O3036" s="33" t="str">
        <f t="shared" si="242"/>
        <v/>
      </c>
      <c r="P3036" s="33" t="str">
        <f t="shared" si="243"/>
        <v/>
      </c>
    </row>
    <row r="3037" spans="9:16">
      <c r="I3037" s="23" t="str">
        <f>_xlfn.IFNA(VLOOKUP(A3037,A3038:$H$3524,8,0),"")</f>
        <v/>
      </c>
      <c r="J3037" s="40" t="str">
        <f t="shared" si="244"/>
        <v/>
      </c>
      <c r="K3037" s="24" t="str">
        <f t="shared" si="245"/>
        <v/>
      </c>
      <c r="L3037" s="25" t="str">
        <f t="shared" si="241"/>
        <v/>
      </c>
      <c r="O3037" s="33" t="str">
        <f t="shared" si="242"/>
        <v/>
      </c>
      <c r="P3037" s="33" t="str">
        <f t="shared" si="243"/>
        <v/>
      </c>
    </row>
    <row r="3038" spans="9:16">
      <c r="I3038" s="23" t="str">
        <f>_xlfn.IFNA(VLOOKUP(A3038,A3039:$H$3524,8,0),"")</f>
        <v/>
      </c>
      <c r="J3038" s="40" t="str">
        <f t="shared" si="244"/>
        <v/>
      </c>
      <c r="K3038" s="24" t="str">
        <f t="shared" si="245"/>
        <v/>
      </c>
      <c r="L3038" s="25" t="str">
        <f t="shared" si="241"/>
        <v/>
      </c>
      <c r="O3038" s="33" t="str">
        <f t="shared" si="242"/>
        <v/>
      </c>
      <c r="P3038" s="33" t="str">
        <f t="shared" si="243"/>
        <v/>
      </c>
    </row>
    <row r="3039" spans="9:16">
      <c r="I3039" s="23" t="str">
        <f>_xlfn.IFNA(VLOOKUP(A3039,A3040:$H$3524,8,0),"")</f>
        <v/>
      </c>
      <c r="J3039" s="40" t="str">
        <f t="shared" si="244"/>
        <v/>
      </c>
      <c r="K3039" s="24" t="str">
        <f t="shared" si="245"/>
        <v/>
      </c>
      <c r="L3039" s="25" t="str">
        <f t="shared" si="241"/>
        <v/>
      </c>
      <c r="O3039" s="33" t="str">
        <f t="shared" si="242"/>
        <v/>
      </c>
      <c r="P3039" s="33" t="str">
        <f t="shared" si="243"/>
        <v/>
      </c>
    </row>
    <row r="3040" spans="9:16">
      <c r="I3040" s="23" t="str">
        <f>_xlfn.IFNA(VLOOKUP(A3040,A3041:$H$3524,8,0),"")</f>
        <v/>
      </c>
      <c r="J3040" s="40" t="str">
        <f t="shared" si="244"/>
        <v/>
      </c>
      <c r="K3040" s="24" t="str">
        <f t="shared" si="245"/>
        <v/>
      </c>
      <c r="L3040" s="25" t="str">
        <f t="shared" si="241"/>
        <v/>
      </c>
      <c r="O3040" s="33" t="str">
        <f t="shared" si="242"/>
        <v/>
      </c>
      <c r="P3040" s="33" t="str">
        <f t="shared" si="243"/>
        <v/>
      </c>
    </row>
    <row r="3041" spans="9:16">
      <c r="I3041" s="23" t="str">
        <f>_xlfn.IFNA(VLOOKUP(A3041,A3042:$H$3524,8,0),"")</f>
        <v/>
      </c>
      <c r="J3041" s="40" t="str">
        <f t="shared" si="244"/>
        <v/>
      </c>
      <c r="K3041" s="24" t="str">
        <f t="shared" si="245"/>
        <v/>
      </c>
      <c r="L3041" s="25" t="str">
        <f t="shared" si="241"/>
        <v/>
      </c>
      <c r="O3041" s="33" t="str">
        <f t="shared" si="242"/>
        <v/>
      </c>
      <c r="P3041" s="33" t="str">
        <f t="shared" si="243"/>
        <v/>
      </c>
    </row>
    <row r="3042" spans="9:16">
      <c r="I3042" s="23" t="str">
        <f>_xlfn.IFNA(VLOOKUP(A3042,A3043:$H$3524,8,0),"")</f>
        <v/>
      </c>
      <c r="J3042" s="40" t="str">
        <f t="shared" si="244"/>
        <v/>
      </c>
      <c r="K3042" s="24" t="str">
        <f t="shared" si="245"/>
        <v/>
      </c>
      <c r="L3042" s="25" t="str">
        <f t="shared" si="241"/>
        <v/>
      </c>
      <c r="O3042" s="33" t="str">
        <f t="shared" si="242"/>
        <v/>
      </c>
      <c r="P3042" s="33" t="str">
        <f t="shared" si="243"/>
        <v/>
      </c>
    </row>
    <row r="3043" spans="9:16">
      <c r="I3043" s="23" t="str">
        <f>_xlfn.IFNA(VLOOKUP(A3043,A3044:$H$3524,8,0),"")</f>
        <v/>
      </c>
      <c r="J3043" s="40" t="str">
        <f t="shared" si="244"/>
        <v/>
      </c>
      <c r="K3043" s="24" t="str">
        <f t="shared" si="245"/>
        <v/>
      </c>
      <c r="L3043" s="25" t="str">
        <f t="shared" si="241"/>
        <v/>
      </c>
      <c r="O3043" s="33" t="str">
        <f t="shared" si="242"/>
        <v/>
      </c>
      <c r="P3043" s="33" t="str">
        <f t="shared" si="243"/>
        <v/>
      </c>
    </row>
    <row r="3044" spans="9:16">
      <c r="I3044" s="23" t="str">
        <f>_xlfn.IFNA(VLOOKUP(A3044,A3045:$H$3524,8,0),"")</f>
        <v/>
      </c>
      <c r="J3044" s="40" t="str">
        <f t="shared" si="244"/>
        <v/>
      </c>
      <c r="K3044" s="24" t="str">
        <f t="shared" si="245"/>
        <v/>
      </c>
      <c r="L3044" s="25" t="str">
        <f t="shared" si="241"/>
        <v/>
      </c>
      <c r="O3044" s="33" t="str">
        <f t="shared" si="242"/>
        <v/>
      </c>
      <c r="P3044" s="33" t="str">
        <f t="shared" si="243"/>
        <v/>
      </c>
    </row>
    <row r="3045" spans="9:16">
      <c r="I3045" s="23" t="str">
        <f>_xlfn.IFNA(VLOOKUP(A3045,A3046:$H$3524,8,0),"")</f>
        <v/>
      </c>
      <c r="J3045" s="40" t="str">
        <f t="shared" si="244"/>
        <v/>
      </c>
      <c r="K3045" s="24" t="str">
        <f t="shared" si="245"/>
        <v/>
      </c>
      <c r="L3045" s="25" t="str">
        <f t="shared" si="241"/>
        <v/>
      </c>
      <c r="O3045" s="33" t="str">
        <f t="shared" si="242"/>
        <v/>
      </c>
      <c r="P3045" s="33" t="str">
        <f t="shared" si="243"/>
        <v/>
      </c>
    </row>
    <row r="3046" spans="9:16">
      <c r="I3046" s="23" t="str">
        <f>_xlfn.IFNA(VLOOKUP(A3046,A3047:$H$3524,8,0),"")</f>
        <v/>
      </c>
      <c r="J3046" s="40" t="str">
        <f t="shared" si="244"/>
        <v/>
      </c>
      <c r="K3046" s="24" t="str">
        <f t="shared" si="245"/>
        <v/>
      </c>
      <c r="L3046" s="25" t="str">
        <f t="shared" si="241"/>
        <v/>
      </c>
      <c r="O3046" s="33" t="str">
        <f t="shared" si="242"/>
        <v/>
      </c>
      <c r="P3046" s="33" t="str">
        <f t="shared" si="243"/>
        <v/>
      </c>
    </row>
    <row r="3047" spans="9:16">
      <c r="I3047" s="23" t="str">
        <f>_xlfn.IFNA(VLOOKUP(A3047,A3048:$H$3524,8,0),"")</f>
        <v/>
      </c>
      <c r="J3047" s="40" t="str">
        <f t="shared" si="244"/>
        <v/>
      </c>
      <c r="K3047" s="24" t="str">
        <f t="shared" si="245"/>
        <v/>
      </c>
      <c r="L3047" s="25" t="str">
        <f t="shared" si="241"/>
        <v/>
      </c>
      <c r="O3047" s="33" t="str">
        <f t="shared" si="242"/>
        <v/>
      </c>
      <c r="P3047" s="33" t="str">
        <f t="shared" si="243"/>
        <v/>
      </c>
    </row>
    <row r="3048" spans="9:16">
      <c r="I3048" s="23" t="str">
        <f>_xlfn.IFNA(VLOOKUP(A3048,A3049:$H$3524,8,0),"")</f>
        <v/>
      </c>
      <c r="J3048" s="40" t="str">
        <f t="shared" si="244"/>
        <v/>
      </c>
      <c r="K3048" s="24" t="str">
        <f t="shared" si="245"/>
        <v/>
      </c>
      <c r="L3048" s="25" t="str">
        <f t="shared" si="241"/>
        <v/>
      </c>
      <c r="O3048" s="33" t="str">
        <f t="shared" si="242"/>
        <v/>
      </c>
      <c r="P3048" s="33" t="str">
        <f t="shared" si="243"/>
        <v/>
      </c>
    </row>
    <row r="3049" spans="9:16">
      <c r="I3049" s="23" t="str">
        <f>_xlfn.IFNA(VLOOKUP(A3049,A3050:$H$3524,8,0),"")</f>
        <v/>
      </c>
      <c r="J3049" s="40" t="str">
        <f t="shared" si="244"/>
        <v/>
      </c>
      <c r="K3049" s="24" t="str">
        <f t="shared" si="245"/>
        <v/>
      </c>
      <c r="L3049" s="25" t="str">
        <f t="shared" si="241"/>
        <v/>
      </c>
      <c r="O3049" s="33" t="str">
        <f t="shared" si="242"/>
        <v/>
      </c>
      <c r="P3049" s="33" t="str">
        <f t="shared" si="243"/>
        <v/>
      </c>
    </row>
    <row r="3050" spans="9:16">
      <c r="I3050" s="23" t="str">
        <f>_xlfn.IFNA(VLOOKUP(A3050,A3051:$H$3524,8,0),"")</f>
        <v/>
      </c>
      <c r="J3050" s="40" t="str">
        <f t="shared" si="244"/>
        <v/>
      </c>
      <c r="K3050" s="24" t="str">
        <f t="shared" si="245"/>
        <v/>
      </c>
      <c r="L3050" s="25" t="str">
        <f t="shared" si="241"/>
        <v/>
      </c>
      <c r="O3050" s="33" t="str">
        <f t="shared" si="242"/>
        <v/>
      </c>
      <c r="P3050" s="33" t="str">
        <f t="shared" si="243"/>
        <v/>
      </c>
    </row>
    <row r="3051" spans="9:16">
      <c r="I3051" s="23" t="str">
        <f>_xlfn.IFNA(VLOOKUP(A3051,A3052:$H$3524,8,0),"")</f>
        <v/>
      </c>
      <c r="J3051" s="40" t="str">
        <f t="shared" si="244"/>
        <v/>
      </c>
      <c r="K3051" s="24" t="str">
        <f t="shared" si="245"/>
        <v/>
      </c>
      <c r="L3051" s="25" t="str">
        <f t="shared" si="241"/>
        <v/>
      </c>
      <c r="O3051" s="33" t="str">
        <f t="shared" si="242"/>
        <v/>
      </c>
      <c r="P3051" s="33" t="str">
        <f t="shared" si="243"/>
        <v/>
      </c>
    </row>
    <row r="3052" spans="9:16">
      <c r="I3052" s="23" t="str">
        <f>_xlfn.IFNA(VLOOKUP(A3052,A3053:$H$3524,8,0),"")</f>
        <v/>
      </c>
      <c r="J3052" s="40" t="str">
        <f t="shared" si="244"/>
        <v/>
      </c>
      <c r="K3052" s="24" t="str">
        <f t="shared" si="245"/>
        <v/>
      </c>
      <c r="L3052" s="25" t="str">
        <f t="shared" si="241"/>
        <v/>
      </c>
      <c r="O3052" s="33" t="str">
        <f t="shared" si="242"/>
        <v/>
      </c>
      <c r="P3052" s="33" t="str">
        <f t="shared" si="243"/>
        <v/>
      </c>
    </row>
    <row r="3053" spans="9:16">
      <c r="I3053" s="23" t="str">
        <f>_xlfn.IFNA(VLOOKUP(A3053,A3054:$H$3524,8,0),"")</f>
        <v/>
      </c>
      <c r="J3053" s="40" t="str">
        <f t="shared" si="244"/>
        <v/>
      </c>
      <c r="K3053" s="24" t="str">
        <f t="shared" si="245"/>
        <v/>
      </c>
      <c r="L3053" s="25" t="str">
        <f t="shared" si="241"/>
        <v/>
      </c>
      <c r="O3053" s="33" t="str">
        <f t="shared" si="242"/>
        <v/>
      </c>
      <c r="P3053" s="33" t="str">
        <f t="shared" si="243"/>
        <v/>
      </c>
    </row>
    <row r="3054" spans="9:16">
      <c r="I3054" s="23" t="str">
        <f>_xlfn.IFNA(VLOOKUP(A3054,A3055:$H$3524,8,0),"")</f>
        <v/>
      </c>
      <c r="J3054" s="40" t="str">
        <f t="shared" si="244"/>
        <v/>
      </c>
      <c r="K3054" s="24" t="str">
        <f t="shared" si="245"/>
        <v/>
      </c>
      <c r="L3054" s="25" t="str">
        <f t="shared" si="241"/>
        <v/>
      </c>
      <c r="O3054" s="33" t="str">
        <f t="shared" si="242"/>
        <v/>
      </c>
      <c r="P3054" s="33" t="str">
        <f t="shared" si="243"/>
        <v/>
      </c>
    </row>
    <row r="3055" spans="9:16">
      <c r="I3055" s="23" t="str">
        <f>_xlfn.IFNA(VLOOKUP(A3055,A3056:$H$3524,8,0),"")</f>
        <v/>
      </c>
      <c r="J3055" s="40" t="str">
        <f t="shared" si="244"/>
        <v/>
      </c>
      <c r="K3055" s="24" t="str">
        <f t="shared" si="245"/>
        <v/>
      </c>
      <c r="L3055" s="25" t="str">
        <f t="shared" si="241"/>
        <v/>
      </c>
      <c r="O3055" s="33" t="str">
        <f t="shared" si="242"/>
        <v/>
      </c>
      <c r="P3055" s="33" t="str">
        <f t="shared" si="243"/>
        <v/>
      </c>
    </row>
    <row r="3056" spans="9:16">
      <c r="I3056" s="23" t="str">
        <f>_xlfn.IFNA(VLOOKUP(A3056,A3057:$H$3524,8,0),"")</f>
        <v/>
      </c>
      <c r="J3056" s="40" t="str">
        <f t="shared" si="244"/>
        <v/>
      </c>
      <c r="K3056" s="24" t="str">
        <f t="shared" si="245"/>
        <v/>
      </c>
      <c r="L3056" s="25" t="str">
        <f t="shared" si="241"/>
        <v/>
      </c>
      <c r="O3056" s="33" t="str">
        <f t="shared" si="242"/>
        <v/>
      </c>
      <c r="P3056" s="33" t="str">
        <f t="shared" si="243"/>
        <v/>
      </c>
    </row>
    <row r="3057" spans="9:16">
      <c r="I3057" s="23" t="str">
        <f>_xlfn.IFNA(VLOOKUP(A3057,A3058:$H$3524,8,0),"")</f>
        <v/>
      </c>
      <c r="J3057" s="40" t="str">
        <f t="shared" si="244"/>
        <v/>
      </c>
      <c r="K3057" s="24" t="str">
        <f t="shared" si="245"/>
        <v/>
      </c>
      <c r="L3057" s="25" t="str">
        <f t="shared" si="241"/>
        <v/>
      </c>
      <c r="O3057" s="33" t="str">
        <f t="shared" si="242"/>
        <v/>
      </c>
      <c r="P3057" s="33" t="str">
        <f t="shared" si="243"/>
        <v/>
      </c>
    </row>
    <row r="3058" spans="9:16">
      <c r="I3058" s="23" t="str">
        <f>_xlfn.IFNA(VLOOKUP(A3058,A3059:$H$3524,8,0),"")</f>
        <v/>
      </c>
      <c r="J3058" s="40" t="str">
        <f t="shared" si="244"/>
        <v/>
      </c>
      <c r="K3058" s="24" t="str">
        <f t="shared" si="245"/>
        <v/>
      </c>
      <c r="L3058" s="25" t="str">
        <f t="shared" si="241"/>
        <v/>
      </c>
      <c r="O3058" s="33" t="str">
        <f t="shared" si="242"/>
        <v/>
      </c>
      <c r="P3058" s="33" t="str">
        <f t="shared" si="243"/>
        <v/>
      </c>
    </row>
    <row r="3059" spans="9:16">
      <c r="I3059" s="23" t="str">
        <f>_xlfn.IFNA(VLOOKUP(A3059,A3060:$H$3524,8,0),"")</f>
        <v/>
      </c>
      <c r="J3059" s="40" t="str">
        <f t="shared" si="244"/>
        <v/>
      </c>
      <c r="K3059" s="24" t="str">
        <f t="shared" si="245"/>
        <v/>
      </c>
      <c r="L3059" s="25" t="str">
        <f t="shared" si="241"/>
        <v/>
      </c>
      <c r="O3059" s="33" t="str">
        <f t="shared" si="242"/>
        <v/>
      </c>
      <c r="P3059" s="33" t="str">
        <f t="shared" si="243"/>
        <v/>
      </c>
    </row>
    <row r="3060" spans="9:16">
      <c r="I3060" s="23" t="str">
        <f>_xlfn.IFNA(VLOOKUP(A3060,A3061:$H$3524,8,0),"")</f>
        <v/>
      </c>
      <c r="J3060" s="40" t="str">
        <f t="shared" si="244"/>
        <v/>
      </c>
      <c r="K3060" s="24" t="str">
        <f t="shared" si="245"/>
        <v/>
      </c>
      <c r="L3060" s="25" t="str">
        <f t="shared" si="241"/>
        <v/>
      </c>
      <c r="O3060" s="33" t="str">
        <f t="shared" si="242"/>
        <v/>
      </c>
      <c r="P3060" s="33" t="str">
        <f t="shared" si="243"/>
        <v/>
      </c>
    </row>
    <row r="3061" spans="9:16">
      <c r="I3061" s="23" t="str">
        <f>_xlfn.IFNA(VLOOKUP(A3061,A3062:$H$3524,8,0),"")</f>
        <v/>
      </c>
      <c r="J3061" s="40" t="str">
        <f t="shared" si="244"/>
        <v/>
      </c>
      <c r="K3061" s="24" t="str">
        <f t="shared" si="245"/>
        <v/>
      </c>
      <c r="L3061" s="25" t="str">
        <f t="shared" si="241"/>
        <v/>
      </c>
      <c r="O3061" s="33" t="str">
        <f t="shared" si="242"/>
        <v/>
      </c>
      <c r="P3061" s="33" t="str">
        <f t="shared" si="243"/>
        <v/>
      </c>
    </row>
    <row r="3062" spans="9:16">
      <c r="I3062" s="23" t="str">
        <f>_xlfn.IFNA(VLOOKUP(A3062,A3063:$H$3524,8,0),"")</f>
        <v/>
      </c>
      <c r="J3062" s="40" t="str">
        <f t="shared" si="244"/>
        <v/>
      </c>
      <c r="K3062" s="24" t="str">
        <f t="shared" si="245"/>
        <v/>
      </c>
      <c r="L3062" s="25" t="str">
        <f t="shared" si="241"/>
        <v/>
      </c>
      <c r="O3062" s="33" t="str">
        <f t="shared" si="242"/>
        <v/>
      </c>
      <c r="P3062" s="33" t="str">
        <f t="shared" si="243"/>
        <v/>
      </c>
    </row>
    <row r="3063" spans="9:16">
      <c r="I3063" s="23" t="str">
        <f>_xlfn.IFNA(VLOOKUP(A3063,A3064:$H$3524,8,0),"")</f>
        <v/>
      </c>
      <c r="J3063" s="40" t="str">
        <f t="shared" si="244"/>
        <v/>
      </c>
      <c r="K3063" s="24" t="str">
        <f t="shared" si="245"/>
        <v/>
      </c>
      <c r="L3063" s="25" t="str">
        <f t="shared" ref="L3063:L3126" si="246">IF(K3063="","",IF(B3063="Break","Break",IF(K3063&lt;&gt;0,"Work Finished",IF(B3063="OFF","Work Finished",IF(I3063="","Working","Work Finished")))))</f>
        <v/>
      </c>
      <c r="O3063" s="33" t="str">
        <f t="shared" ref="O3063:O3126" si="247">IF(AND(J3063="",M3063="",N3063=""),"",J3063-M3063-N3063)</f>
        <v/>
      </c>
      <c r="P3063" s="33" t="str">
        <f t="shared" ref="P3063:P3126" si="248">IF(HOUR(H3063)=0,"",HOUR(H3063))</f>
        <v/>
      </c>
    </row>
    <row r="3064" spans="9:16">
      <c r="I3064" s="23" t="str">
        <f>_xlfn.IFNA(VLOOKUP(A3064,A3065:$H$3524,8,0),"")</f>
        <v/>
      </c>
      <c r="J3064" s="40" t="str">
        <f t="shared" si="244"/>
        <v/>
      </c>
      <c r="K3064" s="24" t="str">
        <f t="shared" si="245"/>
        <v/>
      </c>
      <c r="L3064" s="25" t="str">
        <f t="shared" si="246"/>
        <v/>
      </c>
      <c r="O3064" s="33" t="str">
        <f t="shared" si="247"/>
        <v/>
      </c>
      <c r="P3064" s="33" t="str">
        <f t="shared" si="248"/>
        <v/>
      </c>
    </row>
    <row r="3065" spans="9:16">
      <c r="I3065" s="23" t="str">
        <f>_xlfn.IFNA(VLOOKUP(A3065,A3066:$H$3524,8,0),"")</f>
        <v/>
      </c>
      <c r="J3065" s="40" t="str">
        <f t="shared" si="244"/>
        <v/>
      </c>
      <c r="K3065" s="24" t="str">
        <f t="shared" si="245"/>
        <v/>
      </c>
      <c r="L3065" s="25" t="str">
        <f t="shared" si="246"/>
        <v/>
      </c>
      <c r="O3065" s="33" t="str">
        <f t="shared" si="247"/>
        <v/>
      </c>
      <c r="P3065" s="33" t="str">
        <f t="shared" si="248"/>
        <v/>
      </c>
    </row>
    <row r="3066" spans="9:16">
      <c r="I3066" s="23" t="str">
        <f>_xlfn.IFNA(VLOOKUP(A3066,A3067:$H$3524,8,0),"")</f>
        <v/>
      </c>
      <c r="J3066" s="40" t="str">
        <f t="shared" si="244"/>
        <v/>
      </c>
      <c r="K3066" s="24" t="str">
        <f t="shared" si="245"/>
        <v/>
      </c>
      <c r="L3066" s="25" t="str">
        <f t="shared" si="246"/>
        <v/>
      </c>
      <c r="O3066" s="33" t="str">
        <f t="shared" si="247"/>
        <v/>
      </c>
      <c r="P3066" s="33" t="str">
        <f t="shared" si="248"/>
        <v/>
      </c>
    </row>
    <row r="3067" spans="9:16">
      <c r="I3067" s="23" t="str">
        <f>_xlfn.IFNA(VLOOKUP(A3067,A3068:$H$3524,8,0),"")</f>
        <v/>
      </c>
      <c r="J3067" s="40" t="str">
        <f t="shared" si="244"/>
        <v/>
      </c>
      <c r="K3067" s="24" t="str">
        <f t="shared" si="245"/>
        <v/>
      </c>
      <c r="L3067" s="25" t="str">
        <f t="shared" si="246"/>
        <v/>
      </c>
      <c r="O3067" s="33" t="str">
        <f t="shared" si="247"/>
        <v/>
      </c>
      <c r="P3067" s="33" t="str">
        <f t="shared" si="248"/>
        <v/>
      </c>
    </row>
    <row r="3068" spans="9:16">
      <c r="I3068" s="23" t="str">
        <f>_xlfn.IFNA(VLOOKUP(A3068,A3069:$H$3524,8,0),"")</f>
        <v/>
      </c>
      <c r="J3068" s="40" t="str">
        <f t="shared" si="244"/>
        <v/>
      </c>
      <c r="K3068" s="24" t="str">
        <f t="shared" si="245"/>
        <v/>
      </c>
      <c r="L3068" s="25" t="str">
        <f t="shared" si="246"/>
        <v/>
      </c>
      <c r="O3068" s="33" t="str">
        <f t="shared" si="247"/>
        <v/>
      </c>
      <c r="P3068" s="33" t="str">
        <f t="shared" si="248"/>
        <v/>
      </c>
    </row>
    <row r="3069" spans="9:16">
      <c r="I3069" s="23" t="str">
        <f>_xlfn.IFNA(VLOOKUP(A3069,A3070:$H$3524,8,0),"")</f>
        <v/>
      </c>
      <c r="J3069" s="40" t="str">
        <f t="shared" si="244"/>
        <v/>
      </c>
      <c r="K3069" s="24" t="str">
        <f t="shared" si="245"/>
        <v/>
      </c>
      <c r="L3069" s="25" t="str">
        <f t="shared" si="246"/>
        <v/>
      </c>
      <c r="O3069" s="33" t="str">
        <f t="shared" si="247"/>
        <v/>
      </c>
      <c r="P3069" s="33" t="str">
        <f t="shared" si="248"/>
        <v/>
      </c>
    </row>
    <row r="3070" spans="9:16">
      <c r="I3070" s="23" t="str">
        <f>_xlfn.IFNA(VLOOKUP(A3070,A3071:$H$3524,8,0),"")</f>
        <v/>
      </c>
      <c r="J3070" s="40" t="str">
        <f t="shared" si="244"/>
        <v/>
      </c>
      <c r="K3070" s="24" t="str">
        <f t="shared" si="245"/>
        <v/>
      </c>
      <c r="L3070" s="25" t="str">
        <f t="shared" si="246"/>
        <v/>
      </c>
      <c r="O3070" s="33" t="str">
        <f t="shared" si="247"/>
        <v/>
      </c>
      <c r="P3070" s="33" t="str">
        <f t="shared" si="248"/>
        <v/>
      </c>
    </row>
    <row r="3071" spans="9:16">
      <c r="I3071" s="23" t="str">
        <f>_xlfn.IFNA(VLOOKUP(A3071,A3072:$H$3524,8,0),"")</f>
        <v/>
      </c>
      <c r="J3071" s="40" t="str">
        <f t="shared" si="244"/>
        <v/>
      </c>
      <c r="K3071" s="24" t="str">
        <f t="shared" si="245"/>
        <v/>
      </c>
      <c r="L3071" s="25" t="str">
        <f t="shared" si="246"/>
        <v/>
      </c>
      <c r="O3071" s="33" t="str">
        <f t="shared" si="247"/>
        <v/>
      </c>
      <c r="P3071" s="33" t="str">
        <f t="shared" si="248"/>
        <v/>
      </c>
    </row>
    <row r="3072" spans="9:16">
      <c r="I3072" s="23" t="str">
        <f>_xlfn.IFNA(VLOOKUP(A3072,A3073:$H$3524,8,0),"")</f>
        <v/>
      </c>
      <c r="J3072" s="40" t="str">
        <f t="shared" si="244"/>
        <v/>
      </c>
      <c r="K3072" s="24" t="str">
        <f t="shared" si="245"/>
        <v/>
      </c>
      <c r="L3072" s="25" t="str">
        <f t="shared" si="246"/>
        <v/>
      </c>
      <c r="O3072" s="33" t="str">
        <f t="shared" si="247"/>
        <v/>
      </c>
      <c r="P3072" s="33" t="str">
        <f t="shared" si="248"/>
        <v/>
      </c>
    </row>
    <row r="3073" spans="9:16">
      <c r="I3073" s="23" t="str">
        <f>_xlfn.IFNA(VLOOKUP(A3073,A3074:$H$3524,8,0),"")</f>
        <v/>
      </c>
      <c r="J3073" s="40" t="str">
        <f t="shared" si="244"/>
        <v/>
      </c>
      <c r="K3073" s="24" t="str">
        <f t="shared" si="245"/>
        <v/>
      </c>
      <c r="L3073" s="25" t="str">
        <f t="shared" si="246"/>
        <v/>
      </c>
      <c r="O3073" s="33" t="str">
        <f t="shared" si="247"/>
        <v/>
      </c>
      <c r="P3073" s="33" t="str">
        <f t="shared" si="248"/>
        <v/>
      </c>
    </row>
    <row r="3074" spans="9:16">
      <c r="I3074" s="23" t="str">
        <f>_xlfn.IFNA(VLOOKUP(A3074,A3075:$H$3524,8,0),"")</f>
        <v/>
      </c>
      <c r="J3074" s="40" t="str">
        <f t="shared" si="244"/>
        <v/>
      </c>
      <c r="K3074" s="24" t="str">
        <f t="shared" si="245"/>
        <v/>
      </c>
      <c r="L3074" s="25" t="str">
        <f t="shared" si="246"/>
        <v/>
      </c>
      <c r="O3074" s="33" t="str">
        <f t="shared" si="247"/>
        <v/>
      </c>
      <c r="P3074" s="33" t="str">
        <f t="shared" si="248"/>
        <v/>
      </c>
    </row>
    <row r="3075" spans="9:16">
      <c r="I3075" s="23" t="str">
        <f>_xlfn.IFNA(VLOOKUP(A3075,A3076:$H$3524,8,0),"")</f>
        <v/>
      </c>
      <c r="J3075" s="40" t="str">
        <f t="shared" si="244"/>
        <v/>
      </c>
      <c r="K3075" s="24" t="str">
        <f t="shared" si="245"/>
        <v/>
      </c>
      <c r="L3075" s="25" t="str">
        <f t="shared" si="246"/>
        <v/>
      </c>
      <c r="O3075" s="33" t="str">
        <f t="shared" si="247"/>
        <v/>
      </c>
      <c r="P3075" s="33" t="str">
        <f t="shared" si="248"/>
        <v/>
      </c>
    </row>
    <row r="3076" spans="9:16">
      <c r="I3076" s="23" t="str">
        <f>_xlfn.IFNA(VLOOKUP(A3076,A3077:$H$3524,8,0),"")</f>
        <v/>
      </c>
      <c r="J3076" s="40" t="str">
        <f t="shared" si="244"/>
        <v/>
      </c>
      <c r="K3076" s="24" t="str">
        <f t="shared" si="245"/>
        <v/>
      </c>
      <c r="L3076" s="25" t="str">
        <f t="shared" si="246"/>
        <v/>
      </c>
      <c r="O3076" s="33" t="str">
        <f t="shared" si="247"/>
        <v/>
      </c>
      <c r="P3076" s="33" t="str">
        <f t="shared" si="248"/>
        <v/>
      </c>
    </row>
    <row r="3077" spans="9:16">
      <c r="I3077" s="23" t="str">
        <f>_xlfn.IFNA(VLOOKUP(A3077,A3078:$H$3524,8,0),"")</f>
        <v/>
      </c>
      <c r="J3077" s="40" t="str">
        <f t="shared" si="244"/>
        <v/>
      </c>
      <c r="K3077" s="24" t="str">
        <f t="shared" si="245"/>
        <v/>
      </c>
      <c r="L3077" s="25" t="str">
        <f t="shared" si="246"/>
        <v/>
      </c>
      <c r="O3077" s="33" t="str">
        <f t="shared" si="247"/>
        <v/>
      </c>
      <c r="P3077" s="33" t="str">
        <f t="shared" si="248"/>
        <v/>
      </c>
    </row>
    <row r="3078" spans="9:16">
      <c r="I3078" s="23" t="str">
        <f>_xlfn.IFNA(VLOOKUP(A3078,A3079:$H$3524,8,0),"")</f>
        <v/>
      </c>
      <c r="J3078" s="40" t="str">
        <f t="shared" ref="J3078:J3141" si="249">IF(B3078="OFF",0,IF(AND(D3078&lt;&gt;"",E3078&lt;&gt;""),E3078-D3078+1,""))</f>
        <v/>
      </c>
      <c r="K3078" s="24" t="str">
        <f t="shared" si="245"/>
        <v/>
      </c>
      <c r="L3078" s="25" t="str">
        <f t="shared" si="246"/>
        <v/>
      </c>
      <c r="O3078" s="33" t="str">
        <f t="shared" si="247"/>
        <v/>
      </c>
      <c r="P3078" s="33" t="str">
        <f t="shared" si="248"/>
        <v/>
      </c>
    </row>
    <row r="3079" spans="9:16">
      <c r="I3079" s="23" t="str">
        <f>_xlfn.IFNA(VLOOKUP(A3079,A3080:$H$3524,8,0),"")</f>
        <v/>
      </c>
      <c r="J3079" s="40" t="str">
        <f t="shared" si="249"/>
        <v/>
      </c>
      <c r="K3079" s="24" t="str">
        <f t="shared" si="245"/>
        <v/>
      </c>
      <c r="L3079" s="25" t="str">
        <f t="shared" si="246"/>
        <v/>
      </c>
      <c r="O3079" s="33" t="str">
        <f t="shared" si="247"/>
        <v/>
      </c>
      <c r="P3079" s="33" t="str">
        <f t="shared" si="248"/>
        <v/>
      </c>
    </row>
    <row r="3080" spans="9:16">
      <c r="I3080" s="23" t="str">
        <f>_xlfn.IFNA(VLOOKUP(A3080,A3081:$H$3524,8,0),"")</f>
        <v/>
      </c>
      <c r="J3080" s="40" t="str">
        <f t="shared" si="249"/>
        <v/>
      </c>
      <c r="K3080" s="24" t="str">
        <f t="shared" si="245"/>
        <v/>
      </c>
      <c r="L3080" s="25" t="str">
        <f t="shared" si="246"/>
        <v/>
      </c>
      <c r="O3080" s="33" t="str">
        <f t="shared" si="247"/>
        <v/>
      </c>
      <c r="P3080" s="33" t="str">
        <f t="shared" si="248"/>
        <v/>
      </c>
    </row>
    <row r="3081" spans="9:16">
      <c r="I3081" s="23" t="str">
        <f>_xlfn.IFNA(VLOOKUP(A3081,A3082:$H$3524,8,0),"")</f>
        <v/>
      </c>
      <c r="J3081" s="40" t="str">
        <f t="shared" si="249"/>
        <v/>
      </c>
      <c r="K3081" s="24" t="str">
        <f t="shared" si="245"/>
        <v/>
      </c>
      <c r="L3081" s="25" t="str">
        <f t="shared" si="246"/>
        <v/>
      </c>
      <c r="O3081" s="33" t="str">
        <f t="shared" si="247"/>
        <v/>
      </c>
      <c r="P3081" s="33" t="str">
        <f t="shared" si="248"/>
        <v/>
      </c>
    </row>
    <row r="3082" spans="9:16">
      <c r="I3082" s="23" t="str">
        <f>_xlfn.IFNA(VLOOKUP(A3082,A3083:$H$3524,8,0),"")</f>
        <v/>
      </c>
      <c r="J3082" s="40" t="str">
        <f t="shared" si="249"/>
        <v/>
      </c>
      <c r="K3082" s="24" t="str">
        <f t="shared" si="245"/>
        <v/>
      </c>
      <c r="L3082" s="25" t="str">
        <f t="shared" si="246"/>
        <v/>
      </c>
      <c r="O3082" s="33" t="str">
        <f t="shared" si="247"/>
        <v/>
      </c>
      <c r="P3082" s="33" t="str">
        <f t="shared" si="248"/>
        <v/>
      </c>
    </row>
    <row r="3083" spans="9:16">
      <c r="I3083" s="23" t="str">
        <f>_xlfn.IFNA(VLOOKUP(A3083,A3084:$H$3524,8,0),"")</f>
        <v/>
      </c>
      <c r="J3083" s="40" t="str">
        <f t="shared" si="249"/>
        <v/>
      </c>
      <c r="K3083" s="24" t="str">
        <f t="shared" si="245"/>
        <v/>
      </c>
      <c r="L3083" s="25" t="str">
        <f t="shared" si="246"/>
        <v/>
      </c>
      <c r="O3083" s="33" t="str">
        <f t="shared" si="247"/>
        <v/>
      </c>
      <c r="P3083" s="33" t="str">
        <f t="shared" si="248"/>
        <v/>
      </c>
    </row>
    <row r="3084" spans="9:16">
      <c r="I3084" s="23" t="str">
        <f>_xlfn.IFNA(VLOOKUP(A3084,A3085:$H$3524,8,0),"")</f>
        <v/>
      </c>
      <c r="J3084" s="40" t="str">
        <f t="shared" si="249"/>
        <v/>
      </c>
      <c r="K3084" s="24" t="str">
        <f t="shared" si="245"/>
        <v/>
      </c>
      <c r="L3084" s="25" t="str">
        <f t="shared" si="246"/>
        <v/>
      </c>
      <c r="O3084" s="33" t="str">
        <f t="shared" si="247"/>
        <v/>
      </c>
      <c r="P3084" s="33" t="str">
        <f t="shared" si="248"/>
        <v/>
      </c>
    </row>
    <row r="3085" spans="9:16">
      <c r="I3085" s="23" t="str">
        <f>_xlfn.IFNA(VLOOKUP(A3085,A3086:$H$3524,8,0),"")</f>
        <v/>
      </c>
      <c r="J3085" s="40" t="str">
        <f t="shared" si="249"/>
        <v/>
      </c>
      <c r="K3085" s="24" t="str">
        <f t="shared" si="245"/>
        <v/>
      </c>
      <c r="L3085" s="25" t="str">
        <f t="shared" si="246"/>
        <v/>
      </c>
      <c r="O3085" s="33" t="str">
        <f t="shared" si="247"/>
        <v/>
      </c>
      <c r="P3085" s="33" t="str">
        <f t="shared" si="248"/>
        <v/>
      </c>
    </row>
    <row r="3086" spans="9:16">
      <c r="I3086" s="23" t="str">
        <f>_xlfn.IFNA(VLOOKUP(A3086,A3087:$H$3524,8,0),"")</f>
        <v/>
      </c>
      <c r="J3086" s="40" t="str">
        <f t="shared" si="249"/>
        <v/>
      </c>
      <c r="K3086" s="24" t="str">
        <f t="shared" si="245"/>
        <v/>
      </c>
      <c r="L3086" s="25" t="str">
        <f t="shared" si="246"/>
        <v/>
      </c>
      <c r="O3086" s="33" t="str">
        <f t="shared" si="247"/>
        <v/>
      </c>
      <c r="P3086" s="33" t="str">
        <f t="shared" si="248"/>
        <v/>
      </c>
    </row>
    <row r="3087" spans="9:16">
      <c r="I3087" s="23" t="str">
        <f>_xlfn.IFNA(VLOOKUP(A3087,A3088:$H$3524,8,0),"")</f>
        <v/>
      </c>
      <c r="J3087" s="40" t="str">
        <f t="shared" si="249"/>
        <v/>
      </c>
      <c r="K3087" s="24" t="str">
        <f t="shared" si="245"/>
        <v/>
      </c>
      <c r="L3087" s="25" t="str">
        <f t="shared" si="246"/>
        <v/>
      </c>
      <c r="O3087" s="33" t="str">
        <f t="shared" si="247"/>
        <v/>
      </c>
      <c r="P3087" s="33" t="str">
        <f t="shared" si="248"/>
        <v/>
      </c>
    </row>
    <row r="3088" spans="9:16">
      <c r="I3088" s="23" t="str">
        <f>_xlfn.IFNA(VLOOKUP(A3088,A3089:$H$3524,8,0),"")</f>
        <v/>
      </c>
      <c r="J3088" s="40" t="str">
        <f t="shared" si="249"/>
        <v/>
      </c>
      <c r="K3088" s="24" t="str">
        <f t="shared" si="245"/>
        <v/>
      </c>
      <c r="L3088" s="25" t="str">
        <f t="shared" si="246"/>
        <v/>
      </c>
      <c r="O3088" s="33" t="str">
        <f t="shared" si="247"/>
        <v/>
      </c>
      <c r="P3088" s="33" t="str">
        <f t="shared" si="248"/>
        <v/>
      </c>
    </row>
    <row r="3089" spans="9:16">
      <c r="I3089" s="23" t="str">
        <f>_xlfn.IFNA(VLOOKUP(A3089,A3090:$H$3524,8,0),"")</f>
        <v/>
      </c>
      <c r="J3089" s="40" t="str">
        <f t="shared" si="249"/>
        <v/>
      </c>
      <c r="K3089" s="24" t="str">
        <f t="shared" si="245"/>
        <v/>
      </c>
      <c r="L3089" s="25" t="str">
        <f t="shared" si="246"/>
        <v/>
      </c>
      <c r="O3089" s="33" t="str">
        <f t="shared" si="247"/>
        <v/>
      </c>
      <c r="P3089" s="33" t="str">
        <f t="shared" si="248"/>
        <v/>
      </c>
    </row>
    <row r="3090" spans="9:16">
      <c r="I3090" s="23" t="str">
        <f>_xlfn.IFNA(VLOOKUP(A3090,A3091:$H$3524,8,0),"")</f>
        <v/>
      </c>
      <c r="J3090" s="40" t="str">
        <f t="shared" si="249"/>
        <v/>
      </c>
      <c r="K3090" s="24" t="str">
        <f t="shared" si="245"/>
        <v/>
      </c>
      <c r="L3090" s="25" t="str">
        <f t="shared" si="246"/>
        <v/>
      </c>
      <c r="O3090" s="33" t="str">
        <f t="shared" si="247"/>
        <v/>
      </c>
      <c r="P3090" s="33" t="str">
        <f t="shared" si="248"/>
        <v/>
      </c>
    </row>
    <row r="3091" spans="9:16">
      <c r="I3091" s="23" t="str">
        <f>_xlfn.IFNA(VLOOKUP(A3091,A3092:$H$3524,8,0),"")</f>
        <v/>
      </c>
      <c r="J3091" s="40" t="str">
        <f t="shared" si="249"/>
        <v/>
      </c>
      <c r="K3091" s="24" t="str">
        <f t="shared" si="245"/>
        <v/>
      </c>
      <c r="L3091" s="25" t="str">
        <f t="shared" si="246"/>
        <v/>
      </c>
      <c r="O3091" s="33" t="str">
        <f t="shared" si="247"/>
        <v/>
      </c>
      <c r="P3091" s="33" t="str">
        <f t="shared" si="248"/>
        <v/>
      </c>
    </row>
    <row r="3092" spans="9:16">
      <c r="I3092" s="23" t="str">
        <f>_xlfn.IFNA(VLOOKUP(A3092,A3093:$H$3524,8,0),"")</f>
        <v/>
      </c>
      <c r="J3092" s="40" t="str">
        <f t="shared" si="249"/>
        <v/>
      </c>
      <c r="K3092" s="24" t="str">
        <f t="shared" si="245"/>
        <v/>
      </c>
      <c r="L3092" s="25" t="str">
        <f t="shared" si="246"/>
        <v/>
      </c>
      <c r="O3092" s="33" t="str">
        <f t="shared" si="247"/>
        <v/>
      </c>
      <c r="P3092" s="33" t="str">
        <f t="shared" si="248"/>
        <v/>
      </c>
    </row>
    <row r="3093" spans="9:16">
      <c r="I3093" s="23" t="str">
        <f>_xlfn.IFNA(VLOOKUP(A3093,A3094:$H$3524,8,0),"")</f>
        <v/>
      </c>
      <c r="J3093" s="40" t="str">
        <f t="shared" si="249"/>
        <v/>
      </c>
      <c r="K3093" s="24" t="str">
        <f t="shared" si="245"/>
        <v/>
      </c>
      <c r="L3093" s="25" t="str">
        <f t="shared" si="246"/>
        <v/>
      </c>
      <c r="O3093" s="33" t="str">
        <f t="shared" si="247"/>
        <v/>
      </c>
      <c r="P3093" s="33" t="str">
        <f t="shared" si="248"/>
        <v/>
      </c>
    </row>
    <row r="3094" spans="9:16">
      <c r="I3094" s="23" t="str">
        <f>_xlfn.IFNA(VLOOKUP(A3094,A3095:$H$3524,8,0),"")</f>
        <v/>
      </c>
      <c r="J3094" s="40" t="str">
        <f t="shared" si="249"/>
        <v/>
      </c>
      <c r="K3094" s="24" t="str">
        <f t="shared" ref="K3094:K3157" si="250">IF(H3094="","",IFERROR((I3094-H3094)*24,0))</f>
        <v/>
      </c>
      <c r="L3094" s="25" t="str">
        <f t="shared" si="246"/>
        <v/>
      </c>
      <c r="O3094" s="33" t="str">
        <f t="shared" si="247"/>
        <v/>
      </c>
      <c r="P3094" s="33" t="str">
        <f t="shared" si="248"/>
        <v/>
      </c>
    </row>
    <row r="3095" spans="9:16">
      <c r="I3095" s="23" t="str">
        <f>_xlfn.IFNA(VLOOKUP(A3095,A3096:$H$3524,8,0),"")</f>
        <v/>
      </c>
      <c r="J3095" s="40" t="str">
        <f t="shared" si="249"/>
        <v/>
      </c>
      <c r="K3095" s="24" t="str">
        <f t="shared" si="250"/>
        <v/>
      </c>
      <c r="L3095" s="25" t="str">
        <f t="shared" si="246"/>
        <v/>
      </c>
      <c r="O3095" s="33" t="str">
        <f t="shared" si="247"/>
        <v/>
      </c>
      <c r="P3095" s="33" t="str">
        <f t="shared" si="248"/>
        <v/>
      </c>
    </row>
    <row r="3096" spans="9:16">
      <c r="I3096" s="23" t="str">
        <f>_xlfn.IFNA(VLOOKUP(A3096,A3097:$H$3524,8,0),"")</f>
        <v/>
      </c>
      <c r="J3096" s="40" t="str">
        <f t="shared" si="249"/>
        <v/>
      </c>
      <c r="K3096" s="24" t="str">
        <f t="shared" si="250"/>
        <v/>
      </c>
      <c r="L3096" s="25" t="str">
        <f t="shared" si="246"/>
        <v/>
      </c>
      <c r="O3096" s="33" t="str">
        <f t="shared" si="247"/>
        <v/>
      </c>
      <c r="P3096" s="33" t="str">
        <f t="shared" si="248"/>
        <v/>
      </c>
    </row>
    <row r="3097" spans="9:16">
      <c r="I3097" s="23" t="str">
        <f>_xlfn.IFNA(VLOOKUP(A3097,A3098:$H$3524,8,0),"")</f>
        <v/>
      </c>
      <c r="J3097" s="40" t="str">
        <f t="shared" si="249"/>
        <v/>
      </c>
      <c r="K3097" s="24" t="str">
        <f t="shared" si="250"/>
        <v/>
      </c>
      <c r="L3097" s="25" t="str">
        <f t="shared" si="246"/>
        <v/>
      </c>
      <c r="O3097" s="33" t="str">
        <f t="shared" si="247"/>
        <v/>
      </c>
      <c r="P3097" s="33" t="str">
        <f t="shared" si="248"/>
        <v/>
      </c>
    </row>
    <row r="3098" spans="9:16">
      <c r="I3098" s="23" t="str">
        <f>_xlfn.IFNA(VLOOKUP(A3098,A3099:$H$3524,8,0),"")</f>
        <v/>
      </c>
      <c r="J3098" s="40" t="str">
        <f t="shared" si="249"/>
        <v/>
      </c>
      <c r="K3098" s="24" t="str">
        <f t="shared" si="250"/>
        <v/>
      </c>
      <c r="L3098" s="25" t="str">
        <f t="shared" si="246"/>
        <v/>
      </c>
      <c r="O3098" s="33" t="str">
        <f t="shared" si="247"/>
        <v/>
      </c>
      <c r="P3098" s="33" t="str">
        <f t="shared" si="248"/>
        <v/>
      </c>
    </row>
    <row r="3099" spans="9:16">
      <c r="I3099" s="23" t="str">
        <f>_xlfn.IFNA(VLOOKUP(A3099,A3100:$H$3524,8,0),"")</f>
        <v/>
      </c>
      <c r="J3099" s="40" t="str">
        <f t="shared" si="249"/>
        <v/>
      </c>
      <c r="K3099" s="24" t="str">
        <f t="shared" si="250"/>
        <v/>
      </c>
      <c r="L3099" s="25" t="str">
        <f t="shared" si="246"/>
        <v/>
      </c>
      <c r="O3099" s="33" t="str">
        <f t="shared" si="247"/>
        <v/>
      </c>
      <c r="P3099" s="33" t="str">
        <f t="shared" si="248"/>
        <v/>
      </c>
    </row>
    <row r="3100" spans="9:16">
      <c r="I3100" s="23" t="str">
        <f>_xlfn.IFNA(VLOOKUP(A3100,A3101:$H$3524,8,0),"")</f>
        <v/>
      </c>
      <c r="J3100" s="40" t="str">
        <f t="shared" si="249"/>
        <v/>
      </c>
      <c r="K3100" s="24" t="str">
        <f t="shared" si="250"/>
        <v/>
      </c>
      <c r="L3100" s="25" t="str">
        <f t="shared" si="246"/>
        <v/>
      </c>
      <c r="O3100" s="33" t="str">
        <f t="shared" si="247"/>
        <v/>
      </c>
      <c r="P3100" s="33" t="str">
        <f t="shared" si="248"/>
        <v/>
      </c>
    </row>
    <row r="3101" spans="9:16">
      <c r="I3101" s="23" t="str">
        <f>_xlfn.IFNA(VLOOKUP(A3101,A3102:$H$3524,8,0),"")</f>
        <v/>
      </c>
      <c r="J3101" s="40" t="str">
        <f t="shared" si="249"/>
        <v/>
      </c>
      <c r="K3101" s="24" t="str">
        <f t="shared" si="250"/>
        <v/>
      </c>
      <c r="L3101" s="25" t="str">
        <f t="shared" si="246"/>
        <v/>
      </c>
      <c r="O3101" s="33" t="str">
        <f t="shared" si="247"/>
        <v/>
      </c>
      <c r="P3101" s="33" t="str">
        <f t="shared" si="248"/>
        <v/>
      </c>
    </row>
    <row r="3102" spans="9:16">
      <c r="I3102" s="23" t="str">
        <f>_xlfn.IFNA(VLOOKUP(A3102,A3103:$H$3524,8,0),"")</f>
        <v/>
      </c>
      <c r="J3102" s="40" t="str">
        <f t="shared" si="249"/>
        <v/>
      </c>
      <c r="K3102" s="24" t="str">
        <f t="shared" si="250"/>
        <v/>
      </c>
      <c r="L3102" s="25" t="str">
        <f t="shared" si="246"/>
        <v/>
      </c>
      <c r="O3102" s="33" t="str">
        <f t="shared" si="247"/>
        <v/>
      </c>
      <c r="P3102" s="33" t="str">
        <f t="shared" si="248"/>
        <v/>
      </c>
    </row>
    <row r="3103" spans="9:16">
      <c r="I3103" s="23" t="str">
        <f>_xlfn.IFNA(VLOOKUP(A3103,A3104:$H$3524,8,0),"")</f>
        <v/>
      </c>
      <c r="J3103" s="40" t="str">
        <f t="shared" si="249"/>
        <v/>
      </c>
      <c r="K3103" s="24" t="str">
        <f t="shared" si="250"/>
        <v/>
      </c>
      <c r="L3103" s="25" t="str">
        <f t="shared" si="246"/>
        <v/>
      </c>
      <c r="O3103" s="33" t="str">
        <f t="shared" si="247"/>
        <v/>
      </c>
      <c r="P3103" s="33" t="str">
        <f t="shared" si="248"/>
        <v/>
      </c>
    </row>
    <row r="3104" spans="9:16">
      <c r="I3104" s="23" t="str">
        <f>_xlfn.IFNA(VLOOKUP(A3104,A3105:$H$3524,8,0),"")</f>
        <v/>
      </c>
      <c r="J3104" s="40" t="str">
        <f t="shared" si="249"/>
        <v/>
      </c>
      <c r="K3104" s="24" t="str">
        <f t="shared" si="250"/>
        <v/>
      </c>
      <c r="L3104" s="25" t="str">
        <f t="shared" si="246"/>
        <v/>
      </c>
      <c r="O3104" s="33" t="str">
        <f t="shared" si="247"/>
        <v/>
      </c>
      <c r="P3104" s="33" t="str">
        <f t="shared" si="248"/>
        <v/>
      </c>
    </row>
    <row r="3105" spans="9:16">
      <c r="I3105" s="23" t="str">
        <f>_xlfn.IFNA(VLOOKUP(A3105,A3106:$H$3524,8,0),"")</f>
        <v/>
      </c>
      <c r="J3105" s="40" t="str">
        <f t="shared" si="249"/>
        <v/>
      </c>
      <c r="K3105" s="24" t="str">
        <f t="shared" si="250"/>
        <v/>
      </c>
      <c r="L3105" s="25" t="str">
        <f t="shared" si="246"/>
        <v/>
      </c>
      <c r="O3105" s="33" t="str">
        <f t="shared" si="247"/>
        <v/>
      </c>
      <c r="P3105" s="33" t="str">
        <f t="shared" si="248"/>
        <v/>
      </c>
    </row>
    <row r="3106" spans="9:16">
      <c r="I3106" s="23" t="str">
        <f>_xlfn.IFNA(VLOOKUP(A3106,A3107:$H$3524,8,0),"")</f>
        <v/>
      </c>
      <c r="J3106" s="40" t="str">
        <f t="shared" si="249"/>
        <v/>
      </c>
      <c r="K3106" s="24" t="str">
        <f t="shared" si="250"/>
        <v/>
      </c>
      <c r="L3106" s="25" t="str">
        <f t="shared" si="246"/>
        <v/>
      </c>
      <c r="O3106" s="33" t="str">
        <f t="shared" si="247"/>
        <v/>
      </c>
      <c r="P3106" s="33" t="str">
        <f t="shared" si="248"/>
        <v/>
      </c>
    </row>
    <row r="3107" spans="9:16">
      <c r="I3107" s="23" t="str">
        <f>_xlfn.IFNA(VLOOKUP(A3107,A3108:$H$3524,8,0),"")</f>
        <v/>
      </c>
      <c r="J3107" s="40" t="str">
        <f t="shared" si="249"/>
        <v/>
      </c>
      <c r="K3107" s="24" t="str">
        <f t="shared" si="250"/>
        <v/>
      </c>
      <c r="L3107" s="25" t="str">
        <f t="shared" si="246"/>
        <v/>
      </c>
      <c r="O3107" s="33" t="str">
        <f t="shared" si="247"/>
        <v/>
      </c>
      <c r="P3107" s="33" t="str">
        <f t="shared" si="248"/>
        <v/>
      </c>
    </row>
    <row r="3108" spans="9:16">
      <c r="I3108" s="23" t="str">
        <f>_xlfn.IFNA(VLOOKUP(A3108,A3109:$H$3524,8,0),"")</f>
        <v/>
      </c>
      <c r="J3108" s="40" t="str">
        <f t="shared" si="249"/>
        <v/>
      </c>
      <c r="K3108" s="24" t="str">
        <f t="shared" si="250"/>
        <v/>
      </c>
      <c r="L3108" s="25" t="str">
        <f t="shared" si="246"/>
        <v/>
      </c>
      <c r="O3108" s="33" t="str">
        <f t="shared" si="247"/>
        <v/>
      </c>
      <c r="P3108" s="33" t="str">
        <f t="shared" si="248"/>
        <v/>
      </c>
    </row>
    <row r="3109" spans="9:16">
      <c r="I3109" s="23" t="str">
        <f>_xlfn.IFNA(VLOOKUP(A3109,A3110:$H$3524,8,0),"")</f>
        <v/>
      </c>
      <c r="J3109" s="40" t="str">
        <f t="shared" si="249"/>
        <v/>
      </c>
      <c r="K3109" s="24" t="str">
        <f t="shared" si="250"/>
        <v/>
      </c>
      <c r="L3109" s="25" t="str">
        <f t="shared" si="246"/>
        <v/>
      </c>
      <c r="O3109" s="33" t="str">
        <f t="shared" si="247"/>
        <v/>
      </c>
      <c r="P3109" s="33" t="str">
        <f t="shared" si="248"/>
        <v/>
      </c>
    </row>
    <row r="3110" spans="9:16">
      <c r="I3110" s="23" t="str">
        <f>_xlfn.IFNA(VLOOKUP(A3110,A3111:$H$3524,8,0),"")</f>
        <v/>
      </c>
      <c r="J3110" s="40" t="str">
        <f t="shared" si="249"/>
        <v/>
      </c>
      <c r="K3110" s="24" t="str">
        <f t="shared" si="250"/>
        <v/>
      </c>
      <c r="L3110" s="25" t="str">
        <f t="shared" si="246"/>
        <v/>
      </c>
      <c r="O3110" s="33" t="str">
        <f t="shared" si="247"/>
        <v/>
      </c>
      <c r="P3110" s="33" t="str">
        <f t="shared" si="248"/>
        <v/>
      </c>
    </row>
    <row r="3111" spans="9:16">
      <c r="I3111" s="23" t="str">
        <f>_xlfn.IFNA(VLOOKUP(A3111,A3112:$H$3524,8,0),"")</f>
        <v/>
      </c>
      <c r="J3111" s="40" t="str">
        <f t="shared" si="249"/>
        <v/>
      </c>
      <c r="K3111" s="24" t="str">
        <f t="shared" si="250"/>
        <v/>
      </c>
      <c r="L3111" s="25" t="str">
        <f t="shared" si="246"/>
        <v/>
      </c>
      <c r="O3111" s="33" t="str">
        <f t="shared" si="247"/>
        <v/>
      </c>
      <c r="P3111" s="33" t="str">
        <f t="shared" si="248"/>
        <v/>
      </c>
    </row>
    <row r="3112" spans="9:16">
      <c r="I3112" s="23" t="str">
        <f>_xlfn.IFNA(VLOOKUP(A3112,A3113:$H$3524,8,0),"")</f>
        <v/>
      </c>
      <c r="J3112" s="40" t="str">
        <f t="shared" si="249"/>
        <v/>
      </c>
      <c r="K3112" s="24" t="str">
        <f t="shared" si="250"/>
        <v/>
      </c>
      <c r="L3112" s="25" t="str">
        <f t="shared" si="246"/>
        <v/>
      </c>
      <c r="O3112" s="33" t="str">
        <f t="shared" si="247"/>
        <v/>
      </c>
      <c r="P3112" s="33" t="str">
        <f t="shared" si="248"/>
        <v/>
      </c>
    </row>
    <row r="3113" spans="9:16">
      <c r="I3113" s="23" t="str">
        <f>_xlfn.IFNA(VLOOKUP(A3113,A3114:$H$3524,8,0),"")</f>
        <v/>
      </c>
      <c r="J3113" s="40" t="str">
        <f t="shared" si="249"/>
        <v/>
      </c>
      <c r="K3113" s="24" t="str">
        <f t="shared" si="250"/>
        <v/>
      </c>
      <c r="L3113" s="25" t="str">
        <f t="shared" si="246"/>
        <v/>
      </c>
      <c r="O3113" s="33" t="str">
        <f t="shared" si="247"/>
        <v/>
      </c>
      <c r="P3113" s="33" t="str">
        <f t="shared" si="248"/>
        <v/>
      </c>
    </row>
    <row r="3114" spans="9:16">
      <c r="I3114" s="23" t="str">
        <f>_xlfn.IFNA(VLOOKUP(A3114,A3115:$H$3524,8,0),"")</f>
        <v/>
      </c>
      <c r="J3114" s="40" t="str">
        <f t="shared" si="249"/>
        <v/>
      </c>
      <c r="K3114" s="24" t="str">
        <f t="shared" si="250"/>
        <v/>
      </c>
      <c r="L3114" s="25" t="str">
        <f t="shared" si="246"/>
        <v/>
      </c>
      <c r="O3114" s="33" t="str">
        <f t="shared" si="247"/>
        <v/>
      </c>
      <c r="P3114" s="33" t="str">
        <f t="shared" si="248"/>
        <v/>
      </c>
    </row>
    <row r="3115" spans="9:16">
      <c r="I3115" s="23" t="str">
        <f>_xlfn.IFNA(VLOOKUP(A3115,A3116:$H$3524,8,0),"")</f>
        <v/>
      </c>
      <c r="J3115" s="40" t="str">
        <f t="shared" si="249"/>
        <v/>
      </c>
      <c r="K3115" s="24" t="str">
        <f t="shared" si="250"/>
        <v/>
      </c>
      <c r="L3115" s="25" t="str">
        <f t="shared" si="246"/>
        <v/>
      </c>
      <c r="O3115" s="33" t="str">
        <f t="shared" si="247"/>
        <v/>
      </c>
      <c r="P3115" s="33" t="str">
        <f t="shared" si="248"/>
        <v/>
      </c>
    </row>
    <row r="3116" spans="9:16">
      <c r="I3116" s="23" t="str">
        <f>_xlfn.IFNA(VLOOKUP(A3116,A3117:$H$3524,8,0),"")</f>
        <v/>
      </c>
      <c r="J3116" s="40" t="str">
        <f t="shared" si="249"/>
        <v/>
      </c>
      <c r="K3116" s="24" t="str">
        <f t="shared" si="250"/>
        <v/>
      </c>
      <c r="L3116" s="25" t="str">
        <f t="shared" si="246"/>
        <v/>
      </c>
      <c r="O3116" s="33" t="str">
        <f t="shared" si="247"/>
        <v/>
      </c>
      <c r="P3116" s="33" t="str">
        <f t="shared" si="248"/>
        <v/>
      </c>
    </row>
    <row r="3117" spans="9:16">
      <c r="I3117" s="23" t="str">
        <f>_xlfn.IFNA(VLOOKUP(A3117,A3118:$H$3524,8,0),"")</f>
        <v/>
      </c>
      <c r="J3117" s="40" t="str">
        <f t="shared" si="249"/>
        <v/>
      </c>
      <c r="K3117" s="24" t="str">
        <f t="shared" si="250"/>
        <v/>
      </c>
      <c r="L3117" s="25" t="str">
        <f t="shared" si="246"/>
        <v/>
      </c>
      <c r="O3117" s="33" t="str">
        <f t="shared" si="247"/>
        <v/>
      </c>
      <c r="P3117" s="33" t="str">
        <f t="shared" si="248"/>
        <v/>
      </c>
    </row>
    <row r="3118" spans="9:16">
      <c r="I3118" s="23" t="str">
        <f>_xlfn.IFNA(VLOOKUP(A3118,A3119:$H$3524,8,0),"")</f>
        <v/>
      </c>
      <c r="J3118" s="40" t="str">
        <f t="shared" si="249"/>
        <v/>
      </c>
      <c r="K3118" s="24" t="str">
        <f t="shared" si="250"/>
        <v/>
      </c>
      <c r="L3118" s="25" t="str">
        <f t="shared" si="246"/>
        <v/>
      </c>
      <c r="O3118" s="33" t="str">
        <f t="shared" si="247"/>
        <v/>
      </c>
      <c r="P3118" s="33" t="str">
        <f t="shared" si="248"/>
        <v/>
      </c>
    </row>
    <row r="3119" spans="9:16">
      <c r="I3119" s="23" t="str">
        <f>_xlfn.IFNA(VLOOKUP(A3119,A3120:$H$3524,8,0),"")</f>
        <v/>
      </c>
      <c r="J3119" s="40" t="str">
        <f t="shared" si="249"/>
        <v/>
      </c>
      <c r="K3119" s="24" t="str">
        <f t="shared" si="250"/>
        <v/>
      </c>
      <c r="L3119" s="25" t="str">
        <f t="shared" si="246"/>
        <v/>
      </c>
      <c r="O3119" s="33" t="str">
        <f t="shared" si="247"/>
        <v/>
      </c>
      <c r="P3119" s="33" t="str">
        <f t="shared" si="248"/>
        <v/>
      </c>
    </row>
    <row r="3120" spans="9:16">
      <c r="I3120" s="23" t="str">
        <f>_xlfn.IFNA(VLOOKUP(A3120,A3121:$H$3524,8,0),"")</f>
        <v/>
      </c>
      <c r="J3120" s="40" t="str">
        <f t="shared" si="249"/>
        <v/>
      </c>
      <c r="K3120" s="24" t="str">
        <f t="shared" si="250"/>
        <v/>
      </c>
      <c r="L3120" s="25" t="str">
        <f t="shared" si="246"/>
        <v/>
      </c>
      <c r="O3120" s="33" t="str">
        <f t="shared" si="247"/>
        <v/>
      </c>
      <c r="P3120" s="33" t="str">
        <f t="shared" si="248"/>
        <v/>
      </c>
    </row>
    <row r="3121" spans="9:16">
      <c r="I3121" s="23" t="str">
        <f>_xlfn.IFNA(VLOOKUP(A3121,A3122:$H$3524,8,0),"")</f>
        <v/>
      </c>
      <c r="J3121" s="40" t="str">
        <f t="shared" si="249"/>
        <v/>
      </c>
      <c r="K3121" s="24" t="str">
        <f t="shared" si="250"/>
        <v/>
      </c>
      <c r="L3121" s="25" t="str">
        <f t="shared" si="246"/>
        <v/>
      </c>
      <c r="O3121" s="33" t="str">
        <f t="shared" si="247"/>
        <v/>
      </c>
      <c r="P3121" s="33" t="str">
        <f t="shared" si="248"/>
        <v/>
      </c>
    </row>
    <row r="3122" spans="9:16">
      <c r="I3122" s="23" t="str">
        <f>_xlfn.IFNA(VLOOKUP(A3122,A3123:$H$3524,8,0),"")</f>
        <v/>
      </c>
      <c r="J3122" s="40" t="str">
        <f t="shared" si="249"/>
        <v/>
      </c>
      <c r="K3122" s="24" t="str">
        <f t="shared" si="250"/>
        <v/>
      </c>
      <c r="L3122" s="25" t="str">
        <f t="shared" si="246"/>
        <v/>
      </c>
      <c r="O3122" s="33" t="str">
        <f t="shared" si="247"/>
        <v/>
      </c>
      <c r="P3122" s="33" t="str">
        <f t="shared" si="248"/>
        <v/>
      </c>
    </row>
    <row r="3123" spans="9:16">
      <c r="I3123" s="23" t="str">
        <f>_xlfn.IFNA(VLOOKUP(A3123,A3124:$H$3524,8,0),"")</f>
        <v/>
      </c>
      <c r="J3123" s="40" t="str">
        <f t="shared" si="249"/>
        <v/>
      </c>
      <c r="K3123" s="24" t="str">
        <f t="shared" si="250"/>
        <v/>
      </c>
      <c r="L3123" s="25" t="str">
        <f t="shared" si="246"/>
        <v/>
      </c>
      <c r="O3123" s="33" t="str">
        <f t="shared" si="247"/>
        <v/>
      </c>
      <c r="P3123" s="33" t="str">
        <f t="shared" si="248"/>
        <v/>
      </c>
    </row>
    <row r="3124" spans="9:16">
      <c r="I3124" s="23" t="str">
        <f>_xlfn.IFNA(VLOOKUP(A3124,A3125:$H$3524,8,0),"")</f>
        <v/>
      </c>
      <c r="J3124" s="40" t="str">
        <f t="shared" si="249"/>
        <v/>
      </c>
      <c r="K3124" s="24" t="str">
        <f t="shared" si="250"/>
        <v/>
      </c>
      <c r="L3124" s="25" t="str">
        <f t="shared" si="246"/>
        <v/>
      </c>
      <c r="O3124" s="33" t="str">
        <f t="shared" si="247"/>
        <v/>
      </c>
      <c r="P3124" s="33" t="str">
        <f t="shared" si="248"/>
        <v/>
      </c>
    </row>
    <row r="3125" spans="9:16">
      <c r="I3125" s="23" t="str">
        <f>_xlfn.IFNA(VLOOKUP(A3125,A3126:$H$3524,8,0),"")</f>
        <v/>
      </c>
      <c r="J3125" s="40" t="str">
        <f t="shared" si="249"/>
        <v/>
      </c>
      <c r="K3125" s="24" t="str">
        <f t="shared" si="250"/>
        <v/>
      </c>
      <c r="L3125" s="25" t="str">
        <f t="shared" si="246"/>
        <v/>
      </c>
      <c r="O3125" s="33" t="str">
        <f t="shared" si="247"/>
        <v/>
      </c>
      <c r="P3125" s="33" t="str">
        <f t="shared" si="248"/>
        <v/>
      </c>
    </row>
    <row r="3126" spans="9:16">
      <c r="I3126" s="23" t="str">
        <f>_xlfn.IFNA(VLOOKUP(A3126,A3127:$H$3524,8,0),"")</f>
        <v/>
      </c>
      <c r="J3126" s="40" t="str">
        <f t="shared" si="249"/>
        <v/>
      </c>
      <c r="K3126" s="24" t="str">
        <f t="shared" si="250"/>
        <v/>
      </c>
      <c r="L3126" s="25" t="str">
        <f t="shared" si="246"/>
        <v/>
      </c>
      <c r="O3126" s="33" t="str">
        <f t="shared" si="247"/>
        <v/>
      </c>
      <c r="P3126" s="33" t="str">
        <f t="shared" si="248"/>
        <v/>
      </c>
    </row>
    <row r="3127" spans="9:16">
      <c r="I3127" s="23" t="str">
        <f>_xlfn.IFNA(VLOOKUP(A3127,A3128:$H$3524,8,0),"")</f>
        <v/>
      </c>
      <c r="J3127" s="40" t="str">
        <f t="shared" si="249"/>
        <v/>
      </c>
      <c r="K3127" s="24" t="str">
        <f t="shared" si="250"/>
        <v/>
      </c>
      <c r="L3127" s="25" t="str">
        <f t="shared" ref="L3127:L3190" si="251">IF(K3127="","",IF(B3127="Break","Break",IF(K3127&lt;&gt;0,"Work Finished",IF(B3127="OFF","Work Finished",IF(I3127="","Working","Work Finished")))))</f>
        <v/>
      </c>
      <c r="O3127" s="33" t="str">
        <f t="shared" ref="O3127:O3190" si="252">IF(AND(J3127="",M3127="",N3127=""),"",J3127-M3127-N3127)</f>
        <v/>
      </c>
      <c r="P3127" s="33" t="str">
        <f t="shared" ref="P3127:P3190" si="253">IF(HOUR(H3127)=0,"",HOUR(H3127))</f>
        <v/>
      </c>
    </row>
    <row r="3128" spans="9:16">
      <c r="I3128" s="23" t="str">
        <f>_xlfn.IFNA(VLOOKUP(A3128,A3129:$H$3524,8,0),"")</f>
        <v/>
      </c>
      <c r="J3128" s="40" t="str">
        <f t="shared" si="249"/>
        <v/>
      </c>
      <c r="K3128" s="24" t="str">
        <f t="shared" si="250"/>
        <v/>
      </c>
      <c r="L3128" s="25" t="str">
        <f t="shared" si="251"/>
        <v/>
      </c>
      <c r="O3128" s="33" t="str">
        <f t="shared" si="252"/>
        <v/>
      </c>
      <c r="P3128" s="33" t="str">
        <f t="shared" si="253"/>
        <v/>
      </c>
    </row>
    <row r="3129" spans="9:16">
      <c r="I3129" s="23" t="str">
        <f>_xlfn.IFNA(VLOOKUP(A3129,A3130:$H$3524,8,0),"")</f>
        <v/>
      </c>
      <c r="J3129" s="40" t="str">
        <f t="shared" si="249"/>
        <v/>
      </c>
      <c r="K3129" s="24" t="str">
        <f t="shared" si="250"/>
        <v/>
      </c>
      <c r="L3129" s="25" t="str">
        <f t="shared" si="251"/>
        <v/>
      </c>
      <c r="O3129" s="33" t="str">
        <f t="shared" si="252"/>
        <v/>
      </c>
      <c r="P3129" s="33" t="str">
        <f t="shared" si="253"/>
        <v/>
      </c>
    </row>
    <row r="3130" spans="9:16">
      <c r="I3130" s="23" t="str">
        <f>_xlfn.IFNA(VLOOKUP(A3130,A3131:$H$3524,8,0),"")</f>
        <v/>
      </c>
      <c r="J3130" s="40" t="str">
        <f t="shared" si="249"/>
        <v/>
      </c>
      <c r="K3130" s="24" t="str">
        <f t="shared" si="250"/>
        <v/>
      </c>
      <c r="L3130" s="25" t="str">
        <f t="shared" si="251"/>
        <v/>
      </c>
      <c r="O3130" s="33" t="str">
        <f t="shared" si="252"/>
        <v/>
      </c>
      <c r="P3130" s="33" t="str">
        <f t="shared" si="253"/>
        <v/>
      </c>
    </row>
    <row r="3131" spans="9:16">
      <c r="I3131" s="23" t="str">
        <f>_xlfn.IFNA(VLOOKUP(A3131,A3132:$H$3524,8,0),"")</f>
        <v/>
      </c>
      <c r="J3131" s="40" t="str">
        <f t="shared" si="249"/>
        <v/>
      </c>
      <c r="K3131" s="24" t="str">
        <f t="shared" si="250"/>
        <v/>
      </c>
      <c r="L3131" s="25" t="str">
        <f t="shared" si="251"/>
        <v/>
      </c>
      <c r="O3131" s="33" t="str">
        <f t="shared" si="252"/>
        <v/>
      </c>
      <c r="P3131" s="33" t="str">
        <f t="shared" si="253"/>
        <v/>
      </c>
    </row>
    <row r="3132" spans="9:16">
      <c r="I3132" s="23" t="str">
        <f>_xlfn.IFNA(VLOOKUP(A3132,A3133:$H$3524,8,0),"")</f>
        <v/>
      </c>
      <c r="J3132" s="40" t="str">
        <f t="shared" si="249"/>
        <v/>
      </c>
      <c r="K3132" s="24" t="str">
        <f t="shared" si="250"/>
        <v/>
      </c>
      <c r="L3132" s="25" t="str">
        <f t="shared" si="251"/>
        <v/>
      </c>
      <c r="O3132" s="33" t="str">
        <f t="shared" si="252"/>
        <v/>
      </c>
      <c r="P3132" s="33" t="str">
        <f t="shared" si="253"/>
        <v/>
      </c>
    </row>
    <row r="3133" spans="9:16">
      <c r="I3133" s="23" t="str">
        <f>_xlfn.IFNA(VLOOKUP(A3133,A3134:$H$3524,8,0),"")</f>
        <v/>
      </c>
      <c r="J3133" s="40" t="str">
        <f t="shared" si="249"/>
        <v/>
      </c>
      <c r="K3133" s="24" t="str">
        <f t="shared" si="250"/>
        <v/>
      </c>
      <c r="L3133" s="25" t="str">
        <f t="shared" si="251"/>
        <v/>
      </c>
      <c r="O3133" s="33" t="str">
        <f t="shared" si="252"/>
        <v/>
      </c>
      <c r="P3133" s="33" t="str">
        <f t="shared" si="253"/>
        <v/>
      </c>
    </row>
    <row r="3134" spans="9:16">
      <c r="I3134" s="23" t="str">
        <f>_xlfn.IFNA(VLOOKUP(A3134,A3135:$H$3524,8,0),"")</f>
        <v/>
      </c>
      <c r="J3134" s="40" t="str">
        <f t="shared" si="249"/>
        <v/>
      </c>
      <c r="K3134" s="24" t="str">
        <f t="shared" si="250"/>
        <v/>
      </c>
      <c r="L3134" s="25" t="str">
        <f t="shared" si="251"/>
        <v/>
      </c>
      <c r="O3134" s="33" t="str">
        <f t="shared" si="252"/>
        <v/>
      </c>
      <c r="P3134" s="33" t="str">
        <f t="shared" si="253"/>
        <v/>
      </c>
    </row>
    <row r="3135" spans="9:16">
      <c r="I3135" s="23" t="str">
        <f>_xlfn.IFNA(VLOOKUP(A3135,A3136:$H$3524,8,0),"")</f>
        <v/>
      </c>
      <c r="J3135" s="40" t="str">
        <f t="shared" si="249"/>
        <v/>
      </c>
      <c r="K3135" s="24" t="str">
        <f t="shared" si="250"/>
        <v/>
      </c>
      <c r="L3135" s="25" t="str">
        <f t="shared" si="251"/>
        <v/>
      </c>
      <c r="O3135" s="33" t="str">
        <f t="shared" si="252"/>
        <v/>
      </c>
      <c r="P3135" s="33" t="str">
        <f t="shared" si="253"/>
        <v/>
      </c>
    </row>
    <row r="3136" spans="9:16">
      <c r="I3136" s="23" t="str">
        <f>_xlfn.IFNA(VLOOKUP(A3136,A3137:$H$3524,8,0),"")</f>
        <v/>
      </c>
      <c r="J3136" s="40" t="str">
        <f t="shared" si="249"/>
        <v/>
      </c>
      <c r="K3136" s="24" t="str">
        <f t="shared" si="250"/>
        <v/>
      </c>
      <c r="L3136" s="25" t="str">
        <f t="shared" si="251"/>
        <v/>
      </c>
      <c r="O3136" s="33" t="str">
        <f t="shared" si="252"/>
        <v/>
      </c>
      <c r="P3136" s="33" t="str">
        <f t="shared" si="253"/>
        <v/>
      </c>
    </row>
    <row r="3137" spans="9:16">
      <c r="I3137" s="23" t="str">
        <f>_xlfn.IFNA(VLOOKUP(A3137,A3138:$H$3524,8,0),"")</f>
        <v/>
      </c>
      <c r="J3137" s="40" t="str">
        <f t="shared" si="249"/>
        <v/>
      </c>
      <c r="K3137" s="24" t="str">
        <f t="shared" si="250"/>
        <v/>
      </c>
      <c r="L3137" s="25" t="str">
        <f t="shared" si="251"/>
        <v/>
      </c>
      <c r="O3137" s="33" t="str">
        <f t="shared" si="252"/>
        <v/>
      </c>
      <c r="P3137" s="33" t="str">
        <f t="shared" si="253"/>
        <v/>
      </c>
    </row>
    <row r="3138" spans="9:16">
      <c r="I3138" s="23" t="str">
        <f>_xlfn.IFNA(VLOOKUP(A3138,A3139:$H$3524,8,0),"")</f>
        <v/>
      </c>
      <c r="J3138" s="40" t="str">
        <f t="shared" si="249"/>
        <v/>
      </c>
      <c r="K3138" s="24" t="str">
        <f t="shared" si="250"/>
        <v/>
      </c>
      <c r="L3138" s="25" t="str">
        <f t="shared" si="251"/>
        <v/>
      </c>
      <c r="O3138" s="33" t="str">
        <f t="shared" si="252"/>
        <v/>
      </c>
      <c r="P3138" s="33" t="str">
        <f t="shared" si="253"/>
        <v/>
      </c>
    </row>
    <row r="3139" spans="9:16">
      <c r="I3139" s="23" t="str">
        <f>_xlfn.IFNA(VLOOKUP(A3139,A3140:$H$3524,8,0),"")</f>
        <v/>
      </c>
      <c r="J3139" s="40" t="str">
        <f t="shared" si="249"/>
        <v/>
      </c>
      <c r="K3139" s="24" t="str">
        <f t="shared" si="250"/>
        <v/>
      </c>
      <c r="L3139" s="25" t="str">
        <f t="shared" si="251"/>
        <v/>
      </c>
      <c r="O3139" s="33" t="str">
        <f t="shared" si="252"/>
        <v/>
      </c>
      <c r="P3139" s="33" t="str">
        <f t="shared" si="253"/>
        <v/>
      </c>
    </row>
    <row r="3140" spans="9:16">
      <c r="I3140" s="23" t="str">
        <f>_xlfn.IFNA(VLOOKUP(A3140,A3141:$H$3524,8,0),"")</f>
        <v/>
      </c>
      <c r="J3140" s="40" t="str">
        <f t="shared" si="249"/>
        <v/>
      </c>
      <c r="K3140" s="24" t="str">
        <f t="shared" si="250"/>
        <v/>
      </c>
      <c r="L3140" s="25" t="str">
        <f t="shared" si="251"/>
        <v/>
      </c>
      <c r="O3140" s="33" t="str">
        <f t="shared" si="252"/>
        <v/>
      </c>
      <c r="P3140" s="33" t="str">
        <f t="shared" si="253"/>
        <v/>
      </c>
    </row>
    <row r="3141" spans="9:16">
      <c r="I3141" s="23" t="str">
        <f>_xlfn.IFNA(VLOOKUP(A3141,A3142:$H$3524,8,0),"")</f>
        <v/>
      </c>
      <c r="J3141" s="40" t="str">
        <f t="shared" si="249"/>
        <v/>
      </c>
      <c r="K3141" s="24" t="str">
        <f t="shared" si="250"/>
        <v/>
      </c>
      <c r="L3141" s="25" t="str">
        <f t="shared" si="251"/>
        <v/>
      </c>
      <c r="O3141" s="33" t="str">
        <f t="shared" si="252"/>
        <v/>
      </c>
      <c r="P3141" s="33" t="str">
        <f t="shared" si="253"/>
        <v/>
      </c>
    </row>
    <row r="3142" spans="9:16">
      <c r="I3142" s="23" t="str">
        <f>_xlfn.IFNA(VLOOKUP(A3142,A3143:$H$3524,8,0),"")</f>
        <v/>
      </c>
      <c r="J3142" s="40" t="str">
        <f t="shared" ref="J3142:J3205" si="254">IF(B3142="OFF",0,IF(AND(D3142&lt;&gt;"",E3142&lt;&gt;""),E3142-D3142+1,""))</f>
        <v/>
      </c>
      <c r="K3142" s="24" t="str">
        <f t="shared" si="250"/>
        <v/>
      </c>
      <c r="L3142" s="25" t="str">
        <f t="shared" si="251"/>
        <v/>
      </c>
      <c r="O3142" s="33" t="str">
        <f t="shared" si="252"/>
        <v/>
      </c>
      <c r="P3142" s="33" t="str">
        <f t="shared" si="253"/>
        <v/>
      </c>
    </row>
    <row r="3143" spans="9:16">
      <c r="I3143" s="23" t="str">
        <f>_xlfn.IFNA(VLOOKUP(A3143,A3144:$H$3524,8,0),"")</f>
        <v/>
      </c>
      <c r="J3143" s="40" t="str">
        <f t="shared" si="254"/>
        <v/>
      </c>
      <c r="K3143" s="24" t="str">
        <f t="shared" si="250"/>
        <v/>
      </c>
      <c r="L3143" s="25" t="str">
        <f t="shared" si="251"/>
        <v/>
      </c>
      <c r="O3143" s="33" t="str">
        <f t="shared" si="252"/>
        <v/>
      </c>
      <c r="P3143" s="33" t="str">
        <f t="shared" si="253"/>
        <v/>
      </c>
    </row>
    <row r="3144" spans="9:16">
      <c r="I3144" s="23" t="str">
        <f>_xlfn.IFNA(VLOOKUP(A3144,A3145:$H$3524,8,0),"")</f>
        <v/>
      </c>
      <c r="J3144" s="40" t="str">
        <f t="shared" si="254"/>
        <v/>
      </c>
      <c r="K3144" s="24" t="str">
        <f t="shared" si="250"/>
        <v/>
      </c>
      <c r="L3144" s="25" t="str">
        <f t="shared" si="251"/>
        <v/>
      </c>
      <c r="O3144" s="33" t="str">
        <f t="shared" si="252"/>
        <v/>
      </c>
      <c r="P3144" s="33" t="str">
        <f t="shared" si="253"/>
        <v/>
      </c>
    </row>
    <row r="3145" spans="9:16">
      <c r="I3145" s="23" t="str">
        <f>_xlfn.IFNA(VLOOKUP(A3145,A3146:$H$3524,8,0),"")</f>
        <v/>
      </c>
      <c r="J3145" s="40" t="str">
        <f t="shared" si="254"/>
        <v/>
      </c>
      <c r="K3145" s="24" t="str">
        <f t="shared" si="250"/>
        <v/>
      </c>
      <c r="L3145" s="25" t="str">
        <f t="shared" si="251"/>
        <v/>
      </c>
      <c r="O3145" s="33" t="str">
        <f t="shared" si="252"/>
        <v/>
      </c>
      <c r="P3145" s="33" t="str">
        <f t="shared" si="253"/>
        <v/>
      </c>
    </row>
    <row r="3146" spans="9:16">
      <c r="I3146" s="23" t="str">
        <f>_xlfn.IFNA(VLOOKUP(A3146,A3147:$H$3524,8,0),"")</f>
        <v/>
      </c>
      <c r="J3146" s="40" t="str">
        <f t="shared" si="254"/>
        <v/>
      </c>
      <c r="K3146" s="24" t="str">
        <f t="shared" si="250"/>
        <v/>
      </c>
      <c r="L3146" s="25" t="str">
        <f t="shared" si="251"/>
        <v/>
      </c>
      <c r="O3146" s="33" t="str">
        <f t="shared" si="252"/>
        <v/>
      </c>
      <c r="P3146" s="33" t="str">
        <f t="shared" si="253"/>
        <v/>
      </c>
    </row>
    <row r="3147" spans="9:16">
      <c r="I3147" s="23" t="str">
        <f>_xlfn.IFNA(VLOOKUP(A3147,A3148:$H$3524,8,0),"")</f>
        <v/>
      </c>
      <c r="J3147" s="40" t="str">
        <f t="shared" si="254"/>
        <v/>
      </c>
      <c r="K3147" s="24" t="str">
        <f t="shared" si="250"/>
        <v/>
      </c>
      <c r="L3147" s="25" t="str">
        <f t="shared" si="251"/>
        <v/>
      </c>
      <c r="O3147" s="33" t="str">
        <f t="shared" si="252"/>
        <v/>
      </c>
      <c r="P3147" s="33" t="str">
        <f t="shared" si="253"/>
        <v/>
      </c>
    </row>
    <row r="3148" spans="9:16">
      <c r="I3148" s="23" t="str">
        <f>_xlfn.IFNA(VLOOKUP(A3148,A3149:$H$3524,8,0),"")</f>
        <v/>
      </c>
      <c r="J3148" s="40" t="str">
        <f t="shared" si="254"/>
        <v/>
      </c>
      <c r="K3148" s="24" t="str">
        <f t="shared" si="250"/>
        <v/>
      </c>
      <c r="L3148" s="25" t="str">
        <f t="shared" si="251"/>
        <v/>
      </c>
      <c r="O3148" s="33" t="str">
        <f t="shared" si="252"/>
        <v/>
      </c>
      <c r="P3148" s="33" t="str">
        <f t="shared" si="253"/>
        <v/>
      </c>
    </row>
    <row r="3149" spans="9:16">
      <c r="I3149" s="23" t="str">
        <f>_xlfn.IFNA(VLOOKUP(A3149,A3150:$H$3524,8,0),"")</f>
        <v/>
      </c>
      <c r="J3149" s="40" t="str">
        <f t="shared" si="254"/>
        <v/>
      </c>
      <c r="K3149" s="24" t="str">
        <f t="shared" si="250"/>
        <v/>
      </c>
      <c r="L3149" s="25" t="str">
        <f t="shared" si="251"/>
        <v/>
      </c>
      <c r="O3149" s="33" t="str">
        <f t="shared" si="252"/>
        <v/>
      </c>
      <c r="P3149" s="33" t="str">
        <f t="shared" si="253"/>
        <v/>
      </c>
    </row>
    <row r="3150" spans="9:16">
      <c r="I3150" s="23" t="str">
        <f>_xlfn.IFNA(VLOOKUP(A3150,A3151:$H$3524,8,0),"")</f>
        <v/>
      </c>
      <c r="J3150" s="40" t="str">
        <f t="shared" si="254"/>
        <v/>
      </c>
      <c r="K3150" s="24" t="str">
        <f t="shared" si="250"/>
        <v/>
      </c>
      <c r="L3150" s="25" t="str">
        <f t="shared" si="251"/>
        <v/>
      </c>
      <c r="O3150" s="33" t="str">
        <f t="shared" si="252"/>
        <v/>
      </c>
      <c r="P3150" s="33" t="str">
        <f t="shared" si="253"/>
        <v/>
      </c>
    </row>
    <row r="3151" spans="9:16">
      <c r="I3151" s="23" t="str">
        <f>_xlfn.IFNA(VLOOKUP(A3151,A3152:$H$3524,8,0),"")</f>
        <v/>
      </c>
      <c r="J3151" s="40" t="str">
        <f t="shared" si="254"/>
        <v/>
      </c>
      <c r="K3151" s="24" t="str">
        <f t="shared" si="250"/>
        <v/>
      </c>
      <c r="L3151" s="25" t="str">
        <f t="shared" si="251"/>
        <v/>
      </c>
      <c r="O3151" s="33" t="str">
        <f t="shared" si="252"/>
        <v/>
      </c>
      <c r="P3151" s="33" t="str">
        <f t="shared" si="253"/>
        <v/>
      </c>
    </row>
    <row r="3152" spans="9:16">
      <c r="I3152" s="23" t="str">
        <f>_xlfn.IFNA(VLOOKUP(A3152,A3153:$H$3524,8,0),"")</f>
        <v/>
      </c>
      <c r="J3152" s="40" t="str">
        <f t="shared" si="254"/>
        <v/>
      </c>
      <c r="K3152" s="24" t="str">
        <f t="shared" si="250"/>
        <v/>
      </c>
      <c r="L3152" s="25" t="str">
        <f t="shared" si="251"/>
        <v/>
      </c>
      <c r="O3152" s="33" t="str">
        <f t="shared" si="252"/>
        <v/>
      </c>
      <c r="P3152" s="33" t="str">
        <f t="shared" si="253"/>
        <v/>
      </c>
    </row>
    <row r="3153" spans="9:16">
      <c r="I3153" s="23" t="str">
        <f>_xlfn.IFNA(VLOOKUP(A3153,A3154:$H$3524,8,0),"")</f>
        <v/>
      </c>
      <c r="J3153" s="40" t="str">
        <f t="shared" si="254"/>
        <v/>
      </c>
      <c r="K3153" s="24" t="str">
        <f t="shared" si="250"/>
        <v/>
      </c>
      <c r="L3153" s="25" t="str">
        <f t="shared" si="251"/>
        <v/>
      </c>
      <c r="O3153" s="33" t="str">
        <f t="shared" si="252"/>
        <v/>
      </c>
      <c r="P3153" s="33" t="str">
        <f t="shared" si="253"/>
        <v/>
      </c>
    </row>
    <row r="3154" spans="9:16">
      <c r="I3154" s="23" t="str">
        <f>_xlfn.IFNA(VLOOKUP(A3154,A3155:$H$3524,8,0),"")</f>
        <v/>
      </c>
      <c r="J3154" s="40" t="str">
        <f t="shared" si="254"/>
        <v/>
      </c>
      <c r="K3154" s="24" t="str">
        <f t="shared" si="250"/>
        <v/>
      </c>
      <c r="L3154" s="25" t="str">
        <f t="shared" si="251"/>
        <v/>
      </c>
      <c r="O3154" s="33" t="str">
        <f t="shared" si="252"/>
        <v/>
      </c>
      <c r="P3154" s="33" t="str">
        <f t="shared" si="253"/>
        <v/>
      </c>
    </row>
    <row r="3155" spans="9:16">
      <c r="I3155" s="23" t="str">
        <f>_xlfn.IFNA(VLOOKUP(A3155,A3156:$H$3524,8,0),"")</f>
        <v/>
      </c>
      <c r="J3155" s="40" t="str">
        <f t="shared" si="254"/>
        <v/>
      </c>
      <c r="K3155" s="24" t="str">
        <f t="shared" si="250"/>
        <v/>
      </c>
      <c r="L3155" s="25" t="str">
        <f t="shared" si="251"/>
        <v/>
      </c>
      <c r="O3155" s="33" t="str">
        <f t="shared" si="252"/>
        <v/>
      </c>
      <c r="P3155" s="33" t="str">
        <f t="shared" si="253"/>
        <v/>
      </c>
    </row>
    <row r="3156" spans="9:16">
      <c r="I3156" s="23" t="str">
        <f>_xlfn.IFNA(VLOOKUP(A3156,A3157:$H$3524,8,0),"")</f>
        <v/>
      </c>
      <c r="J3156" s="40" t="str">
        <f t="shared" si="254"/>
        <v/>
      </c>
      <c r="K3156" s="24" t="str">
        <f t="shared" si="250"/>
        <v/>
      </c>
      <c r="L3156" s="25" t="str">
        <f t="shared" si="251"/>
        <v/>
      </c>
      <c r="O3156" s="33" t="str">
        <f t="shared" si="252"/>
        <v/>
      </c>
      <c r="P3156" s="33" t="str">
        <f t="shared" si="253"/>
        <v/>
      </c>
    </row>
    <row r="3157" spans="9:16">
      <c r="I3157" s="23" t="str">
        <f>_xlfn.IFNA(VLOOKUP(A3157,A3158:$H$3524,8,0),"")</f>
        <v/>
      </c>
      <c r="J3157" s="40" t="str">
        <f t="shared" si="254"/>
        <v/>
      </c>
      <c r="K3157" s="24" t="str">
        <f t="shared" si="250"/>
        <v/>
      </c>
      <c r="L3157" s="25" t="str">
        <f t="shared" si="251"/>
        <v/>
      </c>
      <c r="O3157" s="33" t="str">
        <f t="shared" si="252"/>
        <v/>
      </c>
      <c r="P3157" s="33" t="str">
        <f t="shared" si="253"/>
        <v/>
      </c>
    </row>
    <row r="3158" spans="9:16">
      <c r="I3158" s="23" t="str">
        <f>_xlfn.IFNA(VLOOKUP(A3158,A3159:$H$3524,8,0),"")</f>
        <v/>
      </c>
      <c r="J3158" s="40" t="str">
        <f t="shared" si="254"/>
        <v/>
      </c>
      <c r="K3158" s="24" t="str">
        <f t="shared" ref="K3158:K3221" si="255">IF(H3158="","",IFERROR((I3158-H3158)*24,0))</f>
        <v/>
      </c>
      <c r="L3158" s="25" t="str">
        <f t="shared" si="251"/>
        <v/>
      </c>
      <c r="O3158" s="33" t="str">
        <f t="shared" si="252"/>
        <v/>
      </c>
      <c r="P3158" s="33" t="str">
        <f t="shared" si="253"/>
        <v/>
      </c>
    </row>
    <row r="3159" spans="9:16">
      <c r="I3159" s="23" t="str">
        <f>_xlfn.IFNA(VLOOKUP(A3159,A3160:$H$3524,8,0),"")</f>
        <v/>
      </c>
      <c r="J3159" s="40" t="str">
        <f t="shared" si="254"/>
        <v/>
      </c>
      <c r="K3159" s="24" t="str">
        <f t="shared" si="255"/>
        <v/>
      </c>
      <c r="L3159" s="25" t="str">
        <f t="shared" si="251"/>
        <v/>
      </c>
      <c r="O3159" s="33" t="str">
        <f t="shared" si="252"/>
        <v/>
      </c>
      <c r="P3159" s="33" t="str">
        <f t="shared" si="253"/>
        <v/>
      </c>
    </row>
    <row r="3160" spans="9:16">
      <c r="I3160" s="23" t="str">
        <f>_xlfn.IFNA(VLOOKUP(A3160,A3161:$H$3524,8,0),"")</f>
        <v/>
      </c>
      <c r="J3160" s="40" t="str">
        <f t="shared" si="254"/>
        <v/>
      </c>
      <c r="K3160" s="24" t="str">
        <f t="shared" si="255"/>
        <v/>
      </c>
      <c r="L3160" s="25" t="str">
        <f t="shared" si="251"/>
        <v/>
      </c>
      <c r="O3160" s="33" t="str">
        <f t="shared" si="252"/>
        <v/>
      </c>
      <c r="P3160" s="33" t="str">
        <f t="shared" si="253"/>
        <v/>
      </c>
    </row>
    <row r="3161" spans="9:16">
      <c r="I3161" s="23" t="str">
        <f>_xlfn.IFNA(VLOOKUP(A3161,A3162:$H$3524,8,0),"")</f>
        <v/>
      </c>
      <c r="J3161" s="40" t="str">
        <f t="shared" si="254"/>
        <v/>
      </c>
      <c r="K3161" s="24" t="str">
        <f t="shared" si="255"/>
        <v/>
      </c>
      <c r="L3161" s="25" t="str">
        <f t="shared" si="251"/>
        <v/>
      </c>
      <c r="O3161" s="33" t="str">
        <f t="shared" si="252"/>
        <v/>
      </c>
      <c r="P3161" s="33" t="str">
        <f t="shared" si="253"/>
        <v/>
      </c>
    </row>
    <row r="3162" spans="9:16">
      <c r="I3162" s="23" t="str">
        <f>_xlfn.IFNA(VLOOKUP(A3162,A3163:$H$3524,8,0),"")</f>
        <v/>
      </c>
      <c r="J3162" s="40" t="str">
        <f t="shared" si="254"/>
        <v/>
      </c>
      <c r="K3162" s="24" t="str">
        <f t="shared" si="255"/>
        <v/>
      </c>
      <c r="L3162" s="25" t="str">
        <f t="shared" si="251"/>
        <v/>
      </c>
      <c r="O3162" s="33" t="str">
        <f t="shared" si="252"/>
        <v/>
      </c>
      <c r="P3162" s="33" t="str">
        <f t="shared" si="253"/>
        <v/>
      </c>
    </row>
    <row r="3163" spans="9:16">
      <c r="I3163" s="23" t="str">
        <f>_xlfn.IFNA(VLOOKUP(A3163,A3164:$H$3524,8,0),"")</f>
        <v/>
      </c>
      <c r="J3163" s="40" t="str">
        <f t="shared" si="254"/>
        <v/>
      </c>
      <c r="K3163" s="24" t="str">
        <f t="shared" si="255"/>
        <v/>
      </c>
      <c r="L3163" s="25" t="str">
        <f t="shared" si="251"/>
        <v/>
      </c>
      <c r="O3163" s="33" t="str">
        <f t="shared" si="252"/>
        <v/>
      </c>
      <c r="P3163" s="33" t="str">
        <f t="shared" si="253"/>
        <v/>
      </c>
    </row>
    <row r="3164" spans="9:16">
      <c r="I3164" s="23" t="str">
        <f>_xlfn.IFNA(VLOOKUP(A3164,A3165:$H$3524,8,0),"")</f>
        <v/>
      </c>
      <c r="J3164" s="40" t="str">
        <f t="shared" si="254"/>
        <v/>
      </c>
      <c r="K3164" s="24" t="str">
        <f t="shared" si="255"/>
        <v/>
      </c>
      <c r="L3164" s="25" t="str">
        <f t="shared" si="251"/>
        <v/>
      </c>
      <c r="O3164" s="33" t="str">
        <f t="shared" si="252"/>
        <v/>
      </c>
      <c r="P3164" s="33" t="str">
        <f t="shared" si="253"/>
        <v/>
      </c>
    </row>
    <row r="3165" spans="9:16">
      <c r="I3165" s="23" t="str">
        <f>_xlfn.IFNA(VLOOKUP(A3165,A3166:$H$3524,8,0),"")</f>
        <v/>
      </c>
      <c r="J3165" s="40" t="str">
        <f t="shared" si="254"/>
        <v/>
      </c>
      <c r="K3165" s="24" t="str">
        <f t="shared" si="255"/>
        <v/>
      </c>
      <c r="L3165" s="25" t="str">
        <f t="shared" si="251"/>
        <v/>
      </c>
      <c r="O3165" s="33" t="str">
        <f t="shared" si="252"/>
        <v/>
      </c>
      <c r="P3165" s="33" t="str">
        <f t="shared" si="253"/>
        <v/>
      </c>
    </row>
    <row r="3166" spans="9:16">
      <c r="I3166" s="23" t="str">
        <f>_xlfn.IFNA(VLOOKUP(A3166,A3167:$H$3524,8,0),"")</f>
        <v/>
      </c>
      <c r="J3166" s="40" t="str">
        <f t="shared" si="254"/>
        <v/>
      </c>
      <c r="K3166" s="24" t="str">
        <f t="shared" si="255"/>
        <v/>
      </c>
      <c r="L3166" s="25" t="str">
        <f t="shared" si="251"/>
        <v/>
      </c>
      <c r="O3166" s="33" t="str">
        <f t="shared" si="252"/>
        <v/>
      </c>
      <c r="P3166" s="33" t="str">
        <f t="shared" si="253"/>
        <v/>
      </c>
    </row>
    <row r="3167" spans="9:16">
      <c r="I3167" s="23" t="str">
        <f>_xlfn.IFNA(VLOOKUP(A3167,A3168:$H$3524,8,0),"")</f>
        <v/>
      </c>
      <c r="J3167" s="40" t="str">
        <f t="shared" si="254"/>
        <v/>
      </c>
      <c r="K3167" s="24" t="str">
        <f t="shared" si="255"/>
        <v/>
      </c>
      <c r="L3167" s="25" t="str">
        <f t="shared" si="251"/>
        <v/>
      </c>
      <c r="O3167" s="33" t="str">
        <f t="shared" si="252"/>
        <v/>
      </c>
      <c r="P3167" s="33" t="str">
        <f t="shared" si="253"/>
        <v/>
      </c>
    </row>
    <row r="3168" spans="9:16">
      <c r="I3168" s="23" t="str">
        <f>_xlfn.IFNA(VLOOKUP(A3168,A3169:$H$3524,8,0),"")</f>
        <v/>
      </c>
      <c r="J3168" s="40" t="str">
        <f t="shared" si="254"/>
        <v/>
      </c>
      <c r="K3168" s="24" t="str">
        <f t="shared" si="255"/>
        <v/>
      </c>
      <c r="L3168" s="25" t="str">
        <f t="shared" si="251"/>
        <v/>
      </c>
      <c r="O3168" s="33" t="str">
        <f t="shared" si="252"/>
        <v/>
      </c>
      <c r="P3168" s="33" t="str">
        <f t="shared" si="253"/>
        <v/>
      </c>
    </row>
    <row r="3169" spans="9:16">
      <c r="I3169" s="23" t="str">
        <f>_xlfn.IFNA(VLOOKUP(A3169,A3170:$H$3524,8,0),"")</f>
        <v/>
      </c>
      <c r="J3169" s="40" t="str">
        <f t="shared" si="254"/>
        <v/>
      </c>
      <c r="K3169" s="24" t="str">
        <f t="shared" si="255"/>
        <v/>
      </c>
      <c r="L3169" s="25" t="str">
        <f t="shared" si="251"/>
        <v/>
      </c>
      <c r="O3169" s="33" t="str">
        <f t="shared" si="252"/>
        <v/>
      </c>
      <c r="P3169" s="33" t="str">
        <f t="shared" si="253"/>
        <v/>
      </c>
    </row>
    <row r="3170" spans="9:16">
      <c r="I3170" s="23" t="str">
        <f>_xlfn.IFNA(VLOOKUP(A3170,A3171:$H$3524,8,0),"")</f>
        <v/>
      </c>
      <c r="J3170" s="40" t="str">
        <f t="shared" si="254"/>
        <v/>
      </c>
      <c r="K3170" s="24" t="str">
        <f t="shared" si="255"/>
        <v/>
      </c>
      <c r="L3170" s="25" t="str">
        <f t="shared" si="251"/>
        <v/>
      </c>
      <c r="O3170" s="33" t="str">
        <f t="shared" si="252"/>
        <v/>
      </c>
      <c r="P3170" s="33" t="str">
        <f t="shared" si="253"/>
        <v/>
      </c>
    </row>
    <row r="3171" spans="9:16">
      <c r="I3171" s="23" t="str">
        <f>_xlfn.IFNA(VLOOKUP(A3171,A3172:$H$3524,8,0),"")</f>
        <v/>
      </c>
      <c r="J3171" s="40" t="str">
        <f t="shared" si="254"/>
        <v/>
      </c>
      <c r="K3171" s="24" t="str">
        <f t="shared" si="255"/>
        <v/>
      </c>
      <c r="L3171" s="25" t="str">
        <f t="shared" si="251"/>
        <v/>
      </c>
      <c r="O3171" s="33" t="str">
        <f t="shared" si="252"/>
        <v/>
      </c>
      <c r="P3171" s="33" t="str">
        <f t="shared" si="253"/>
        <v/>
      </c>
    </row>
    <row r="3172" spans="9:16">
      <c r="I3172" s="23" t="str">
        <f>_xlfn.IFNA(VLOOKUP(A3172,A3173:$H$3524,8,0),"")</f>
        <v/>
      </c>
      <c r="J3172" s="40" t="str">
        <f t="shared" si="254"/>
        <v/>
      </c>
      <c r="K3172" s="24" t="str">
        <f t="shared" si="255"/>
        <v/>
      </c>
      <c r="L3172" s="25" t="str">
        <f t="shared" si="251"/>
        <v/>
      </c>
      <c r="O3172" s="33" t="str">
        <f t="shared" si="252"/>
        <v/>
      </c>
      <c r="P3172" s="33" t="str">
        <f t="shared" si="253"/>
        <v/>
      </c>
    </row>
    <row r="3173" spans="9:16">
      <c r="I3173" s="23" t="str">
        <f>_xlfn.IFNA(VLOOKUP(A3173,A3174:$H$3524,8,0),"")</f>
        <v/>
      </c>
      <c r="J3173" s="40" t="str">
        <f t="shared" si="254"/>
        <v/>
      </c>
      <c r="K3173" s="24" t="str">
        <f t="shared" si="255"/>
        <v/>
      </c>
      <c r="L3173" s="25" t="str">
        <f t="shared" si="251"/>
        <v/>
      </c>
      <c r="O3173" s="33" t="str">
        <f t="shared" si="252"/>
        <v/>
      </c>
      <c r="P3173" s="33" t="str">
        <f t="shared" si="253"/>
        <v/>
      </c>
    </row>
    <row r="3174" spans="9:16">
      <c r="I3174" s="23" t="str">
        <f>_xlfn.IFNA(VLOOKUP(A3174,A3175:$H$3524,8,0),"")</f>
        <v/>
      </c>
      <c r="J3174" s="40" t="str">
        <f t="shared" si="254"/>
        <v/>
      </c>
      <c r="K3174" s="24" t="str">
        <f t="shared" si="255"/>
        <v/>
      </c>
      <c r="L3174" s="25" t="str">
        <f t="shared" si="251"/>
        <v/>
      </c>
      <c r="O3174" s="33" t="str">
        <f t="shared" si="252"/>
        <v/>
      </c>
      <c r="P3174" s="33" t="str">
        <f t="shared" si="253"/>
        <v/>
      </c>
    </row>
    <row r="3175" spans="9:16">
      <c r="I3175" s="23" t="str">
        <f>_xlfn.IFNA(VLOOKUP(A3175,A3176:$H$3524,8,0),"")</f>
        <v/>
      </c>
      <c r="J3175" s="40" t="str">
        <f t="shared" si="254"/>
        <v/>
      </c>
      <c r="K3175" s="24" t="str">
        <f t="shared" si="255"/>
        <v/>
      </c>
      <c r="L3175" s="25" t="str">
        <f t="shared" si="251"/>
        <v/>
      </c>
      <c r="O3175" s="33" t="str">
        <f t="shared" si="252"/>
        <v/>
      </c>
      <c r="P3175" s="33" t="str">
        <f t="shared" si="253"/>
        <v/>
      </c>
    </row>
    <row r="3176" spans="9:16">
      <c r="I3176" s="23" t="str">
        <f>_xlfn.IFNA(VLOOKUP(A3176,A3177:$H$3524,8,0),"")</f>
        <v/>
      </c>
      <c r="J3176" s="40" t="str">
        <f t="shared" si="254"/>
        <v/>
      </c>
      <c r="K3176" s="24" t="str">
        <f t="shared" si="255"/>
        <v/>
      </c>
      <c r="L3176" s="25" t="str">
        <f t="shared" si="251"/>
        <v/>
      </c>
      <c r="O3176" s="33" t="str">
        <f t="shared" si="252"/>
        <v/>
      </c>
      <c r="P3176" s="33" t="str">
        <f t="shared" si="253"/>
        <v/>
      </c>
    </row>
    <row r="3177" spans="9:16">
      <c r="I3177" s="23" t="str">
        <f>_xlfn.IFNA(VLOOKUP(A3177,A3178:$H$3524,8,0),"")</f>
        <v/>
      </c>
      <c r="J3177" s="40" t="str">
        <f t="shared" si="254"/>
        <v/>
      </c>
      <c r="K3177" s="24" t="str">
        <f t="shared" si="255"/>
        <v/>
      </c>
      <c r="L3177" s="25" t="str">
        <f t="shared" si="251"/>
        <v/>
      </c>
      <c r="O3177" s="33" t="str">
        <f t="shared" si="252"/>
        <v/>
      </c>
      <c r="P3177" s="33" t="str">
        <f t="shared" si="253"/>
        <v/>
      </c>
    </row>
    <row r="3178" spans="9:16">
      <c r="I3178" s="23" t="str">
        <f>_xlfn.IFNA(VLOOKUP(A3178,A3179:$H$3524,8,0),"")</f>
        <v/>
      </c>
      <c r="J3178" s="40" t="str">
        <f t="shared" si="254"/>
        <v/>
      </c>
      <c r="K3178" s="24" t="str">
        <f t="shared" si="255"/>
        <v/>
      </c>
      <c r="L3178" s="25" t="str">
        <f t="shared" si="251"/>
        <v/>
      </c>
      <c r="O3178" s="33" t="str">
        <f t="shared" si="252"/>
        <v/>
      </c>
      <c r="P3178" s="33" t="str">
        <f t="shared" si="253"/>
        <v/>
      </c>
    </row>
    <row r="3179" spans="9:16">
      <c r="I3179" s="23" t="str">
        <f>_xlfn.IFNA(VLOOKUP(A3179,A3180:$H$3524,8,0),"")</f>
        <v/>
      </c>
      <c r="J3179" s="40" t="str">
        <f t="shared" si="254"/>
        <v/>
      </c>
      <c r="K3179" s="24" t="str">
        <f t="shared" si="255"/>
        <v/>
      </c>
      <c r="L3179" s="25" t="str">
        <f t="shared" si="251"/>
        <v/>
      </c>
      <c r="O3179" s="33" t="str">
        <f t="shared" si="252"/>
        <v/>
      </c>
      <c r="P3179" s="33" t="str">
        <f t="shared" si="253"/>
        <v/>
      </c>
    </row>
    <row r="3180" spans="9:16">
      <c r="I3180" s="23" t="str">
        <f>_xlfn.IFNA(VLOOKUP(A3180,A3181:$H$3524,8,0),"")</f>
        <v/>
      </c>
      <c r="J3180" s="40" t="str">
        <f t="shared" si="254"/>
        <v/>
      </c>
      <c r="K3180" s="24" t="str">
        <f t="shared" si="255"/>
        <v/>
      </c>
      <c r="L3180" s="25" t="str">
        <f t="shared" si="251"/>
        <v/>
      </c>
      <c r="O3180" s="33" t="str">
        <f t="shared" si="252"/>
        <v/>
      </c>
      <c r="P3180" s="33" t="str">
        <f t="shared" si="253"/>
        <v/>
      </c>
    </row>
    <row r="3181" spans="9:16">
      <c r="I3181" s="23" t="str">
        <f>_xlfn.IFNA(VLOOKUP(A3181,A3182:$H$3524,8,0),"")</f>
        <v/>
      </c>
      <c r="J3181" s="40" t="str">
        <f t="shared" si="254"/>
        <v/>
      </c>
      <c r="K3181" s="24" t="str">
        <f t="shared" si="255"/>
        <v/>
      </c>
      <c r="L3181" s="25" t="str">
        <f t="shared" si="251"/>
        <v/>
      </c>
      <c r="O3181" s="33" t="str">
        <f t="shared" si="252"/>
        <v/>
      </c>
      <c r="P3181" s="33" t="str">
        <f t="shared" si="253"/>
        <v/>
      </c>
    </row>
    <row r="3182" spans="9:16">
      <c r="I3182" s="23" t="str">
        <f>_xlfn.IFNA(VLOOKUP(A3182,A3183:$H$3524,8,0),"")</f>
        <v/>
      </c>
      <c r="J3182" s="40" t="str">
        <f t="shared" si="254"/>
        <v/>
      </c>
      <c r="K3182" s="24" t="str">
        <f t="shared" si="255"/>
        <v/>
      </c>
      <c r="L3182" s="25" t="str">
        <f t="shared" si="251"/>
        <v/>
      </c>
      <c r="O3182" s="33" t="str">
        <f t="shared" si="252"/>
        <v/>
      </c>
      <c r="P3182" s="33" t="str">
        <f t="shared" si="253"/>
        <v/>
      </c>
    </row>
    <row r="3183" spans="9:16">
      <c r="I3183" s="23" t="str">
        <f>_xlfn.IFNA(VLOOKUP(A3183,A3184:$H$3524,8,0),"")</f>
        <v/>
      </c>
      <c r="J3183" s="40" t="str">
        <f t="shared" si="254"/>
        <v/>
      </c>
      <c r="K3183" s="24" t="str">
        <f t="shared" si="255"/>
        <v/>
      </c>
      <c r="L3183" s="25" t="str">
        <f t="shared" si="251"/>
        <v/>
      </c>
      <c r="O3183" s="33" t="str">
        <f t="shared" si="252"/>
        <v/>
      </c>
      <c r="P3183" s="33" t="str">
        <f t="shared" si="253"/>
        <v/>
      </c>
    </row>
    <row r="3184" spans="9:16">
      <c r="I3184" s="23" t="str">
        <f>_xlfn.IFNA(VLOOKUP(A3184,A3185:$H$3524,8,0),"")</f>
        <v/>
      </c>
      <c r="J3184" s="40" t="str">
        <f t="shared" si="254"/>
        <v/>
      </c>
      <c r="K3184" s="24" t="str">
        <f t="shared" si="255"/>
        <v/>
      </c>
      <c r="L3184" s="25" t="str">
        <f t="shared" si="251"/>
        <v/>
      </c>
      <c r="O3184" s="33" t="str">
        <f t="shared" si="252"/>
        <v/>
      </c>
      <c r="P3184" s="33" t="str">
        <f t="shared" si="253"/>
        <v/>
      </c>
    </row>
    <row r="3185" spans="9:16">
      <c r="I3185" s="23" t="str">
        <f>_xlfn.IFNA(VLOOKUP(A3185,A3186:$H$3524,8,0),"")</f>
        <v/>
      </c>
      <c r="J3185" s="40" t="str">
        <f t="shared" si="254"/>
        <v/>
      </c>
      <c r="K3185" s="24" t="str">
        <f t="shared" si="255"/>
        <v/>
      </c>
      <c r="L3185" s="25" t="str">
        <f t="shared" si="251"/>
        <v/>
      </c>
      <c r="O3185" s="33" t="str">
        <f t="shared" si="252"/>
        <v/>
      </c>
      <c r="P3185" s="33" t="str">
        <f t="shared" si="253"/>
        <v/>
      </c>
    </row>
    <row r="3186" spans="9:16">
      <c r="I3186" s="23" t="str">
        <f>_xlfn.IFNA(VLOOKUP(A3186,A3187:$H$3524,8,0),"")</f>
        <v/>
      </c>
      <c r="J3186" s="40" t="str">
        <f t="shared" si="254"/>
        <v/>
      </c>
      <c r="K3186" s="24" t="str">
        <f t="shared" si="255"/>
        <v/>
      </c>
      <c r="L3186" s="25" t="str">
        <f t="shared" si="251"/>
        <v/>
      </c>
      <c r="O3186" s="33" t="str">
        <f t="shared" si="252"/>
        <v/>
      </c>
      <c r="P3186" s="33" t="str">
        <f t="shared" si="253"/>
        <v/>
      </c>
    </row>
    <row r="3187" spans="9:16">
      <c r="I3187" s="23" t="str">
        <f>_xlfn.IFNA(VLOOKUP(A3187,A3188:$H$3524,8,0),"")</f>
        <v/>
      </c>
      <c r="J3187" s="40" t="str">
        <f t="shared" si="254"/>
        <v/>
      </c>
      <c r="K3187" s="24" t="str">
        <f t="shared" si="255"/>
        <v/>
      </c>
      <c r="L3187" s="25" t="str">
        <f t="shared" si="251"/>
        <v/>
      </c>
      <c r="O3187" s="33" t="str">
        <f t="shared" si="252"/>
        <v/>
      </c>
      <c r="P3187" s="33" t="str">
        <f t="shared" si="253"/>
        <v/>
      </c>
    </row>
    <row r="3188" spans="9:16">
      <c r="I3188" s="23" t="str">
        <f>_xlfn.IFNA(VLOOKUP(A3188,A3189:$H$3524,8,0),"")</f>
        <v/>
      </c>
      <c r="J3188" s="40" t="str">
        <f t="shared" si="254"/>
        <v/>
      </c>
      <c r="K3188" s="24" t="str">
        <f t="shared" si="255"/>
        <v/>
      </c>
      <c r="L3188" s="25" t="str">
        <f t="shared" si="251"/>
        <v/>
      </c>
      <c r="O3188" s="33" t="str">
        <f t="shared" si="252"/>
        <v/>
      </c>
      <c r="P3188" s="33" t="str">
        <f t="shared" si="253"/>
        <v/>
      </c>
    </row>
    <row r="3189" spans="9:16">
      <c r="I3189" s="23" t="str">
        <f>_xlfn.IFNA(VLOOKUP(A3189,A3190:$H$3524,8,0),"")</f>
        <v/>
      </c>
      <c r="J3189" s="40" t="str">
        <f t="shared" si="254"/>
        <v/>
      </c>
      <c r="K3189" s="24" t="str">
        <f t="shared" si="255"/>
        <v/>
      </c>
      <c r="L3189" s="25" t="str">
        <f t="shared" si="251"/>
        <v/>
      </c>
      <c r="O3189" s="33" t="str">
        <f t="shared" si="252"/>
        <v/>
      </c>
      <c r="P3189" s="33" t="str">
        <f t="shared" si="253"/>
        <v/>
      </c>
    </row>
    <row r="3190" spans="9:16">
      <c r="I3190" s="23" t="str">
        <f>_xlfn.IFNA(VLOOKUP(A3190,A3191:$H$3524,8,0),"")</f>
        <v/>
      </c>
      <c r="J3190" s="40" t="str">
        <f t="shared" si="254"/>
        <v/>
      </c>
      <c r="K3190" s="24" t="str">
        <f t="shared" si="255"/>
        <v/>
      </c>
      <c r="L3190" s="25" t="str">
        <f t="shared" si="251"/>
        <v/>
      </c>
      <c r="O3190" s="33" t="str">
        <f t="shared" si="252"/>
        <v/>
      </c>
      <c r="P3190" s="33" t="str">
        <f t="shared" si="253"/>
        <v/>
      </c>
    </row>
    <row r="3191" spans="9:16">
      <c r="I3191" s="23" t="str">
        <f>_xlfn.IFNA(VLOOKUP(A3191,A3192:$H$3524,8,0),"")</f>
        <v/>
      </c>
      <c r="J3191" s="40" t="str">
        <f t="shared" si="254"/>
        <v/>
      </c>
      <c r="K3191" s="24" t="str">
        <f t="shared" si="255"/>
        <v/>
      </c>
      <c r="L3191" s="25" t="str">
        <f t="shared" ref="L3191:L3254" si="256">IF(K3191="","",IF(B3191="Break","Break",IF(K3191&lt;&gt;0,"Work Finished",IF(B3191="OFF","Work Finished",IF(I3191="","Working","Work Finished")))))</f>
        <v/>
      </c>
      <c r="O3191" s="33" t="str">
        <f t="shared" ref="O3191:O3254" si="257">IF(AND(J3191="",M3191="",N3191=""),"",J3191-M3191-N3191)</f>
        <v/>
      </c>
      <c r="P3191" s="33" t="str">
        <f t="shared" ref="P3191:P3254" si="258">IF(HOUR(H3191)=0,"",HOUR(H3191))</f>
        <v/>
      </c>
    </row>
    <row r="3192" spans="9:16">
      <c r="I3192" s="23" t="str">
        <f>_xlfn.IFNA(VLOOKUP(A3192,A3193:$H$3524,8,0),"")</f>
        <v/>
      </c>
      <c r="J3192" s="40" t="str">
        <f t="shared" si="254"/>
        <v/>
      </c>
      <c r="K3192" s="24" t="str">
        <f t="shared" si="255"/>
        <v/>
      </c>
      <c r="L3192" s="25" t="str">
        <f t="shared" si="256"/>
        <v/>
      </c>
      <c r="O3192" s="33" t="str">
        <f t="shared" si="257"/>
        <v/>
      </c>
      <c r="P3192" s="33" t="str">
        <f t="shared" si="258"/>
        <v/>
      </c>
    </row>
    <row r="3193" spans="9:16">
      <c r="I3193" s="23" t="str">
        <f>_xlfn.IFNA(VLOOKUP(A3193,A3194:$H$3524,8,0),"")</f>
        <v/>
      </c>
      <c r="J3193" s="40" t="str">
        <f t="shared" si="254"/>
        <v/>
      </c>
      <c r="K3193" s="24" t="str">
        <f t="shared" si="255"/>
        <v/>
      </c>
      <c r="L3193" s="25" t="str">
        <f t="shared" si="256"/>
        <v/>
      </c>
      <c r="O3193" s="33" t="str">
        <f t="shared" si="257"/>
        <v/>
      </c>
      <c r="P3193" s="33" t="str">
        <f t="shared" si="258"/>
        <v/>
      </c>
    </row>
    <row r="3194" spans="9:16">
      <c r="I3194" s="23" t="str">
        <f>_xlfn.IFNA(VLOOKUP(A3194,A3195:$H$3524,8,0),"")</f>
        <v/>
      </c>
      <c r="J3194" s="40" t="str">
        <f t="shared" si="254"/>
        <v/>
      </c>
      <c r="K3194" s="24" t="str">
        <f t="shared" si="255"/>
        <v/>
      </c>
      <c r="L3194" s="25" t="str">
        <f t="shared" si="256"/>
        <v/>
      </c>
      <c r="O3194" s="33" t="str">
        <f t="shared" si="257"/>
        <v/>
      </c>
      <c r="P3194" s="33" t="str">
        <f t="shared" si="258"/>
        <v/>
      </c>
    </row>
    <row r="3195" spans="9:16">
      <c r="I3195" s="23" t="str">
        <f>_xlfn.IFNA(VLOOKUP(A3195,A3196:$H$3524,8,0),"")</f>
        <v/>
      </c>
      <c r="J3195" s="40" t="str">
        <f t="shared" si="254"/>
        <v/>
      </c>
      <c r="K3195" s="24" t="str">
        <f t="shared" si="255"/>
        <v/>
      </c>
      <c r="L3195" s="25" t="str">
        <f t="shared" si="256"/>
        <v/>
      </c>
      <c r="O3195" s="33" t="str">
        <f t="shared" si="257"/>
        <v/>
      </c>
      <c r="P3195" s="33" t="str">
        <f t="shared" si="258"/>
        <v/>
      </c>
    </row>
    <row r="3196" spans="9:16">
      <c r="I3196" s="23" t="str">
        <f>_xlfn.IFNA(VLOOKUP(A3196,A3197:$H$3524,8,0),"")</f>
        <v/>
      </c>
      <c r="J3196" s="40" t="str">
        <f t="shared" si="254"/>
        <v/>
      </c>
      <c r="K3196" s="24" t="str">
        <f t="shared" si="255"/>
        <v/>
      </c>
      <c r="L3196" s="25" t="str">
        <f t="shared" si="256"/>
        <v/>
      </c>
      <c r="O3196" s="33" t="str">
        <f t="shared" si="257"/>
        <v/>
      </c>
      <c r="P3196" s="33" t="str">
        <f t="shared" si="258"/>
        <v/>
      </c>
    </row>
    <row r="3197" spans="9:16">
      <c r="I3197" s="23" t="str">
        <f>_xlfn.IFNA(VLOOKUP(A3197,A3198:$H$3524,8,0),"")</f>
        <v/>
      </c>
      <c r="J3197" s="40" t="str">
        <f t="shared" si="254"/>
        <v/>
      </c>
      <c r="K3197" s="24" t="str">
        <f t="shared" si="255"/>
        <v/>
      </c>
      <c r="L3197" s="25" t="str">
        <f t="shared" si="256"/>
        <v/>
      </c>
      <c r="O3197" s="33" t="str">
        <f t="shared" si="257"/>
        <v/>
      </c>
      <c r="P3197" s="33" t="str">
        <f t="shared" si="258"/>
        <v/>
      </c>
    </row>
    <row r="3198" spans="9:16">
      <c r="I3198" s="23" t="str">
        <f>_xlfn.IFNA(VLOOKUP(A3198,A3199:$H$3524,8,0),"")</f>
        <v/>
      </c>
      <c r="J3198" s="40" t="str">
        <f t="shared" si="254"/>
        <v/>
      </c>
      <c r="K3198" s="24" t="str">
        <f t="shared" si="255"/>
        <v/>
      </c>
      <c r="L3198" s="25" t="str">
        <f t="shared" si="256"/>
        <v/>
      </c>
      <c r="O3198" s="33" t="str">
        <f t="shared" si="257"/>
        <v/>
      </c>
      <c r="P3198" s="33" t="str">
        <f t="shared" si="258"/>
        <v/>
      </c>
    </row>
    <row r="3199" spans="9:16">
      <c r="I3199" s="23" t="str">
        <f>_xlfn.IFNA(VLOOKUP(A3199,A3200:$H$3524,8,0),"")</f>
        <v/>
      </c>
      <c r="J3199" s="40" t="str">
        <f t="shared" si="254"/>
        <v/>
      </c>
      <c r="K3199" s="24" t="str">
        <f t="shared" si="255"/>
        <v/>
      </c>
      <c r="L3199" s="25" t="str">
        <f t="shared" si="256"/>
        <v/>
      </c>
      <c r="O3199" s="33" t="str">
        <f t="shared" si="257"/>
        <v/>
      </c>
      <c r="P3199" s="33" t="str">
        <f t="shared" si="258"/>
        <v/>
      </c>
    </row>
    <row r="3200" spans="9:16">
      <c r="I3200" s="23" t="str">
        <f>_xlfn.IFNA(VLOOKUP(A3200,A3201:$H$3524,8,0),"")</f>
        <v/>
      </c>
      <c r="J3200" s="40" t="str">
        <f t="shared" si="254"/>
        <v/>
      </c>
      <c r="K3200" s="24" t="str">
        <f t="shared" si="255"/>
        <v/>
      </c>
      <c r="L3200" s="25" t="str">
        <f t="shared" si="256"/>
        <v/>
      </c>
      <c r="O3200" s="33" t="str">
        <f t="shared" si="257"/>
        <v/>
      </c>
      <c r="P3200" s="33" t="str">
        <f t="shared" si="258"/>
        <v/>
      </c>
    </row>
    <row r="3201" spans="9:16">
      <c r="I3201" s="23" t="str">
        <f>_xlfn.IFNA(VLOOKUP(A3201,A3202:$H$3524,8,0),"")</f>
        <v/>
      </c>
      <c r="J3201" s="40" t="str">
        <f t="shared" si="254"/>
        <v/>
      </c>
      <c r="K3201" s="24" t="str">
        <f t="shared" si="255"/>
        <v/>
      </c>
      <c r="L3201" s="25" t="str">
        <f t="shared" si="256"/>
        <v/>
      </c>
      <c r="O3201" s="33" t="str">
        <f t="shared" si="257"/>
        <v/>
      </c>
      <c r="P3201" s="33" t="str">
        <f t="shared" si="258"/>
        <v/>
      </c>
    </row>
    <row r="3202" spans="9:16">
      <c r="I3202" s="23" t="str">
        <f>_xlfn.IFNA(VLOOKUP(A3202,A3203:$H$3524,8,0),"")</f>
        <v/>
      </c>
      <c r="J3202" s="40" t="str">
        <f t="shared" si="254"/>
        <v/>
      </c>
      <c r="K3202" s="24" t="str">
        <f t="shared" si="255"/>
        <v/>
      </c>
      <c r="L3202" s="25" t="str">
        <f t="shared" si="256"/>
        <v/>
      </c>
      <c r="O3202" s="33" t="str">
        <f t="shared" si="257"/>
        <v/>
      </c>
      <c r="P3202" s="33" t="str">
        <f t="shared" si="258"/>
        <v/>
      </c>
    </row>
    <row r="3203" spans="9:16">
      <c r="I3203" s="23" t="str">
        <f>_xlfn.IFNA(VLOOKUP(A3203,A3204:$H$3524,8,0),"")</f>
        <v/>
      </c>
      <c r="J3203" s="40" t="str">
        <f t="shared" si="254"/>
        <v/>
      </c>
      <c r="K3203" s="24" t="str">
        <f t="shared" si="255"/>
        <v/>
      </c>
      <c r="L3203" s="25" t="str">
        <f t="shared" si="256"/>
        <v/>
      </c>
      <c r="O3203" s="33" t="str">
        <f t="shared" si="257"/>
        <v/>
      </c>
      <c r="P3203" s="33" t="str">
        <f t="shared" si="258"/>
        <v/>
      </c>
    </row>
    <row r="3204" spans="9:16">
      <c r="I3204" s="23" t="str">
        <f>_xlfn.IFNA(VLOOKUP(A3204,A3205:$H$3524,8,0),"")</f>
        <v/>
      </c>
      <c r="J3204" s="40" t="str">
        <f t="shared" si="254"/>
        <v/>
      </c>
      <c r="K3204" s="24" t="str">
        <f t="shared" si="255"/>
        <v/>
      </c>
      <c r="L3204" s="25" t="str">
        <f t="shared" si="256"/>
        <v/>
      </c>
      <c r="O3204" s="33" t="str">
        <f t="shared" si="257"/>
        <v/>
      </c>
      <c r="P3204" s="33" t="str">
        <f t="shared" si="258"/>
        <v/>
      </c>
    </row>
    <row r="3205" spans="9:16">
      <c r="I3205" s="23" t="str">
        <f>_xlfn.IFNA(VLOOKUP(A3205,A3206:$H$3524,8,0),"")</f>
        <v/>
      </c>
      <c r="J3205" s="40" t="str">
        <f t="shared" si="254"/>
        <v/>
      </c>
      <c r="K3205" s="24" t="str">
        <f t="shared" si="255"/>
        <v/>
      </c>
      <c r="L3205" s="25" t="str">
        <f t="shared" si="256"/>
        <v/>
      </c>
      <c r="O3205" s="33" t="str">
        <f t="shared" si="257"/>
        <v/>
      </c>
      <c r="P3205" s="33" t="str">
        <f t="shared" si="258"/>
        <v/>
      </c>
    </row>
    <row r="3206" spans="9:16">
      <c r="I3206" s="23" t="str">
        <f>_xlfn.IFNA(VLOOKUP(A3206,A3207:$H$3524,8,0),"")</f>
        <v/>
      </c>
      <c r="J3206" s="40" t="str">
        <f t="shared" ref="J3206:J3269" si="259">IF(B3206="OFF",0,IF(AND(D3206&lt;&gt;"",E3206&lt;&gt;""),E3206-D3206+1,""))</f>
        <v/>
      </c>
      <c r="K3206" s="24" t="str">
        <f t="shared" si="255"/>
        <v/>
      </c>
      <c r="L3206" s="25" t="str">
        <f t="shared" si="256"/>
        <v/>
      </c>
      <c r="O3206" s="33" t="str">
        <f t="shared" si="257"/>
        <v/>
      </c>
      <c r="P3206" s="33" t="str">
        <f t="shared" si="258"/>
        <v/>
      </c>
    </row>
    <row r="3207" spans="9:16">
      <c r="I3207" s="23" t="str">
        <f>_xlfn.IFNA(VLOOKUP(A3207,A3208:$H$3524,8,0),"")</f>
        <v/>
      </c>
      <c r="J3207" s="40" t="str">
        <f t="shared" si="259"/>
        <v/>
      </c>
      <c r="K3207" s="24" t="str">
        <f t="shared" si="255"/>
        <v/>
      </c>
      <c r="L3207" s="25" t="str">
        <f t="shared" si="256"/>
        <v/>
      </c>
      <c r="O3207" s="33" t="str">
        <f t="shared" si="257"/>
        <v/>
      </c>
      <c r="P3207" s="33" t="str">
        <f t="shared" si="258"/>
        <v/>
      </c>
    </row>
    <row r="3208" spans="9:16">
      <c r="I3208" s="23" t="str">
        <f>_xlfn.IFNA(VLOOKUP(A3208,A3209:$H$3524,8,0),"")</f>
        <v/>
      </c>
      <c r="J3208" s="40" t="str">
        <f t="shared" si="259"/>
        <v/>
      </c>
      <c r="K3208" s="24" t="str">
        <f t="shared" si="255"/>
        <v/>
      </c>
      <c r="L3208" s="25" t="str">
        <f t="shared" si="256"/>
        <v/>
      </c>
      <c r="O3208" s="33" t="str">
        <f t="shared" si="257"/>
        <v/>
      </c>
      <c r="P3208" s="33" t="str">
        <f t="shared" si="258"/>
        <v/>
      </c>
    </row>
    <row r="3209" spans="9:16">
      <c r="I3209" s="23" t="str">
        <f>_xlfn.IFNA(VLOOKUP(A3209,A3210:$H$3524,8,0),"")</f>
        <v/>
      </c>
      <c r="J3209" s="40" t="str">
        <f t="shared" si="259"/>
        <v/>
      </c>
      <c r="K3209" s="24" t="str">
        <f t="shared" si="255"/>
        <v/>
      </c>
      <c r="L3209" s="25" t="str">
        <f t="shared" si="256"/>
        <v/>
      </c>
      <c r="O3209" s="33" t="str">
        <f t="shared" si="257"/>
        <v/>
      </c>
      <c r="P3209" s="33" t="str">
        <f t="shared" si="258"/>
        <v/>
      </c>
    </row>
    <row r="3210" spans="9:16">
      <c r="I3210" s="23" t="str">
        <f>_xlfn.IFNA(VLOOKUP(A3210,A3211:$H$3524,8,0),"")</f>
        <v/>
      </c>
      <c r="J3210" s="40" t="str">
        <f t="shared" si="259"/>
        <v/>
      </c>
      <c r="K3210" s="24" t="str">
        <f t="shared" si="255"/>
        <v/>
      </c>
      <c r="L3210" s="25" t="str">
        <f t="shared" si="256"/>
        <v/>
      </c>
      <c r="O3210" s="33" t="str">
        <f t="shared" si="257"/>
        <v/>
      </c>
      <c r="P3210" s="33" t="str">
        <f t="shared" si="258"/>
        <v/>
      </c>
    </row>
    <row r="3211" spans="9:16">
      <c r="I3211" s="23" t="str">
        <f>_xlfn.IFNA(VLOOKUP(A3211,A3212:$H$3524,8,0),"")</f>
        <v/>
      </c>
      <c r="J3211" s="40" t="str">
        <f t="shared" si="259"/>
        <v/>
      </c>
      <c r="K3211" s="24" t="str">
        <f t="shared" si="255"/>
        <v/>
      </c>
      <c r="L3211" s="25" t="str">
        <f t="shared" si="256"/>
        <v/>
      </c>
      <c r="O3211" s="33" t="str">
        <f t="shared" si="257"/>
        <v/>
      </c>
      <c r="P3211" s="33" t="str">
        <f t="shared" si="258"/>
        <v/>
      </c>
    </row>
    <row r="3212" spans="9:16">
      <c r="I3212" s="23" t="str">
        <f>_xlfn.IFNA(VLOOKUP(A3212,A3213:$H$3524,8,0),"")</f>
        <v/>
      </c>
      <c r="J3212" s="40" t="str">
        <f t="shared" si="259"/>
        <v/>
      </c>
      <c r="K3212" s="24" t="str">
        <f t="shared" si="255"/>
        <v/>
      </c>
      <c r="L3212" s="25" t="str">
        <f t="shared" si="256"/>
        <v/>
      </c>
      <c r="O3212" s="33" t="str">
        <f t="shared" si="257"/>
        <v/>
      </c>
      <c r="P3212" s="33" t="str">
        <f t="shared" si="258"/>
        <v/>
      </c>
    </row>
    <row r="3213" spans="9:16">
      <c r="I3213" s="23" t="str">
        <f>_xlfn.IFNA(VLOOKUP(A3213,A3214:$H$3524,8,0),"")</f>
        <v/>
      </c>
      <c r="J3213" s="40" t="str">
        <f t="shared" si="259"/>
        <v/>
      </c>
      <c r="K3213" s="24" t="str">
        <f t="shared" si="255"/>
        <v/>
      </c>
      <c r="L3213" s="25" t="str">
        <f t="shared" si="256"/>
        <v/>
      </c>
      <c r="O3213" s="33" t="str">
        <f t="shared" si="257"/>
        <v/>
      </c>
      <c r="P3213" s="33" t="str">
        <f t="shared" si="258"/>
        <v/>
      </c>
    </row>
    <row r="3214" spans="9:16">
      <c r="I3214" s="23" t="str">
        <f>_xlfn.IFNA(VLOOKUP(A3214,A3215:$H$3524,8,0),"")</f>
        <v/>
      </c>
      <c r="J3214" s="40" t="str">
        <f t="shared" si="259"/>
        <v/>
      </c>
      <c r="K3214" s="24" t="str">
        <f t="shared" si="255"/>
        <v/>
      </c>
      <c r="L3214" s="25" t="str">
        <f t="shared" si="256"/>
        <v/>
      </c>
      <c r="O3214" s="33" t="str">
        <f t="shared" si="257"/>
        <v/>
      </c>
      <c r="P3214" s="33" t="str">
        <f t="shared" si="258"/>
        <v/>
      </c>
    </row>
    <row r="3215" spans="9:16">
      <c r="I3215" s="23" t="str">
        <f>_xlfn.IFNA(VLOOKUP(A3215,A3216:$H$3524,8,0),"")</f>
        <v/>
      </c>
      <c r="J3215" s="40" t="str">
        <f t="shared" si="259"/>
        <v/>
      </c>
      <c r="K3215" s="24" t="str">
        <f t="shared" si="255"/>
        <v/>
      </c>
      <c r="L3215" s="25" t="str">
        <f t="shared" si="256"/>
        <v/>
      </c>
      <c r="O3215" s="33" t="str">
        <f t="shared" si="257"/>
        <v/>
      </c>
      <c r="P3215" s="33" t="str">
        <f t="shared" si="258"/>
        <v/>
      </c>
    </row>
    <row r="3216" spans="9:16">
      <c r="I3216" s="23" t="str">
        <f>_xlfn.IFNA(VLOOKUP(A3216,A3217:$H$3524,8,0),"")</f>
        <v/>
      </c>
      <c r="J3216" s="40" t="str">
        <f t="shared" si="259"/>
        <v/>
      </c>
      <c r="K3216" s="24" t="str">
        <f t="shared" si="255"/>
        <v/>
      </c>
      <c r="L3216" s="25" t="str">
        <f t="shared" si="256"/>
        <v/>
      </c>
      <c r="O3216" s="33" t="str">
        <f t="shared" si="257"/>
        <v/>
      </c>
      <c r="P3216" s="33" t="str">
        <f t="shared" si="258"/>
        <v/>
      </c>
    </row>
    <row r="3217" spans="9:16">
      <c r="I3217" s="23" t="str">
        <f>_xlfn.IFNA(VLOOKUP(A3217,A3218:$H$3524,8,0),"")</f>
        <v/>
      </c>
      <c r="J3217" s="40" t="str">
        <f t="shared" si="259"/>
        <v/>
      </c>
      <c r="K3217" s="24" t="str">
        <f t="shared" si="255"/>
        <v/>
      </c>
      <c r="L3217" s="25" t="str">
        <f t="shared" si="256"/>
        <v/>
      </c>
      <c r="O3217" s="33" t="str">
        <f t="shared" si="257"/>
        <v/>
      </c>
      <c r="P3217" s="33" t="str">
        <f t="shared" si="258"/>
        <v/>
      </c>
    </row>
    <row r="3218" spans="9:16">
      <c r="I3218" s="23" t="str">
        <f>_xlfn.IFNA(VLOOKUP(A3218,A3219:$H$3524,8,0),"")</f>
        <v/>
      </c>
      <c r="J3218" s="40" t="str">
        <f t="shared" si="259"/>
        <v/>
      </c>
      <c r="K3218" s="24" t="str">
        <f t="shared" si="255"/>
        <v/>
      </c>
      <c r="L3218" s="25" t="str">
        <f t="shared" si="256"/>
        <v/>
      </c>
      <c r="O3218" s="33" t="str">
        <f t="shared" si="257"/>
        <v/>
      </c>
      <c r="P3218" s="33" t="str">
        <f t="shared" si="258"/>
        <v/>
      </c>
    </row>
    <row r="3219" spans="9:16">
      <c r="I3219" s="23" t="str">
        <f>_xlfn.IFNA(VLOOKUP(A3219,A3220:$H$3524,8,0),"")</f>
        <v/>
      </c>
      <c r="J3219" s="40" t="str">
        <f t="shared" si="259"/>
        <v/>
      </c>
      <c r="K3219" s="24" t="str">
        <f t="shared" si="255"/>
        <v/>
      </c>
      <c r="L3219" s="25" t="str">
        <f t="shared" si="256"/>
        <v/>
      </c>
      <c r="O3219" s="33" t="str">
        <f t="shared" si="257"/>
        <v/>
      </c>
      <c r="P3219" s="33" t="str">
        <f t="shared" si="258"/>
        <v/>
      </c>
    </row>
    <row r="3220" spans="9:16">
      <c r="I3220" s="23" t="str">
        <f>_xlfn.IFNA(VLOOKUP(A3220,A3221:$H$3524,8,0),"")</f>
        <v/>
      </c>
      <c r="J3220" s="40" t="str">
        <f t="shared" si="259"/>
        <v/>
      </c>
      <c r="K3220" s="24" t="str">
        <f t="shared" si="255"/>
        <v/>
      </c>
      <c r="L3220" s="25" t="str">
        <f t="shared" si="256"/>
        <v/>
      </c>
      <c r="O3220" s="33" t="str">
        <f t="shared" si="257"/>
        <v/>
      </c>
      <c r="P3220" s="33" t="str">
        <f t="shared" si="258"/>
        <v/>
      </c>
    </row>
    <row r="3221" spans="9:16">
      <c r="I3221" s="23" t="str">
        <f>_xlfn.IFNA(VLOOKUP(A3221,A3222:$H$3524,8,0),"")</f>
        <v/>
      </c>
      <c r="J3221" s="40" t="str">
        <f t="shared" si="259"/>
        <v/>
      </c>
      <c r="K3221" s="24" t="str">
        <f t="shared" si="255"/>
        <v/>
      </c>
      <c r="L3221" s="25" t="str">
        <f t="shared" si="256"/>
        <v/>
      </c>
      <c r="O3221" s="33" t="str">
        <f t="shared" si="257"/>
        <v/>
      </c>
      <c r="P3221" s="33" t="str">
        <f t="shared" si="258"/>
        <v/>
      </c>
    </row>
    <row r="3222" spans="9:16">
      <c r="I3222" s="23" t="str">
        <f>_xlfn.IFNA(VLOOKUP(A3222,A3223:$H$3524,8,0),"")</f>
        <v/>
      </c>
      <c r="J3222" s="40" t="str">
        <f t="shared" si="259"/>
        <v/>
      </c>
      <c r="K3222" s="24" t="str">
        <f t="shared" ref="K3222:K3285" si="260">IF(H3222="","",IFERROR((I3222-H3222)*24,0))</f>
        <v/>
      </c>
      <c r="L3222" s="25" t="str">
        <f t="shared" si="256"/>
        <v/>
      </c>
      <c r="O3222" s="33" t="str">
        <f t="shared" si="257"/>
        <v/>
      </c>
      <c r="P3222" s="33" t="str">
        <f t="shared" si="258"/>
        <v/>
      </c>
    </row>
    <row r="3223" spans="9:16">
      <c r="I3223" s="23" t="str">
        <f>_xlfn.IFNA(VLOOKUP(A3223,A3224:$H$3524,8,0),"")</f>
        <v/>
      </c>
      <c r="J3223" s="40" t="str">
        <f t="shared" si="259"/>
        <v/>
      </c>
      <c r="K3223" s="24" t="str">
        <f t="shared" si="260"/>
        <v/>
      </c>
      <c r="L3223" s="25" t="str">
        <f t="shared" si="256"/>
        <v/>
      </c>
      <c r="O3223" s="33" t="str">
        <f t="shared" si="257"/>
        <v/>
      </c>
      <c r="P3223" s="33" t="str">
        <f t="shared" si="258"/>
        <v/>
      </c>
    </row>
    <row r="3224" spans="9:16">
      <c r="I3224" s="23" t="str">
        <f>_xlfn.IFNA(VLOOKUP(A3224,A3225:$H$3524,8,0),"")</f>
        <v/>
      </c>
      <c r="J3224" s="40" t="str">
        <f t="shared" si="259"/>
        <v/>
      </c>
      <c r="K3224" s="24" t="str">
        <f t="shared" si="260"/>
        <v/>
      </c>
      <c r="L3224" s="25" t="str">
        <f t="shared" si="256"/>
        <v/>
      </c>
      <c r="O3224" s="33" t="str">
        <f t="shared" si="257"/>
        <v/>
      </c>
      <c r="P3224" s="33" t="str">
        <f t="shared" si="258"/>
        <v/>
      </c>
    </row>
    <row r="3225" spans="9:16">
      <c r="I3225" s="23" t="str">
        <f>_xlfn.IFNA(VLOOKUP(A3225,A3226:$H$3524,8,0),"")</f>
        <v/>
      </c>
      <c r="J3225" s="40" t="str">
        <f t="shared" si="259"/>
        <v/>
      </c>
      <c r="K3225" s="24" t="str">
        <f t="shared" si="260"/>
        <v/>
      </c>
      <c r="L3225" s="25" t="str">
        <f t="shared" si="256"/>
        <v/>
      </c>
      <c r="O3225" s="33" t="str">
        <f t="shared" si="257"/>
        <v/>
      </c>
      <c r="P3225" s="33" t="str">
        <f t="shared" si="258"/>
        <v/>
      </c>
    </row>
    <row r="3226" spans="9:16">
      <c r="I3226" s="23" t="str">
        <f>_xlfn.IFNA(VLOOKUP(A3226,A3227:$H$3524,8,0),"")</f>
        <v/>
      </c>
      <c r="J3226" s="40" t="str">
        <f t="shared" si="259"/>
        <v/>
      </c>
      <c r="K3226" s="24" t="str">
        <f t="shared" si="260"/>
        <v/>
      </c>
      <c r="L3226" s="25" t="str">
        <f t="shared" si="256"/>
        <v/>
      </c>
      <c r="O3226" s="33" t="str">
        <f t="shared" si="257"/>
        <v/>
      </c>
      <c r="P3226" s="33" t="str">
        <f t="shared" si="258"/>
        <v/>
      </c>
    </row>
    <row r="3227" spans="9:16">
      <c r="I3227" s="23" t="str">
        <f>_xlfn.IFNA(VLOOKUP(A3227,A3228:$H$3524,8,0),"")</f>
        <v/>
      </c>
      <c r="J3227" s="40" t="str">
        <f t="shared" si="259"/>
        <v/>
      </c>
      <c r="K3227" s="24" t="str">
        <f t="shared" si="260"/>
        <v/>
      </c>
      <c r="L3227" s="25" t="str">
        <f t="shared" si="256"/>
        <v/>
      </c>
      <c r="O3227" s="33" t="str">
        <f t="shared" si="257"/>
        <v/>
      </c>
      <c r="P3227" s="33" t="str">
        <f t="shared" si="258"/>
        <v/>
      </c>
    </row>
    <row r="3228" spans="9:16">
      <c r="I3228" s="23" t="str">
        <f>_xlfn.IFNA(VLOOKUP(A3228,A3229:$H$3524,8,0),"")</f>
        <v/>
      </c>
      <c r="J3228" s="40" t="str">
        <f t="shared" si="259"/>
        <v/>
      </c>
      <c r="K3228" s="24" t="str">
        <f t="shared" si="260"/>
        <v/>
      </c>
      <c r="L3228" s="25" t="str">
        <f t="shared" si="256"/>
        <v/>
      </c>
      <c r="O3228" s="33" t="str">
        <f t="shared" si="257"/>
        <v/>
      </c>
      <c r="P3228" s="33" t="str">
        <f t="shared" si="258"/>
        <v/>
      </c>
    </row>
    <row r="3229" spans="9:16">
      <c r="I3229" s="23" t="str">
        <f>_xlfn.IFNA(VLOOKUP(A3229,A3230:$H$3524,8,0),"")</f>
        <v/>
      </c>
      <c r="J3229" s="40" t="str">
        <f t="shared" si="259"/>
        <v/>
      </c>
      <c r="K3229" s="24" t="str">
        <f t="shared" si="260"/>
        <v/>
      </c>
      <c r="L3229" s="25" t="str">
        <f t="shared" si="256"/>
        <v/>
      </c>
      <c r="O3229" s="33" t="str">
        <f t="shared" si="257"/>
        <v/>
      </c>
      <c r="P3229" s="33" t="str">
        <f t="shared" si="258"/>
        <v/>
      </c>
    </row>
    <row r="3230" spans="9:16">
      <c r="I3230" s="23" t="str">
        <f>_xlfn.IFNA(VLOOKUP(A3230,A3231:$H$3524,8,0),"")</f>
        <v/>
      </c>
      <c r="J3230" s="40" t="str">
        <f t="shared" si="259"/>
        <v/>
      </c>
      <c r="K3230" s="24" t="str">
        <f t="shared" si="260"/>
        <v/>
      </c>
      <c r="L3230" s="25" t="str">
        <f t="shared" si="256"/>
        <v/>
      </c>
      <c r="O3230" s="33" t="str">
        <f t="shared" si="257"/>
        <v/>
      </c>
      <c r="P3230" s="33" t="str">
        <f t="shared" si="258"/>
        <v/>
      </c>
    </row>
    <row r="3231" spans="9:16">
      <c r="I3231" s="23" t="str">
        <f>_xlfn.IFNA(VLOOKUP(A3231,A3232:$H$3524,8,0),"")</f>
        <v/>
      </c>
      <c r="J3231" s="40" t="str">
        <f t="shared" si="259"/>
        <v/>
      </c>
      <c r="K3231" s="24" t="str">
        <f t="shared" si="260"/>
        <v/>
      </c>
      <c r="L3231" s="25" t="str">
        <f t="shared" si="256"/>
        <v/>
      </c>
      <c r="O3231" s="33" t="str">
        <f t="shared" si="257"/>
        <v/>
      </c>
      <c r="P3231" s="33" t="str">
        <f t="shared" si="258"/>
        <v/>
      </c>
    </row>
    <row r="3232" spans="9:16">
      <c r="I3232" s="23" t="str">
        <f>_xlfn.IFNA(VLOOKUP(A3232,A3233:$H$3524,8,0),"")</f>
        <v/>
      </c>
      <c r="J3232" s="40" t="str">
        <f t="shared" si="259"/>
        <v/>
      </c>
      <c r="K3232" s="24" t="str">
        <f t="shared" si="260"/>
        <v/>
      </c>
      <c r="L3232" s="25" t="str">
        <f t="shared" si="256"/>
        <v/>
      </c>
      <c r="O3232" s="33" t="str">
        <f t="shared" si="257"/>
        <v/>
      </c>
      <c r="P3232" s="33" t="str">
        <f t="shared" si="258"/>
        <v/>
      </c>
    </row>
    <row r="3233" spans="9:16">
      <c r="I3233" s="23" t="str">
        <f>_xlfn.IFNA(VLOOKUP(A3233,A3234:$H$3524,8,0),"")</f>
        <v/>
      </c>
      <c r="J3233" s="40" t="str">
        <f t="shared" si="259"/>
        <v/>
      </c>
      <c r="K3233" s="24" t="str">
        <f t="shared" si="260"/>
        <v/>
      </c>
      <c r="L3233" s="25" t="str">
        <f t="shared" si="256"/>
        <v/>
      </c>
      <c r="O3233" s="33" t="str">
        <f t="shared" si="257"/>
        <v/>
      </c>
      <c r="P3233" s="33" t="str">
        <f t="shared" si="258"/>
        <v/>
      </c>
    </row>
    <row r="3234" spans="9:16">
      <c r="I3234" s="23" t="str">
        <f>_xlfn.IFNA(VLOOKUP(A3234,A3235:$H$3524,8,0),"")</f>
        <v/>
      </c>
      <c r="J3234" s="40" t="str">
        <f t="shared" si="259"/>
        <v/>
      </c>
      <c r="K3234" s="24" t="str">
        <f t="shared" si="260"/>
        <v/>
      </c>
      <c r="L3234" s="25" t="str">
        <f t="shared" si="256"/>
        <v/>
      </c>
      <c r="O3234" s="33" t="str">
        <f t="shared" si="257"/>
        <v/>
      </c>
      <c r="P3234" s="33" t="str">
        <f t="shared" si="258"/>
        <v/>
      </c>
    </row>
    <row r="3235" spans="9:16">
      <c r="I3235" s="23" t="str">
        <f>_xlfn.IFNA(VLOOKUP(A3235,A3236:$H$3524,8,0),"")</f>
        <v/>
      </c>
      <c r="J3235" s="40" t="str">
        <f t="shared" si="259"/>
        <v/>
      </c>
      <c r="K3235" s="24" t="str">
        <f t="shared" si="260"/>
        <v/>
      </c>
      <c r="L3235" s="25" t="str">
        <f t="shared" si="256"/>
        <v/>
      </c>
      <c r="O3235" s="33" t="str">
        <f t="shared" si="257"/>
        <v/>
      </c>
      <c r="P3235" s="33" t="str">
        <f t="shared" si="258"/>
        <v/>
      </c>
    </row>
    <row r="3236" spans="9:16">
      <c r="I3236" s="23" t="str">
        <f>_xlfn.IFNA(VLOOKUP(A3236,A3237:$H$3524,8,0),"")</f>
        <v/>
      </c>
      <c r="J3236" s="40" t="str">
        <f t="shared" si="259"/>
        <v/>
      </c>
      <c r="K3236" s="24" t="str">
        <f t="shared" si="260"/>
        <v/>
      </c>
      <c r="L3236" s="25" t="str">
        <f t="shared" si="256"/>
        <v/>
      </c>
      <c r="O3236" s="33" t="str">
        <f t="shared" si="257"/>
        <v/>
      </c>
      <c r="P3236" s="33" t="str">
        <f t="shared" si="258"/>
        <v/>
      </c>
    </row>
    <row r="3237" spans="9:16">
      <c r="I3237" s="23" t="str">
        <f>_xlfn.IFNA(VLOOKUP(A3237,A3238:$H$3524,8,0),"")</f>
        <v/>
      </c>
      <c r="J3237" s="40" t="str">
        <f t="shared" si="259"/>
        <v/>
      </c>
      <c r="K3237" s="24" t="str">
        <f t="shared" si="260"/>
        <v/>
      </c>
      <c r="L3237" s="25" t="str">
        <f t="shared" si="256"/>
        <v/>
      </c>
      <c r="O3237" s="33" t="str">
        <f t="shared" si="257"/>
        <v/>
      </c>
      <c r="P3237" s="33" t="str">
        <f t="shared" si="258"/>
        <v/>
      </c>
    </row>
    <row r="3238" spans="9:16">
      <c r="I3238" s="23" t="str">
        <f>_xlfn.IFNA(VLOOKUP(A3238,A3239:$H$3524,8,0),"")</f>
        <v/>
      </c>
      <c r="J3238" s="40" t="str">
        <f t="shared" si="259"/>
        <v/>
      </c>
      <c r="K3238" s="24" t="str">
        <f t="shared" si="260"/>
        <v/>
      </c>
      <c r="L3238" s="25" t="str">
        <f t="shared" si="256"/>
        <v/>
      </c>
      <c r="O3238" s="33" t="str">
        <f t="shared" si="257"/>
        <v/>
      </c>
      <c r="P3238" s="33" t="str">
        <f t="shared" si="258"/>
        <v/>
      </c>
    </row>
    <row r="3239" spans="9:16">
      <c r="I3239" s="23" t="str">
        <f>_xlfn.IFNA(VLOOKUP(A3239,A3240:$H$3524,8,0),"")</f>
        <v/>
      </c>
      <c r="J3239" s="40" t="str">
        <f t="shared" si="259"/>
        <v/>
      </c>
      <c r="K3239" s="24" t="str">
        <f t="shared" si="260"/>
        <v/>
      </c>
      <c r="L3239" s="25" t="str">
        <f t="shared" si="256"/>
        <v/>
      </c>
      <c r="O3239" s="33" t="str">
        <f t="shared" si="257"/>
        <v/>
      </c>
      <c r="P3239" s="33" t="str">
        <f t="shared" si="258"/>
        <v/>
      </c>
    </row>
    <row r="3240" spans="9:16">
      <c r="I3240" s="23" t="str">
        <f>_xlfn.IFNA(VLOOKUP(A3240,A3241:$H$3524,8,0),"")</f>
        <v/>
      </c>
      <c r="J3240" s="40" t="str">
        <f t="shared" si="259"/>
        <v/>
      </c>
      <c r="K3240" s="24" t="str">
        <f t="shared" si="260"/>
        <v/>
      </c>
      <c r="L3240" s="25" t="str">
        <f t="shared" si="256"/>
        <v/>
      </c>
      <c r="O3240" s="33" t="str">
        <f t="shared" si="257"/>
        <v/>
      </c>
      <c r="P3240" s="33" t="str">
        <f t="shared" si="258"/>
        <v/>
      </c>
    </row>
    <row r="3241" spans="9:16">
      <c r="I3241" s="23" t="str">
        <f>_xlfn.IFNA(VLOOKUP(A3241,A3242:$H$3524,8,0),"")</f>
        <v/>
      </c>
      <c r="J3241" s="40" t="str">
        <f t="shared" si="259"/>
        <v/>
      </c>
      <c r="K3241" s="24" t="str">
        <f t="shared" si="260"/>
        <v/>
      </c>
      <c r="L3241" s="25" t="str">
        <f t="shared" si="256"/>
        <v/>
      </c>
      <c r="O3241" s="33" t="str">
        <f t="shared" si="257"/>
        <v/>
      </c>
      <c r="P3241" s="33" t="str">
        <f t="shared" si="258"/>
        <v/>
      </c>
    </row>
    <row r="3242" spans="9:16">
      <c r="I3242" s="23" t="str">
        <f>_xlfn.IFNA(VLOOKUP(A3242,A3243:$H$3524,8,0),"")</f>
        <v/>
      </c>
      <c r="J3242" s="40" t="str">
        <f t="shared" si="259"/>
        <v/>
      </c>
      <c r="K3242" s="24" t="str">
        <f t="shared" si="260"/>
        <v/>
      </c>
      <c r="L3242" s="25" t="str">
        <f t="shared" si="256"/>
        <v/>
      </c>
      <c r="O3242" s="33" t="str">
        <f t="shared" si="257"/>
        <v/>
      </c>
      <c r="P3242" s="33" t="str">
        <f t="shared" si="258"/>
        <v/>
      </c>
    </row>
    <row r="3243" spans="9:16">
      <c r="I3243" s="23" t="str">
        <f>_xlfn.IFNA(VLOOKUP(A3243,A3244:$H$3524,8,0),"")</f>
        <v/>
      </c>
      <c r="J3243" s="40" t="str">
        <f t="shared" si="259"/>
        <v/>
      </c>
      <c r="K3243" s="24" t="str">
        <f t="shared" si="260"/>
        <v/>
      </c>
      <c r="L3243" s="25" t="str">
        <f t="shared" si="256"/>
        <v/>
      </c>
      <c r="O3243" s="33" t="str">
        <f t="shared" si="257"/>
        <v/>
      </c>
      <c r="P3243" s="33" t="str">
        <f t="shared" si="258"/>
        <v/>
      </c>
    </row>
    <row r="3244" spans="9:16">
      <c r="I3244" s="23" t="str">
        <f>_xlfn.IFNA(VLOOKUP(A3244,A3245:$H$3524,8,0),"")</f>
        <v/>
      </c>
      <c r="J3244" s="40" t="str">
        <f t="shared" si="259"/>
        <v/>
      </c>
      <c r="K3244" s="24" t="str">
        <f t="shared" si="260"/>
        <v/>
      </c>
      <c r="L3244" s="25" t="str">
        <f t="shared" si="256"/>
        <v/>
      </c>
      <c r="O3244" s="33" t="str">
        <f t="shared" si="257"/>
        <v/>
      </c>
      <c r="P3244" s="33" t="str">
        <f t="shared" si="258"/>
        <v/>
      </c>
    </row>
    <row r="3245" spans="9:16">
      <c r="I3245" s="23" t="str">
        <f>_xlfn.IFNA(VLOOKUP(A3245,A3246:$H$3524,8,0),"")</f>
        <v/>
      </c>
      <c r="J3245" s="40" t="str">
        <f t="shared" si="259"/>
        <v/>
      </c>
      <c r="K3245" s="24" t="str">
        <f t="shared" si="260"/>
        <v/>
      </c>
      <c r="L3245" s="25" t="str">
        <f t="shared" si="256"/>
        <v/>
      </c>
      <c r="O3245" s="33" t="str">
        <f t="shared" si="257"/>
        <v/>
      </c>
      <c r="P3245" s="33" t="str">
        <f t="shared" si="258"/>
        <v/>
      </c>
    </row>
    <row r="3246" spans="9:16">
      <c r="I3246" s="23" t="str">
        <f>_xlfn.IFNA(VLOOKUP(A3246,A3247:$H$3524,8,0),"")</f>
        <v/>
      </c>
      <c r="J3246" s="40" t="str">
        <f t="shared" si="259"/>
        <v/>
      </c>
      <c r="K3246" s="24" t="str">
        <f t="shared" si="260"/>
        <v/>
      </c>
      <c r="L3246" s="25" t="str">
        <f t="shared" si="256"/>
        <v/>
      </c>
      <c r="O3246" s="33" t="str">
        <f t="shared" si="257"/>
        <v/>
      </c>
      <c r="P3246" s="33" t="str">
        <f t="shared" si="258"/>
        <v/>
      </c>
    </row>
    <row r="3247" spans="9:16">
      <c r="I3247" s="23" t="str">
        <f>_xlfn.IFNA(VLOOKUP(A3247,A3248:$H$3524,8,0),"")</f>
        <v/>
      </c>
      <c r="J3247" s="40" t="str">
        <f t="shared" si="259"/>
        <v/>
      </c>
      <c r="K3247" s="24" t="str">
        <f t="shared" si="260"/>
        <v/>
      </c>
      <c r="L3247" s="25" t="str">
        <f t="shared" si="256"/>
        <v/>
      </c>
      <c r="O3247" s="33" t="str">
        <f t="shared" si="257"/>
        <v/>
      </c>
      <c r="P3247" s="33" t="str">
        <f t="shared" si="258"/>
        <v/>
      </c>
    </row>
    <row r="3248" spans="9:16">
      <c r="I3248" s="23" t="str">
        <f>_xlfn.IFNA(VLOOKUP(A3248,A3249:$H$3524,8,0),"")</f>
        <v/>
      </c>
      <c r="J3248" s="40" t="str">
        <f t="shared" si="259"/>
        <v/>
      </c>
      <c r="K3248" s="24" t="str">
        <f t="shared" si="260"/>
        <v/>
      </c>
      <c r="L3248" s="25" t="str">
        <f t="shared" si="256"/>
        <v/>
      </c>
      <c r="O3248" s="33" t="str">
        <f t="shared" si="257"/>
        <v/>
      </c>
      <c r="P3248" s="33" t="str">
        <f t="shared" si="258"/>
        <v/>
      </c>
    </row>
    <row r="3249" spans="9:16">
      <c r="I3249" s="23" t="str">
        <f>_xlfn.IFNA(VLOOKUP(A3249,A3250:$H$3524,8,0),"")</f>
        <v/>
      </c>
      <c r="J3249" s="40" t="str">
        <f t="shared" si="259"/>
        <v/>
      </c>
      <c r="K3249" s="24" t="str">
        <f t="shared" si="260"/>
        <v/>
      </c>
      <c r="L3249" s="25" t="str">
        <f t="shared" si="256"/>
        <v/>
      </c>
      <c r="O3249" s="33" t="str">
        <f t="shared" si="257"/>
        <v/>
      </c>
      <c r="P3249" s="33" t="str">
        <f t="shared" si="258"/>
        <v/>
      </c>
    </row>
    <row r="3250" spans="9:16">
      <c r="I3250" s="23" t="str">
        <f>_xlfn.IFNA(VLOOKUP(A3250,A3251:$H$3524,8,0),"")</f>
        <v/>
      </c>
      <c r="J3250" s="40" t="str">
        <f t="shared" si="259"/>
        <v/>
      </c>
      <c r="K3250" s="24" t="str">
        <f t="shared" si="260"/>
        <v/>
      </c>
      <c r="L3250" s="25" t="str">
        <f t="shared" si="256"/>
        <v/>
      </c>
      <c r="O3250" s="33" t="str">
        <f t="shared" si="257"/>
        <v/>
      </c>
      <c r="P3250" s="33" t="str">
        <f t="shared" si="258"/>
        <v/>
      </c>
    </row>
    <row r="3251" spans="9:16">
      <c r="I3251" s="23" t="str">
        <f>_xlfn.IFNA(VLOOKUP(A3251,A3252:$H$3524,8,0),"")</f>
        <v/>
      </c>
      <c r="J3251" s="40" t="str">
        <f t="shared" si="259"/>
        <v/>
      </c>
      <c r="K3251" s="24" t="str">
        <f t="shared" si="260"/>
        <v/>
      </c>
      <c r="L3251" s="25" t="str">
        <f t="shared" si="256"/>
        <v/>
      </c>
      <c r="O3251" s="33" t="str">
        <f t="shared" si="257"/>
        <v/>
      </c>
      <c r="P3251" s="33" t="str">
        <f t="shared" si="258"/>
        <v/>
      </c>
    </row>
    <row r="3252" spans="9:16">
      <c r="I3252" s="23" t="str">
        <f>_xlfn.IFNA(VLOOKUP(A3252,A3253:$H$3524,8,0),"")</f>
        <v/>
      </c>
      <c r="J3252" s="40" t="str">
        <f t="shared" si="259"/>
        <v/>
      </c>
      <c r="K3252" s="24" t="str">
        <f t="shared" si="260"/>
        <v/>
      </c>
      <c r="L3252" s="25" t="str">
        <f t="shared" si="256"/>
        <v/>
      </c>
      <c r="O3252" s="33" t="str">
        <f t="shared" si="257"/>
        <v/>
      </c>
      <c r="P3252" s="33" t="str">
        <f t="shared" si="258"/>
        <v/>
      </c>
    </row>
    <row r="3253" spans="9:16">
      <c r="I3253" s="23" t="str">
        <f>_xlfn.IFNA(VLOOKUP(A3253,A3254:$H$3524,8,0),"")</f>
        <v/>
      </c>
      <c r="J3253" s="40" t="str">
        <f t="shared" si="259"/>
        <v/>
      </c>
      <c r="K3253" s="24" t="str">
        <f t="shared" si="260"/>
        <v/>
      </c>
      <c r="L3253" s="25" t="str">
        <f t="shared" si="256"/>
        <v/>
      </c>
      <c r="O3253" s="33" t="str">
        <f t="shared" si="257"/>
        <v/>
      </c>
      <c r="P3253" s="33" t="str">
        <f t="shared" si="258"/>
        <v/>
      </c>
    </row>
    <row r="3254" spans="9:16">
      <c r="I3254" s="23" t="str">
        <f>_xlfn.IFNA(VLOOKUP(A3254,A3255:$H$3524,8,0),"")</f>
        <v/>
      </c>
      <c r="J3254" s="40" t="str">
        <f t="shared" si="259"/>
        <v/>
      </c>
      <c r="K3254" s="24" t="str">
        <f t="shared" si="260"/>
        <v/>
      </c>
      <c r="L3254" s="25" t="str">
        <f t="shared" si="256"/>
        <v/>
      </c>
      <c r="O3254" s="33" t="str">
        <f t="shared" si="257"/>
        <v/>
      </c>
      <c r="P3254" s="33" t="str">
        <f t="shared" si="258"/>
        <v/>
      </c>
    </row>
    <row r="3255" spans="9:16">
      <c r="I3255" s="23" t="str">
        <f>_xlfn.IFNA(VLOOKUP(A3255,A3256:$H$3524,8,0),"")</f>
        <v/>
      </c>
      <c r="J3255" s="40" t="str">
        <f t="shared" si="259"/>
        <v/>
      </c>
      <c r="K3255" s="24" t="str">
        <f t="shared" si="260"/>
        <v/>
      </c>
      <c r="L3255" s="25" t="str">
        <f t="shared" ref="L3255:L3318" si="261">IF(K3255="","",IF(B3255="Break","Break",IF(K3255&lt;&gt;0,"Work Finished",IF(B3255="OFF","Work Finished",IF(I3255="","Working","Work Finished")))))</f>
        <v/>
      </c>
      <c r="O3255" s="33" t="str">
        <f t="shared" ref="O3255:O3318" si="262">IF(AND(J3255="",M3255="",N3255=""),"",J3255-M3255-N3255)</f>
        <v/>
      </c>
      <c r="P3255" s="33" t="str">
        <f t="shared" ref="P3255:P3318" si="263">IF(HOUR(H3255)=0,"",HOUR(H3255))</f>
        <v/>
      </c>
    </row>
    <row r="3256" spans="9:16">
      <c r="I3256" s="23" t="str">
        <f>_xlfn.IFNA(VLOOKUP(A3256,A3257:$H$3524,8,0),"")</f>
        <v/>
      </c>
      <c r="J3256" s="40" t="str">
        <f t="shared" si="259"/>
        <v/>
      </c>
      <c r="K3256" s="24" t="str">
        <f t="shared" si="260"/>
        <v/>
      </c>
      <c r="L3256" s="25" t="str">
        <f t="shared" si="261"/>
        <v/>
      </c>
      <c r="O3256" s="33" t="str">
        <f t="shared" si="262"/>
        <v/>
      </c>
      <c r="P3256" s="33" t="str">
        <f t="shared" si="263"/>
        <v/>
      </c>
    </row>
    <row r="3257" spans="9:16">
      <c r="I3257" s="23" t="str">
        <f>_xlfn.IFNA(VLOOKUP(A3257,A3258:$H$3524,8,0),"")</f>
        <v/>
      </c>
      <c r="J3257" s="40" t="str">
        <f t="shared" si="259"/>
        <v/>
      </c>
      <c r="K3257" s="24" t="str">
        <f t="shared" si="260"/>
        <v/>
      </c>
      <c r="L3257" s="25" t="str">
        <f t="shared" si="261"/>
        <v/>
      </c>
      <c r="O3257" s="33" t="str">
        <f t="shared" si="262"/>
        <v/>
      </c>
      <c r="P3257" s="33" t="str">
        <f t="shared" si="263"/>
        <v/>
      </c>
    </row>
    <row r="3258" spans="9:16">
      <c r="I3258" s="23" t="str">
        <f>_xlfn.IFNA(VLOOKUP(A3258,A3259:$H$3524,8,0),"")</f>
        <v/>
      </c>
      <c r="J3258" s="40" t="str">
        <f t="shared" si="259"/>
        <v/>
      </c>
      <c r="K3258" s="24" t="str">
        <f t="shared" si="260"/>
        <v/>
      </c>
      <c r="L3258" s="25" t="str">
        <f t="shared" si="261"/>
        <v/>
      </c>
      <c r="O3258" s="33" t="str">
        <f t="shared" si="262"/>
        <v/>
      </c>
      <c r="P3258" s="33" t="str">
        <f t="shared" si="263"/>
        <v/>
      </c>
    </row>
    <row r="3259" spans="9:16">
      <c r="I3259" s="23" t="str">
        <f>_xlfn.IFNA(VLOOKUP(A3259,A3260:$H$3524,8,0),"")</f>
        <v/>
      </c>
      <c r="J3259" s="40" t="str">
        <f t="shared" si="259"/>
        <v/>
      </c>
      <c r="K3259" s="24" t="str">
        <f t="shared" si="260"/>
        <v/>
      </c>
      <c r="L3259" s="25" t="str">
        <f t="shared" si="261"/>
        <v/>
      </c>
      <c r="O3259" s="33" t="str">
        <f t="shared" si="262"/>
        <v/>
      </c>
      <c r="P3259" s="33" t="str">
        <f t="shared" si="263"/>
        <v/>
      </c>
    </row>
    <row r="3260" spans="9:16">
      <c r="I3260" s="23" t="str">
        <f>_xlfn.IFNA(VLOOKUP(A3260,A3261:$H$3524,8,0),"")</f>
        <v/>
      </c>
      <c r="J3260" s="40" t="str">
        <f t="shared" si="259"/>
        <v/>
      </c>
      <c r="K3260" s="24" t="str">
        <f t="shared" si="260"/>
        <v/>
      </c>
      <c r="L3260" s="25" t="str">
        <f t="shared" si="261"/>
        <v/>
      </c>
      <c r="O3260" s="33" t="str">
        <f t="shared" si="262"/>
        <v/>
      </c>
      <c r="P3260" s="33" t="str">
        <f t="shared" si="263"/>
        <v/>
      </c>
    </row>
    <row r="3261" spans="9:16">
      <c r="I3261" s="23" t="str">
        <f>_xlfn.IFNA(VLOOKUP(A3261,A3262:$H$3524,8,0),"")</f>
        <v/>
      </c>
      <c r="J3261" s="40" t="str">
        <f t="shared" si="259"/>
        <v/>
      </c>
      <c r="K3261" s="24" t="str">
        <f t="shared" si="260"/>
        <v/>
      </c>
      <c r="L3261" s="25" t="str">
        <f t="shared" si="261"/>
        <v/>
      </c>
      <c r="O3261" s="33" t="str">
        <f t="shared" si="262"/>
        <v/>
      </c>
      <c r="P3261" s="33" t="str">
        <f t="shared" si="263"/>
        <v/>
      </c>
    </row>
    <row r="3262" spans="9:16">
      <c r="I3262" s="23" t="str">
        <f>_xlfn.IFNA(VLOOKUP(A3262,A3263:$H$3524,8,0),"")</f>
        <v/>
      </c>
      <c r="J3262" s="40" t="str">
        <f t="shared" si="259"/>
        <v/>
      </c>
      <c r="K3262" s="24" t="str">
        <f t="shared" si="260"/>
        <v/>
      </c>
      <c r="L3262" s="25" t="str">
        <f t="shared" si="261"/>
        <v/>
      </c>
      <c r="O3262" s="33" t="str">
        <f t="shared" si="262"/>
        <v/>
      </c>
      <c r="P3262" s="33" t="str">
        <f t="shared" si="263"/>
        <v/>
      </c>
    </row>
    <row r="3263" spans="9:16">
      <c r="I3263" s="23" t="str">
        <f>_xlfn.IFNA(VLOOKUP(A3263,A3264:$H$3524,8,0),"")</f>
        <v/>
      </c>
      <c r="J3263" s="40" t="str">
        <f t="shared" si="259"/>
        <v/>
      </c>
      <c r="K3263" s="24" t="str">
        <f t="shared" si="260"/>
        <v/>
      </c>
      <c r="L3263" s="25" t="str">
        <f t="shared" si="261"/>
        <v/>
      </c>
      <c r="O3263" s="33" t="str">
        <f t="shared" si="262"/>
        <v/>
      </c>
      <c r="P3263" s="33" t="str">
        <f t="shared" si="263"/>
        <v/>
      </c>
    </row>
    <row r="3264" spans="9:16">
      <c r="I3264" s="23" t="str">
        <f>_xlfn.IFNA(VLOOKUP(A3264,A3265:$H$3524,8,0),"")</f>
        <v/>
      </c>
      <c r="J3264" s="40" t="str">
        <f t="shared" si="259"/>
        <v/>
      </c>
      <c r="K3264" s="24" t="str">
        <f t="shared" si="260"/>
        <v/>
      </c>
      <c r="L3264" s="25" t="str">
        <f t="shared" si="261"/>
        <v/>
      </c>
      <c r="O3264" s="33" t="str">
        <f t="shared" si="262"/>
        <v/>
      </c>
      <c r="P3264" s="33" t="str">
        <f t="shared" si="263"/>
        <v/>
      </c>
    </row>
    <row r="3265" spans="9:16">
      <c r="I3265" s="23" t="str">
        <f>_xlfn.IFNA(VLOOKUP(A3265,A3266:$H$3524,8,0),"")</f>
        <v/>
      </c>
      <c r="J3265" s="40" t="str">
        <f t="shared" si="259"/>
        <v/>
      </c>
      <c r="K3265" s="24" t="str">
        <f t="shared" si="260"/>
        <v/>
      </c>
      <c r="L3265" s="25" t="str">
        <f t="shared" si="261"/>
        <v/>
      </c>
      <c r="O3265" s="33" t="str">
        <f t="shared" si="262"/>
        <v/>
      </c>
      <c r="P3265" s="33" t="str">
        <f t="shared" si="263"/>
        <v/>
      </c>
    </row>
    <row r="3266" spans="9:16">
      <c r="I3266" s="23" t="str">
        <f>_xlfn.IFNA(VLOOKUP(A3266,A3267:$H$3524,8,0),"")</f>
        <v/>
      </c>
      <c r="J3266" s="40" t="str">
        <f t="shared" si="259"/>
        <v/>
      </c>
      <c r="K3266" s="24" t="str">
        <f t="shared" si="260"/>
        <v/>
      </c>
      <c r="L3266" s="25" t="str">
        <f t="shared" si="261"/>
        <v/>
      </c>
      <c r="O3266" s="33" t="str">
        <f t="shared" si="262"/>
        <v/>
      </c>
      <c r="P3266" s="33" t="str">
        <f t="shared" si="263"/>
        <v/>
      </c>
    </row>
    <row r="3267" spans="9:16">
      <c r="I3267" s="23" t="str">
        <f>_xlfn.IFNA(VLOOKUP(A3267,A3268:$H$3524,8,0),"")</f>
        <v/>
      </c>
      <c r="J3267" s="40" t="str">
        <f t="shared" si="259"/>
        <v/>
      </c>
      <c r="K3267" s="24" t="str">
        <f t="shared" si="260"/>
        <v/>
      </c>
      <c r="L3267" s="25" t="str">
        <f t="shared" si="261"/>
        <v/>
      </c>
      <c r="O3267" s="33" t="str">
        <f t="shared" si="262"/>
        <v/>
      </c>
      <c r="P3267" s="33" t="str">
        <f t="shared" si="263"/>
        <v/>
      </c>
    </row>
    <row r="3268" spans="9:16">
      <c r="I3268" s="23" t="str">
        <f>_xlfn.IFNA(VLOOKUP(A3268,A3269:$H$3524,8,0),"")</f>
        <v/>
      </c>
      <c r="J3268" s="40" t="str">
        <f t="shared" si="259"/>
        <v/>
      </c>
      <c r="K3268" s="24" t="str">
        <f t="shared" si="260"/>
        <v/>
      </c>
      <c r="L3268" s="25" t="str">
        <f t="shared" si="261"/>
        <v/>
      </c>
      <c r="O3268" s="33" t="str">
        <f t="shared" si="262"/>
        <v/>
      </c>
      <c r="P3268" s="33" t="str">
        <f t="shared" si="263"/>
        <v/>
      </c>
    </row>
    <row r="3269" spans="9:16">
      <c r="I3269" s="23" t="str">
        <f>_xlfn.IFNA(VLOOKUP(A3269,A3270:$H$3524,8,0),"")</f>
        <v/>
      </c>
      <c r="J3269" s="40" t="str">
        <f t="shared" si="259"/>
        <v/>
      </c>
      <c r="K3269" s="24" t="str">
        <f t="shared" si="260"/>
        <v/>
      </c>
      <c r="L3269" s="25" t="str">
        <f t="shared" si="261"/>
        <v/>
      </c>
      <c r="O3269" s="33" t="str">
        <f t="shared" si="262"/>
        <v/>
      </c>
      <c r="P3269" s="33" t="str">
        <f t="shared" si="263"/>
        <v/>
      </c>
    </row>
    <row r="3270" spans="9:16">
      <c r="I3270" s="23" t="str">
        <f>_xlfn.IFNA(VLOOKUP(A3270,A3271:$H$3524,8,0),"")</f>
        <v/>
      </c>
      <c r="J3270" s="40" t="str">
        <f t="shared" ref="J3270:J3333" si="264">IF(B3270="OFF",0,IF(AND(D3270&lt;&gt;"",E3270&lt;&gt;""),E3270-D3270+1,""))</f>
        <v/>
      </c>
      <c r="K3270" s="24" t="str">
        <f t="shared" si="260"/>
        <v/>
      </c>
      <c r="L3270" s="25" t="str">
        <f t="shared" si="261"/>
        <v/>
      </c>
      <c r="O3270" s="33" t="str">
        <f t="shared" si="262"/>
        <v/>
      </c>
      <c r="P3270" s="33" t="str">
        <f t="shared" si="263"/>
        <v/>
      </c>
    </row>
    <row r="3271" spans="9:16">
      <c r="I3271" s="23" t="str">
        <f>_xlfn.IFNA(VLOOKUP(A3271,A3272:$H$3524,8,0),"")</f>
        <v/>
      </c>
      <c r="J3271" s="40" t="str">
        <f t="shared" si="264"/>
        <v/>
      </c>
      <c r="K3271" s="24" t="str">
        <f t="shared" si="260"/>
        <v/>
      </c>
      <c r="L3271" s="25" t="str">
        <f t="shared" si="261"/>
        <v/>
      </c>
      <c r="O3271" s="33" t="str">
        <f t="shared" si="262"/>
        <v/>
      </c>
      <c r="P3271" s="33" t="str">
        <f t="shared" si="263"/>
        <v/>
      </c>
    </row>
    <row r="3272" spans="9:16">
      <c r="I3272" s="23" t="str">
        <f>_xlfn.IFNA(VLOOKUP(A3272,A3273:$H$3524,8,0),"")</f>
        <v/>
      </c>
      <c r="J3272" s="40" t="str">
        <f t="shared" si="264"/>
        <v/>
      </c>
      <c r="K3272" s="24" t="str">
        <f t="shared" si="260"/>
        <v/>
      </c>
      <c r="L3272" s="25" t="str">
        <f t="shared" si="261"/>
        <v/>
      </c>
      <c r="O3272" s="33" t="str">
        <f t="shared" si="262"/>
        <v/>
      </c>
      <c r="P3272" s="33" t="str">
        <f t="shared" si="263"/>
        <v/>
      </c>
    </row>
    <row r="3273" spans="9:16">
      <c r="I3273" s="23" t="str">
        <f>_xlfn.IFNA(VLOOKUP(A3273,A3274:$H$3524,8,0),"")</f>
        <v/>
      </c>
      <c r="J3273" s="40" t="str">
        <f t="shared" si="264"/>
        <v/>
      </c>
      <c r="K3273" s="24" t="str">
        <f t="shared" si="260"/>
        <v/>
      </c>
      <c r="L3273" s="25" t="str">
        <f t="shared" si="261"/>
        <v/>
      </c>
      <c r="O3273" s="33" t="str">
        <f t="shared" si="262"/>
        <v/>
      </c>
      <c r="P3273" s="33" t="str">
        <f t="shared" si="263"/>
        <v/>
      </c>
    </row>
    <row r="3274" spans="9:16">
      <c r="I3274" s="23" t="str">
        <f>_xlfn.IFNA(VLOOKUP(A3274,A3275:$H$3524,8,0),"")</f>
        <v/>
      </c>
      <c r="J3274" s="40" t="str">
        <f t="shared" si="264"/>
        <v/>
      </c>
      <c r="K3274" s="24" t="str">
        <f t="shared" si="260"/>
        <v/>
      </c>
      <c r="L3274" s="25" t="str">
        <f t="shared" si="261"/>
        <v/>
      </c>
      <c r="O3274" s="33" t="str">
        <f t="shared" si="262"/>
        <v/>
      </c>
      <c r="P3274" s="33" t="str">
        <f t="shared" si="263"/>
        <v/>
      </c>
    </row>
    <row r="3275" spans="9:16">
      <c r="I3275" s="23" t="str">
        <f>_xlfn.IFNA(VLOOKUP(A3275,A3276:$H$3524,8,0),"")</f>
        <v/>
      </c>
      <c r="J3275" s="40" t="str">
        <f t="shared" si="264"/>
        <v/>
      </c>
      <c r="K3275" s="24" t="str">
        <f t="shared" si="260"/>
        <v/>
      </c>
      <c r="L3275" s="25" t="str">
        <f t="shared" si="261"/>
        <v/>
      </c>
      <c r="O3275" s="33" t="str">
        <f t="shared" si="262"/>
        <v/>
      </c>
      <c r="P3275" s="33" t="str">
        <f t="shared" si="263"/>
        <v/>
      </c>
    </row>
    <row r="3276" spans="9:16">
      <c r="I3276" s="23" t="str">
        <f>_xlfn.IFNA(VLOOKUP(A3276,A3277:$H$3524,8,0),"")</f>
        <v/>
      </c>
      <c r="J3276" s="40" t="str">
        <f t="shared" si="264"/>
        <v/>
      </c>
      <c r="K3276" s="24" t="str">
        <f t="shared" si="260"/>
        <v/>
      </c>
      <c r="L3276" s="25" t="str">
        <f t="shared" si="261"/>
        <v/>
      </c>
      <c r="O3276" s="33" t="str">
        <f t="shared" si="262"/>
        <v/>
      </c>
      <c r="P3276" s="33" t="str">
        <f t="shared" si="263"/>
        <v/>
      </c>
    </row>
    <row r="3277" spans="9:16">
      <c r="I3277" s="23" t="str">
        <f>_xlfn.IFNA(VLOOKUP(A3277,A3278:$H$3524,8,0),"")</f>
        <v/>
      </c>
      <c r="J3277" s="40" t="str">
        <f t="shared" si="264"/>
        <v/>
      </c>
      <c r="K3277" s="24" t="str">
        <f t="shared" si="260"/>
        <v/>
      </c>
      <c r="L3277" s="25" t="str">
        <f t="shared" si="261"/>
        <v/>
      </c>
      <c r="O3277" s="33" t="str">
        <f t="shared" si="262"/>
        <v/>
      </c>
      <c r="P3277" s="33" t="str">
        <f t="shared" si="263"/>
        <v/>
      </c>
    </row>
    <row r="3278" spans="9:16">
      <c r="I3278" s="23" t="str">
        <f>_xlfn.IFNA(VLOOKUP(A3278,A3279:$H$3524,8,0),"")</f>
        <v/>
      </c>
      <c r="J3278" s="40" t="str">
        <f t="shared" si="264"/>
        <v/>
      </c>
      <c r="K3278" s="24" t="str">
        <f t="shared" si="260"/>
        <v/>
      </c>
      <c r="L3278" s="25" t="str">
        <f t="shared" si="261"/>
        <v/>
      </c>
      <c r="O3278" s="33" t="str">
        <f t="shared" si="262"/>
        <v/>
      </c>
      <c r="P3278" s="33" t="str">
        <f t="shared" si="263"/>
        <v/>
      </c>
    </row>
    <row r="3279" spans="9:16">
      <c r="I3279" s="23" t="str">
        <f>_xlfn.IFNA(VLOOKUP(A3279,A3280:$H$3524,8,0),"")</f>
        <v/>
      </c>
      <c r="J3279" s="40" t="str">
        <f t="shared" si="264"/>
        <v/>
      </c>
      <c r="K3279" s="24" t="str">
        <f t="shared" si="260"/>
        <v/>
      </c>
      <c r="L3279" s="25" t="str">
        <f t="shared" si="261"/>
        <v/>
      </c>
      <c r="O3279" s="33" t="str">
        <f t="shared" si="262"/>
        <v/>
      </c>
      <c r="P3279" s="33" t="str">
        <f t="shared" si="263"/>
        <v/>
      </c>
    </row>
    <row r="3280" spans="9:16">
      <c r="I3280" s="23" t="str">
        <f>_xlfn.IFNA(VLOOKUP(A3280,A3281:$H$3524,8,0),"")</f>
        <v/>
      </c>
      <c r="J3280" s="40" t="str">
        <f t="shared" si="264"/>
        <v/>
      </c>
      <c r="K3280" s="24" t="str">
        <f t="shared" si="260"/>
        <v/>
      </c>
      <c r="L3280" s="25" t="str">
        <f t="shared" si="261"/>
        <v/>
      </c>
      <c r="O3280" s="33" t="str">
        <f t="shared" si="262"/>
        <v/>
      </c>
      <c r="P3280" s="33" t="str">
        <f t="shared" si="263"/>
        <v/>
      </c>
    </row>
    <row r="3281" spans="9:16">
      <c r="I3281" s="23" t="str">
        <f>_xlfn.IFNA(VLOOKUP(A3281,A3282:$H$3524,8,0),"")</f>
        <v/>
      </c>
      <c r="J3281" s="40" t="str">
        <f t="shared" si="264"/>
        <v/>
      </c>
      <c r="K3281" s="24" t="str">
        <f t="shared" si="260"/>
        <v/>
      </c>
      <c r="L3281" s="25" t="str">
        <f t="shared" si="261"/>
        <v/>
      </c>
      <c r="O3281" s="33" t="str">
        <f t="shared" si="262"/>
        <v/>
      </c>
      <c r="P3281" s="33" t="str">
        <f t="shared" si="263"/>
        <v/>
      </c>
    </row>
    <row r="3282" spans="9:16">
      <c r="I3282" s="23" t="str">
        <f>_xlfn.IFNA(VLOOKUP(A3282,A3283:$H$3524,8,0),"")</f>
        <v/>
      </c>
      <c r="J3282" s="40" t="str">
        <f t="shared" si="264"/>
        <v/>
      </c>
      <c r="K3282" s="24" t="str">
        <f t="shared" si="260"/>
        <v/>
      </c>
      <c r="L3282" s="25" t="str">
        <f t="shared" si="261"/>
        <v/>
      </c>
      <c r="O3282" s="33" t="str">
        <f t="shared" si="262"/>
        <v/>
      </c>
      <c r="P3282" s="33" t="str">
        <f t="shared" si="263"/>
        <v/>
      </c>
    </row>
    <row r="3283" spans="9:16">
      <c r="I3283" s="23" t="str">
        <f>_xlfn.IFNA(VLOOKUP(A3283,A3284:$H$3524,8,0),"")</f>
        <v/>
      </c>
      <c r="J3283" s="40" t="str">
        <f t="shared" si="264"/>
        <v/>
      </c>
      <c r="K3283" s="24" t="str">
        <f t="shared" si="260"/>
        <v/>
      </c>
      <c r="L3283" s="25" t="str">
        <f t="shared" si="261"/>
        <v/>
      </c>
      <c r="O3283" s="33" t="str">
        <f t="shared" si="262"/>
        <v/>
      </c>
      <c r="P3283" s="33" t="str">
        <f t="shared" si="263"/>
        <v/>
      </c>
    </row>
    <row r="3284" spans="9:16">
      <c r="I3284" s="23" t="str">
        <f>_xlfn.IFNA(VLOOKUP(A3284,A3285:$H$3524,8,0),"")</f>
        <v/>
      </c>
      <c r="J3284" s="40" t="str">
        <f t="shared" si="264"/>
        <v/>
      </c>
      <c r="K3284" s="24" t="str">
        <f t="shared" si="260"/>
        <v/>
      </c>
      <c r="L3284" s="25" t="str">
        <f t="shared" si="261"/>
        <v/>
      </c>
      <c r="O3284" s="33" t="str">
        <f t="shared" si="262"/>
        <v/>
      </c>
      <c r="P3284" s="33" t="str">
        <f t="shared" si="263"/>
        <v/>
      </c>
    </row>
    <row r="3285" spans="9:16">
      <c r="I3285" s="23" t="str">
        <f>_xlfn.IFNA(VLOOKUP(A3285,A3286:$H$3524,8,0),"")</f>
        <v/>
      </c>
      <c r="J3285" s="40" t="str">
        <f t="shared" si="264"/>
        <v/>
      </c>
      <c r="K3285" s="24" t="str">
        <f t="shared" si="260"/>
        <v/>
      </c>
      <c r="L3285" s="25" t="str">
        <f t="shared" si="261"/>
        <v/>
      </c>
      <c r="O3285" s="33" t="str">
        <f t="shared" si="262"/>
        <v/>
      </c>
      <c r="P3285" s="33" t="str">
        <f t="shared" si="263"/>
        <v/>
      </c>
    </row>
    <row r="3286" spans="9:16">
      <c r="I3286" s="23" t="str">
        <f>_xlfn.IFNA(VLOOKUP(A3286,A3287:$H$3524,8,0),"")</f>
        <v/>
      </c>
      <c r="J3286" s="40" t="str">
        <f t="shared" si="264"/>
        <v/>
      </c>
      <c r="K3286" s="24" t="str">
        <f t="shared" ref="K3286:K3349" si="265">IF(H3286="","",IFERROR((I3286-H3286)*24,0))</f>
        <v/>
      </c>
      <c r="L3286" s="25" t="str">
        <f t="shared" si="261"/>
        <v/>
      </c>
      <c r="O3286" s="33" t="str">
        <f t="shared" si="262"/>
        <v/>
      </c>
      <c r="P3286" s="33" t="str">
        <f t="shared" si="263"/>
        <v/>
      </c>
    </row>
    <row r="3287" spans="9:16">
      <c r="I3287" s="23" t="str">
        <f>_xlfn.IFNA(VLOOKUP(A3287,A3288:$H$3524,8,0),"")</f>
        <v/>
      </c>
      <c r="J3287" s="40" t="str">
        <f t="shared" si="264"/>
        <v/>
      </c>
      <c r="K3287" s="24" t="str">
        <f t="shared" si="265"/>
        <v/>
      </c>
      <c r="L3287" s="25" t="str">
        <f t="shared" si="261"/>
        <v/>
      </c>
      <c r="O3287" s="33" t="str">
        <f t="shared" si="262"/>
        <v/>
      </c>
      <c r="P3287" s="33" t="str">
        <f t="shared" si="263"/>
        <v/>
      </c>
    </row>
    <row r="3288" spans="9:16">
      <c r="I3288" s="23" t="str">
        <f>_xlfn.IFNA(VLOOKUP(A3288,A3289:$H$3524,8,0),"")</f>
        <v/>
      </c>
      <c r="J3288" s="40" t="str">
        <f t="shared" si="264"/>
        <v/>
      </c>
      <c r="K3288" s="24" t="str">
        <f t="shared" si="265"/>
        <v/>
      </c>
      <c r="L3288" s="25" t="str">
        <f t="shared" si="261"/>
        <v/>
      </c>
      <c r="O3288" s="33" t="str">
        <f t="shared" si="262"/>
        <v/>
      </c>
      <c r="P3288" s="33" t="str">
        <f t="shared" si="263"/>
        <v/>
      </c>
    </row>
    <row r="3289" spans="9:16">
      <c r="I3289" s="23" t="str">
        <f>_xlfn.IFNA(VLOOKUP(A3289,A3290:$H$3524,8,0),"")</f>
        <v/>
      </c>
      <c r="J3289" s="40" t="str">
        <f t="shared" si="264"/>
        <v/>
      </c>
      <c r="K3289" s="24" t="str">
        <f t="shared" si="265"/>
        <v/>
      </c>
      <c r="L3289" s="25" t="str">
        <f t="shared" si="261"/>
        <v/>
      </c>
      <c r="O3289" s="33" t="str">
        <f t="shared" si="262"/>
        <v/>
      </c>
      <c r="P3289" s="33" t="str">
        <f t="shared" si="263"/>
        <v/>
      </c>
    </row>
    <row r="3290" spans="9:16">
      <c r="I3290" s="23" t="str">
        <f>_xlfn.IFNA(VLOOKUP(A3290,A3291:$H$3524,8,0),"")</f>
        <v/>
      </c>
      <c r="J3290" s="40" t="str">
        <f t="shared" si="264"/>
        <v/>
      </c>
      <c r="K3290" s="24" t="str">
        <f t="shared" si="265"/>
        <v/>
      </c>
      <c r="L3290" s="25" t="str">
        <f t="shared" si="261"/>
        <v/>
      </c>
      <c r="O3290" s="33" t="str">
        <f t="shared" si="262"/>
        <v/>
      </c>
      <c r="P3290" s="33" t="str">
        <f t="shared" si="263"/>
        <v/>
      </c>
    </row>
    <row r="3291" spans="9:16">
      <c r="I3291" s="23" t="str">
        <f>_xlfn.IFNA(VLOOKUP(A3291,A3292:$H$3524,8,0),"")</f>
        <v/>
      </c>
      <c r="J3291" s="40" t="str">
        <f t="shared" si="264"/>
        <v/>
      </c>
      <c r="K3291" s="24" t="str">
        <f t="shared" si="265"/>
        <v/>
      </c>
      <c r="L3291" s="25" t="str">
        <f t="shared" si="261"/>
        <v/>
      </c>
      <c r="O3291" s="33" t="str">
        <f t="shared" si="262"/>
        <v/>
      </c>
      <c r="P3291" s="33" t="str">
        <f t="shared" si="263"/>
        <v/>
      </c>
    </row>
    <row r="3292" spans="9:16">
      <c r="I3292" s="23" t="str">
        <f>_xlfn.IFNA(VLOOKUP(A3292,A3293:$H$3524,8,0),"")</f>
        <v/>
      </c>
      <c r="J3292" s="40" t="str">
        <f t="shared" si="264"/>
        <v/>
      </c>
      <c r="K3292" s="24" t="str">
        <f t="shared" si="265"/>
        <v/>
      </c>
      <c r="L3292" s="25" t="str">
        <f t="shared" si="261"/>
        <v/>
      </c>
      <c r="O3292" s="33" t="str">
        <f t="shared" si="262"/>
        <v/>
      </c>
      <c r="P3292" s="33" t="str">
        <f t="shared" si="263"/>
        <v/>
      </c>
    </row>
    <row r="3293" spans="9:16">
      <c r="I3293" s="23" t="str">
        <f>_xlfn.IFNA(VLOOKUP(A3293,A3294:$H$3524,8,0),"")</f>
        <v/>
      </c>
      <c r="J3293" s="40" t="str">
        <f t="shared" si="264"/>
        <v/>
      </c>
      <c r="K3293" s="24" t="str">
        <f t="shared" si="265"/>
        <v/>
      </c>
      <c r="L3293" s="25" t="str">
        <f t="shared" si="261"/>
        <v/>
      </c>
      <c r="O3293" s="33" t="str">
        <f t="shared" si="262"/>
        <v/>
      </c>
      <c r="P3293" s="33" t="str">
        <f t="shared" si="263"/>
        <v/>
      </c>
    </row>
    <row r="3294" spans="9:16">
      <c r="I3294" s="23" t="str">
        <f>_xlfn.IFNA(VLOOKUP(A3294,A3295:$H$3524,8,0),"")</f>
        <v/>
      </c>
      <c r="J3294" s="40" t="str">
        <f t="shared" si="264"/>
        <v/>
      </c>
      <c r="K3294" s="24" t="str">
        <f t="shared" si="265"/>
        <v/>
      </c>
      <c r="L3294" s="25" t="str">
        <f t="shared" si="261"/>
        <v/>
      </c>
      <c r="O3294" s="33" t="str">
        <f t="shared" si="262"/>
        <v/>
      </c>
      <c r="P3294" s="33" t="str">
        <f t="shared" si="263"/>
        <v/>
      </c>
    </row>
    <row r="3295" spans="9:16">
      <c r="I3295" s="23" t="str">
        <f>_xlfn.IFNA(VLOOKUP(A3295,A3296:$H$3524,8,0),"")</f>
        <v/>
      </c>
      <c r="J3295" s="40" t="str">
        <f t="shared" si="264"/>
        <v/>
      </c>
      <c r="K3295" s="24" t="str">
        <f t="shared" si="265"/>
        <v/>
      </c>
      <c r="L3295" s="25" t="str">
        <f t="shared" si="261"/>
        <v/>
      </c>
      <c r="O3295" s="33" t="str">
        <f t="shared" si="262"/>
        <v/>
      </c>
      <c r="P3295" s="33" t="str">
        <f t="shared" si="263"/>
        <v/>
      </c>
    </row>
    <row r="3296" spans="9:16">
      <c r="I3296" s="23" t="str">
        <f>_xlfn.IFNA(VLOOKUP(A3296,A3297:$H$3524,8,0),"")</f>
        <v/>
      </c>
      <c r="J3296" s="40" t="str">
        <f t="shared" si="264"/>
        <v/>
      </c>
      <c r="K3296" s="24" t="str">
        <f t="shared" si="265"/>
        <v/>
      </c>
      <c r="L3296" s="25" t="str">
        <f t="shared" si="261"/>
        <v/>
      </c>
      <c r="O3296" s="33" t="str">
        <f t="shared" si="262"/>
        <v/>
      </c>
      <c r="P3296" s="33" t="str">
        <f t="shared" si="263"/>
        <v/>
      </c>
    </row>
    <row r="3297" spans="9:16">
      <c r="I3297" s="23" t="str">
        <f>_xlfn.IFNA(VLOOKUP(A3297,A3298:$H$3524,8,0),"")</f>
        <v/>
      </c>
      <c r="J3297" s="40" t="str">
        <f t="shared" si="264"/>
        <v/>
      </c>
      <c r="K3297" s="24" t="str">
        <f t="shared" si="265"/>
        <v/>
      </c>
      <c r="L3297" s="25" t="str">
        <f t="shared" si="261"/>
        <v/>
      </c>
      <c r="O3297" s="33" t="str">
        <f t="shared" si="262"/>
        <v/>
      </c>
      <c r="P3297" s="33" t="str">
        <f t="shared" si="263"/>
        <v/>
      </c>
    </row>
    <row r="3298" spans="9:16">
      <c r="I3298" s="23" t="str">
        <f>_xlfn.IFNA(VLOOKUP(A3298,A3299:$H$3524,8,0),"")</f>
        <v/>
      </c>
      <c r="J3298" s="40" t="str">
        <f t="shared" si="264"/>
        <v/>
      </c>
      <c r="K3298" s="24" t="str">
        <f t="shared" si="265"/>
        <v/>
      </c>
      <c r="L3298" s="25" t="str">
        <f t="shared" si="261"/>
        <v/>
      </c>
      <c r="O3298" s="33" t="str">
        <f t="shared" si="262"/>
        <v/>
      </c>
      <c r="P3298" s="33" t="str">
        <f t="shared" si="263"/>
        <v/>
      </c>
    </row>
    <row r="3299" spans="9:16">
      <c r="I3299" s="23" t="str">
        <f>_xlfn.IFNA(VLOOKUP(A3299,A3300:$H$3524,8,0),"")</f>
        <v/>
      </c>
      <c r="J3299" s="40" t="str">
        <f t="shared" si="264"/>
        <v/>
      </c>
      <c r="K3299" s="24" t="str">
        <f t="shared" si="265"/>
        <v/>
      </c>
      <c r="L3299" s="25" t="str">
        <f t="shared" si="261"/>
        <v/>
      </c>
      <c r="O3299" s="33" t="str">
        <f t="shared" si="262"/>
        <v/>
      </c>
      <c r="P3299" s="33" t="str">
        <f t="shared" si="263"/>
        <v/>
      </c>
    </row>
    <row r="3300" spans="9:16">
      <c r="I3300" s="23" t="str">
        <f>_xlfn.IFNA(VLOOKUP(A3300,A3301:$H$3524,8,0),"")</f>
        <v/>
      </c>
      <c r="J3300" s="40" t="str">
        <f t="shared" si="264"/>
        <v/>
      </c>
      <c r="K3300" s="24" t="str">
        <f t="shared" si="265"/>
        <v/>
      </c>
      <c r="L3300" s="25" t="str">
        <f t="shared" si="261"/>
        <v/>
      </c>
      <c r="O3300" s="33" t="str">
        <f t="shared" si="262"/>
        <v/>
      </c>
      <c r="P3300" s="33" t="str">
        <f t="shared" si="263"/>
        <v/>
      </c>
    </row>
    <row r="3301" spans="9:16">
      <c r="I3301" s="23" t="str">
        <f>_xlfn.IFNA(VLOOKUP(A3301,A3302:$H$3524,8,0),"")</f>
        <v/>
      </c>
      <c r="J3301" s="40" t="str">
        <f t="shared" si="264"/>
        <v/>
      </c>
      <c r="K3301" s="24" t="str">
        <f t="shared" si="265"/>
        <v/>
      </c>
      <c r="L3301" s="25" t="str">
        <f t="shared" si="261"/>
        <v/>
      </c>
      <c r="O3301" s="33" t="str">
        <f t="shared" si="262"/>
        <v/>
      </c>
      <c r="P3301" s="33" t="str">
        <f t="shared" si="263"/>
        <v/>
      </c>
    </row>
    <row r="3302" spans="9:16">
      <c r="I3302" s="23" t="str">
        <f>_xlfn.IFNA(VLOOKUP(A3302,A3303:$H$3524,8,0),"")</f>
        <v/>
      </c>
      <c r="J3302" s="40" t="str">
        <f t="shared" si="264"/>
        <v/>
      </c>
      <c r="K3302" s="24" t="str">
        <f t="shared" si="265"/>
        <v/>
      </c>
      <c r="L3302" s="25" t="str">
        <f t="shared" si="261"/>
        <v/>
      </c>
      <c r="O3302" s="33" t="str">
        <f t="shared" si="262"/>
        <v/>
      </c>
      <c r="P3302" s="33" t="str">
        <f t="shared" si="263"/>
        <v/>
      </c>
    </row>
    <row r="3303" spans="9:16">
      <c r="I3303" s="23" t="str">
        <f>_xlfn.IFNA(VLOOKUP(A3303,A3304:$H$3524,8,0),"")</f>
        <v/>
      </c>
      <c r="J3303" s="40" t="str">
        <f t="shared" si="264"/>
        <v/>
      </c>
      <c r="K3303" s="24" t="str">
        <f t="shared" si="265"/>
        <v/>
      </c>
      <c r="L3303" s="25" t="str">
        <f t="shared" si="261"/>
        <v/>
      </c>
      <c r="O3303" s="33" t="str">
        <f t="shared" si="262"/>
        <v/>
      </c>
      <c r="P3303" s="33" t="str">
        <f t="shared" si="263"/>
        <v/>
      </c>
    </row>
    <row r="3304" spans="9:16">
      <c r="I3304" s="23" t="str">
        <f>_xlfn.IFNA(VLOOKUP(A3304,A3305:$H$3524,8,0),"")</f>
        <v/>
      </c>
      <c r="J3304" s="40" t="str">
        <f t="shared" si="264"/>
        <v/>
      </c>
      <c r="K3304" s="24" t="str">
        <f t="shared" si="265"/>
        <v/>
      </c>
      <c r="L3304" s="25" t="str">
        <f t="shared" si="261"/>
        <v/>
      </c>
      <c r="O3304" s="33" t="str">
        <f t="shared" si="262"/>
        <v/>
      </c>
      <c r="P3304" s="33" t="str">
        <f t="shared" si="263"/>
        <v/>
      </c>
    </row>
    <row r="3305" spans="9:16">
      <c r="I3305" s="23" t="str">
        <f>_xlfn.IFNA(VLOOKUP(A3305,A3306:$H$3524,8,0),"")</f>
        <v/>
      </c>
      <c r="J3305" s="40" t="str">
        <f t="shared" si="264"/>
        <v/>
      </c>
      <c r="K3305" s="24" t="str">
        <f t="shared" si="265"/>
        <v/>
      </c>
      <c r="L3305" s="25" t="str">
        <f t="shared" si="261"/>
        <v/>
      </c>
      <c r="O3305" s="33" t="str">
        <f t="shared" si="262"/>
        <v/>
      </c>
      <c r="P3305" s="33" t="str">
        <f t="shared" si="263"/>
        <v/>
      </c>
    </row>
    <row r="3306" spans="9:16">
      <c r="I3306" s="23" t="str">
        <f>_xlfn.IFNA(VLOOKUP(A3306,A3307:$H$3524,8,0),"")</f>
        <v/>
      </c>
      <c r="J3306" s="40" t="str">
        <f t="shared" si="264"/>
        <v/>
      </c>
      <c r="K3306" s="24" t="str">
        <f t="shared" si="265"/>
        <v/>
      </c>
      <c r="L3306" s="25" t="str">
        <f t="shared" si="261"/>
        <v/>
      </c>
      <c r="O3306" s="33" t="str">
        <f t="shared" si="262"/>
        <v/>
      </c>
      <c r="P3306" s="33" t="str">
        <f t="shared" si="263"/>
        <v/>
      </c>
    </row>
    <row r="3307" spans="9:16">
      <c r="I3307" s="23" t="str">
        <f>_xlfn.IFNA(VLOOKUP(A3307,A3308:$H$3524,8,0),"")</f>
        <v/>
      </c>
      <c r="J3307" s="40" t="str">
        <f t="shared" si="264"/>
        <v/>
      </c>
      <c r="K3307" s="24" t="str">
        <f t="shared" si="265"/>
        <v/>
      </c>
      <c r="L3307" s="25" t="str">
        <f t="shared" si="261"/>
        <v/>
      </c>
      <c r="O3307" s="33" t="str">
        <f t="shared" si="262"/>
        <v/>
      </c>
      <c r="P3307" s="33" t="str">
        <f t="shared" si="263"/>
        <v/>
      </c>
    </row>
    <row r="3308" spans="9:16">
      <c r="I3308" s="23" t="str">
        <f>_xlfn.IFNA(VLOOKUP(A3308,A3309:$H$3524,8,0),"")</f>
        <v/>
      </c>
      <c r="J3308" s="40" t="str">
        <f t="shared" si="264"/>
        <v/>
      </c>
      <c r="K3308" s="24" t="str">
        <f t="shared" si="265"/>
        <v/>
      </c>
      <c r="L3308" s="25" t="str">
        <f t="shared" si="261"/>
        <v/>
      </c>
      <c r="O3308" s="33" t="str">
        <f t="shared" si="262"/>
        <v/>
      </c>
      <c r="P3308" s="33" t="str">
        <f t="shared" si="263"/>
        <v/>
      </c>
    </row>
    <row r="3309" spans="9:16">
      <c r="I3309" s="23" t="str">
        <f>_xlfn.IFNA(VLOOKUP(A3309,A3310:$H$3524,8,0),"")</f>
        <v/>
      </c>
      <c r="J3309" s="40" t="str">
        <f t="shared" si="264"/>
        <v/>
      </c>
      <c r="K3309" s="24" t="str">
        <f t="shared" si="265"/>
        <v/>
      </c>
      <c r="L3309" s="25" t="str">
        <f t="shared" si="261"/>
        <v/>
      </c>
      <c r="O3309" s="33" t="str">
        <f t="shared" si="262"/>
        <v/>
      </c>
      <c r="P3309" s="33" t="str">
        <f t="shared" si="263"/>
        <v/>
      </c>
    </row>
    <row r="3310" spans="9:16">
      <c r="I3310" s="23" t="str">
        <f>_xlfn.IFNA(VLOOKUP(A3310,A3311:$H$3524,8,0),"")</f>
        <v/>
      </c>
      <c r="J3310" s="40" t="str">
        <f t="shared" si="264"/>
        <v/>
      </c>
      <c r="K3310" s="24" t="str">
        <f t="shared" si="265"/>
        <v/>
      </c>
      <c r="L3310" s="25" t="str">
        <f t="shared" si="261"/>
        <v/>
      </c>
      <c r="O3310" s="33" t="str">
        <f t="shared" si="262"/>
        <v/>
      </c>
      <c r="P3310" s="33" t="str">
        <f t="shared" si="263"/>
        <v/>
      </c>
    </row>
    <row r="3311" spans="9:16">
      <c r="I3311" s="23" t="str">
        <f>_xlfn.IFNA(VLOOKUP(A3311,A3312:$H$3524,8,0),"")</f>
        <v/>
      </c>
      <c r="J3311" s="40" t="str">
        <f t="shared" si="264"/>
        <v/>
      </c>
      <c r="K3311" s="24" t="str">
        <f t="shared" si="265"/>
        <v/>
      </c>
      <c r="L3311" s="25" t="str">
        <f t="shared" si="261"/>
        <v/>
      </c>
      <c r="O3311" s="33" t="str">
        <f t="shared" si="262"/>
        <v/>
      </c>
      <c r="P3311" s="33" t="str">
        <f t="shared" si="263"/>
        <v/>
      </c>
    </row>
    <row r="3312" spans="9:16">
      <c r="I3312" s="23" t="str">
        <f>_xlfn.IFNA(VLOOKUP(A3312,A3313:$H$3524,8,0),"")</f>
        <v/>
      </c>
      <c r="J3312" s="40" t="str">
        <f t="shared" si="264"/>
        <v/>
      </c>
      <c r="K3312" s="24" t="str">
        <f t="shared" si="265"/>
        <v/>
      </c>
      <c r="L3312" s="25" t="str">
        <f t="shared" si="261"/>
        <v/>
      </c>
      <c r="O3312" s="33" t="str">
        <f t="shared" si="262"/>
        <v/>
      </c>
      <c r="P3312" s="33" t="str">
        <f t="shared" si="263"/>
        <v/>
      </c>
    </row>
    <row r="3313" spans="9:16">
      <c r="I3313" s="23" t="str">
        <f>_xlfn.IFNA(VLOOKUP(A3313,A3314:$H$3524,8,0),"")</f>
        <v/>
      </c>
      <c r="J3313" s="40" t="str">
        <f t="shared" si="264"/>
        <v/>
      </c>
      <c r="K3313" s="24" t="str">
        <f t="shared" si="265"/>
        <v/>
      </c>
      <c r="L3313" s="25" t="str">
        <f t="shared" si="261"/>
        <v/>
      </c>
      <c r="O3313" s="33" t="str">
        <f t="shared" si="262"/>
        <v/>
      </c>
      <c r="P3313" s="33" t="str">
        <f t="shared" si="263"/>
        <v/>
      </c>
    </row>
    <row r="3314" spans="9:16">
      <c r="I3314" s="23" t="str">
        <f>_xlfn.IFNA(VLOOKUP(A3314,A3315:$H$3524,8,0),"")</f>
        <v/>
      </c>
      <c r="J3314" s="40" t="str">
        <f t="shared" si="264"/>
        <v/>
      </c>
      <c r="K3314" s="24" t="str">
        <f t="shared" si="265"/>
        <v/>
      </c>
      <c r="L3314" s="25" t="str">
        <f t="shared" si="261"/>
        <v/>
      </c>
      <c r="O3314" s="33" t="str">
        <f t="shared" si="262"/>
        <v/>
      </c>
      <c r="P3314" s="33" t="str">
        <f t="shared" si="263"/>
        <v/>
      </c>
    </row>
    <row r="3315" spans="9:16">
      <c r="I3315" s="23" t="str">
        <f>_xlfn.IFNA(VLOOKUP(A3315,A3316:$H$3524,8,0),"")</f>
        <v/>
      </c>
      <c r="J3315" s="40" t="str">
        <f t="shared" si="264"/>
        <v/>
      </c>
      <c r="K3315" s="24" t="str">
        <f t="shared" si="265"/>
        <v/>
      </c>
      <c r="L3315" s="25" t="str">
        <f t="shared" si="261"/>
        <v/>
      </c>
      <c r="O3315" s="33" t="str">
        <f t="shared" si="262"/>
        <v/>
      </c>
      <c r="P3315" s="33" t="str">
        <f t="shared" si="263"/>
        <v/>
      </c>
    </row>
    <row r="3316" spans="9:16">
      <c r="I3316" s="23" t="str">
        <f>_xlfn.IFNA(VLOOKUP(A3316,A3317:$H$3524,8,0),"")</f>
        <v/>
      </c>
      <c r="J3316" s="40" t="str">
        <f t="shared" si="264"/>
        <v/>
      </c>
      <c r="K3316" s="24" t="str">
        <f t="shared" si="265"/>
        <v/>
      </c>
      <c r="L3316" s="25" t="str">
        <f t="shared" si="261"/>
        <v/>
      </c>
      <c r="O3316" s="33" t="str">
        <f t="shared" si="262"/>
        <v/>
      </c>
      <c r="P3316" s="33" t="str">
        <f t="shared" si="263"/>
        <v/>
      </c>
    </row>
    <row r="3317" spans="9:16">
      <c r="I3317" s="23" t="str">
        <f>_xlfn.IFNA(VLOOKUP(A3317,A3318:$H$3524,8,0),"")</f>
        <v/>
      </c>
      <c r="J3317" s="40" t="str">
        <f t="shared" si="264"/>
        <v/>
      </c>
      <c r="K3317" s="24" t="str">
        <f t="shared" si="265"/>
        <v/>
      </c>
      <c r="L3317" s="25" t="str">
        <f t="shared" si="261"/>
        <v/>
      </c>
      <c r="O3317" s="33" t="str">
        <f t="shared" si="262"/>
        <v/>
      </c>
      <c r="P3317" s="33" t="str">
        <f t="shared" si="263"/>
        <v/>
      </c>
    </row>
    <row r="3318" spans="9:16">
      <c r="I3318" s="23" t="str">
        <f>_xlfn.IFNA(VLOOKUP(A3318,A3319:$H$3524,8,0),"")</f>
        <v/>
      </c>
      <c r="J3318" s="40" t="str">
        <f t="shared" si="264"/>
        <v/>
      </c>
      <c r="K3318" s="24" t="str">
        <f t="shared" si="265"/>
        <v/>
      </c>
      <c r="L3318" s="25" t="str">
        <f t="shared" si="261"/>
        <v/>
      </c>
      <c r="O3318" s="33" t="str">
        <f t="shared" si="262"/>
        <v/>
      </c>
      <c r="P3318" s="33" t="str">
        <f t="shared" si="263"/>
        <v/>
      </c>
    </row>
    <row r="3319" spans="9:16">
      <c r="I3319" s="23" t="str">
        <f>_xlfn.IFNA(VLOOKUP(A3319,A3320:$H$3524,8,0),"")</f>
        <v/>
      </c>
      <c r="J3319" s="40" t="str">
        <f t="shared" si="264"/>
        <v/>
      </c>
      <c r="K3319" s="24" t="str">
        <f t="shared" si="265"/>
        <v/>
      </c>
      <c r="L3319" s="25" t="str">
        <f t="shared" ref="L3319:L3382" si="266">IF(K3319="","",IF(B3319="Break","Break",IF(K3319&lt;&gt;0,"Work Finished",IF(B3319="OFF","Work Finished",IF(I3319="","Working","Work Finished")))))</f>
        <v/>
      </c>
      <c r="O3319" s="33" t="str">
        <f t="shared" ref="O3319:O3382" si="267">IF(AND(J3319="",M3319="",N3319=""),"",J3319-M3319-N3319)</f>
        <v/>
      </c>
      <c r="P3319" s="33" t="str">
        <f t="shared" ref="P3319:P3382" si="268">IF(HOUR(H3319)=0,"",HOUR(H3319))</f>
        <v/>
      </c>
    </row>
    <row r="3320" spans="9:16">
      <c r="I3320" s="23" t="str">
        <f>_xlfn.IFNA(VLOOKUP(A3320,A3321:$H$3524,8,0),"")</f>
        <v/>
      </c>
      <c r="J3320" s="40" t="str">
        <f t="shared" si="264"/>
        <v/>
      </c>
      <c r="K3320" s="24" t="str">
        <f t="shared" si="265"/>
        <v/>
      </c>
      <c r="L3320" s="25" t="str">
        <f t="shared" si="266"/>
        <v/>
      </c>
      <c r="O3320" s="33" t="str">
        <f t="shared" si="267"/>
        <v/>
      </c>
      <c r="P3320" s="33" t="str">
        <f t="shared" si="268"/>
        <v/>
      </c>
    </row>
    <row r="3321" spans="9:16">
      <c r="I3321" s="23" t="str">
        <f>_xlfn.IFNA(VLOOKUP(A3321,A3322:$H$3524,8,0),"")</f>
        <v/>
      </c>
      <c r="J3321" s="40" t="str">
        <f t="shared" si="264"/>
        <v/>
      </c>
      <c r="K3321" s="24" t="str">
        <f t="shared" si="265"/>
        <v/>
      </c>
      <c r="L3321" s="25" t="str">
        <f t="shared" si="266"/>
        <v/>
      </c>
      <c r="O3321" s="33" t="str">
        <f t="shared" si="267"/>
        <v/>
      </c>
      <c r="P3321" s="33" t="str">
        <f t="shared" si="268"/>
        <v/>
      </c>
    </row>
    <row r="3322" spans="9:16">
      <c r="I3322" s="23" t="str">
        <f>_xlfn.IFNA(VLOOKUP(A3322,A3323:$H$3524,8,0),"")</f>
        <v/>
      </c>
      <c r="J3322" s="40" t="str">
        <f t="shared" si="264"/>
        <v/>
      </c>
      <c r="K3322" s="24" t="str">
        <f t="shared" si="265"/>
        <v/>
      </c>
      <c r="L3322" s="25" t="str">
        <f t="shared" si="266"/>
        <v/>
      </c>
      <c r="O3322" s="33" t="str">
        <f t="shared" si="267"/>
        <v/>
      </c>
      <c r="P3322" s="33" t="str">
        <f t="shared" si="268"/>
        <v/>
      </c>
    </row>
    <row r="3323" spans="9:16">
      <c r="I3323" s="23" t="str">
        <f>_xlfn.IFNA(VLOOKUP(A3323,A3324:$H$3524,8,0),"")</f>
        <v/>
      </c>
      <c r="J3323" s="40" t="str">
        <f t="shared" si="264"/>
        <v/>
      </c>
      <c r="K3323" s="24" t="str">
        <f t="shared" si="265"/>
        <v/>
      </c>
      <c r="L3323" s="25" t="str">
        <f t="shared" si="266"/>
        <v/>
      </c>
      <c r="O3323" s="33" t="str">
        <f t="shared" si="267"/>
        <v/>
      </c>
      <c r="P3323" s="33" t="str">
        <f t="shared" si="268"/>
        <v/>
      </c>
    </row>
    <row r="3324" spans="9:16">
      <c r="I3324" s="23" t="str">
        <f>_xlfn.IFNA(VLOOKUP(A3324,A3325:$H$3524,8,0),"")</f>
        <v/>
      </c>
      <c r="J3324" s="40" t="str">
        <f t="shared" si="264"/>
        <v/>
      </c>
      <c r="K3324" s="24" t="str">
        <f t="shared" si="265"/>
        <v/>
      </c>
      <c r="L3324" s="25" t="str">
        <f t="shared" si="266"/>
        <v/>
      </c>
      <c r="O3324" s="33" t="str">
        <f t="shared" si="267"/>
        <v/>
      </c>
      <c r="P3324" s="33" t="str">
        <f t="shared" si="268"/>
        <v/>
      </c>
    </row>
    <row r="3325" spans="9:16">
      <c r="I3325" s="23" t="str">
        <f>_xlfn.IFNA(VLOOKUP(A3325,A3326:$H$3524,8,0),"")</f>
        <v/>
      </c>
      <c r="J3325" s="40" t="str">
        <f t="shared" si="264"/>
        <v/>
      </c>
      <c r="K3325" s="24" t="str">
        <f t="shared" si="265"/>
        <v/>
      </c>
      <c r="L3325" s="25" t="str">
        <f t="shared" si="266"/>
        <v/>
      </c>
      <c r="O3325" s="33" t="str">
        <f t="shared" si="267"/>
        <v/>
      </c>
      <c r="P3325" s="33" t="str">
        <f t="shared" si="268"/>
        <v/>
      </c>
    </row>
    <row r="3326" spans="9:16">
      <c r="I3326" s="23" t="str">
        <f>_xlfn.IFNA(VLOOKUP(A3326,A3327:$H$3524,8,0),"")</f>
        <v/>
      </c>
      <c r="J3326" s="40" t="str">
        <f t="shared" si="264"/>
        <v/>
      </c>
      <c r="K3326" s="24" t="str">
        <f t="shared" si="265"/>
        <v/>
      </c>
      <c r="L3326" s="25" t="str">
        <f t="shared" si="266"/>
        <v/>
      </c>
      <c r="O3326" s="33" t="str">
        <f t="shared" si="267"/>
        <v/>
      </c>
      <c r="P3326" s="33" t="str">
        <f t="shared" si="268"/>
        <v/>
      </c>
    </row>
    <row r="3327" spans="9:16">
      <c r="I3327" s="23" t="str">
        <f>_xlfn.IFNA(VLOOKUP(A3327,A3328:$H$3524,8,0),"")</f>
        <v/>
      </c>
      <c r="J3327" s="40" t="str">
        <f t="shared" si="264"/>
        <v/>
      </c>
      <c r="K3327" s="24" t="str">
        <f t="shared" si="265"/>
        <v/>
      </c>
      <c r="L3327" s="25" t="str">
        <f t="shared" si="266"/>
        <v/>
      </c>
      <c r="O3327" s="33" t="str">
        <f t="shared" si="267"/>
        <v/>
      </c>
      <c r="P3327" s="33" t="str">
        <f t="shared" si="268"/>
        <v/>
      </c>
    </row>
    <row r="3328" spans="9:16">
      <c r="I3328" s="23" t="str">
        <f>_xlfn.IFNA(VLOOKUP(A3328,A3329:$H$3524,8,0),"")</f>
        <v/>
      </c>
      <c r="J3328" s="40" t="str">
        <f t="shared" si="264"/>
        <v/>
      </c>
      <c r="K3328" s="24" t="str">
        <f t="shared" si="265"/>
        <v/>
      </c>
      <c r="L3328" s="25" t="str">
        <f t="shared" si="266"/>
        <v/>
      </c>
      <c r="O3328" s="33" t="str">
        <f t="shared" si="267"/>
        <v/>
      </c>
      <c r="P3328" s="33" t="str">
        <f t="shared" si="268"/>
        <v/>
      </c>
    </row>
    <row r="3329" spans="9:16">
      <c r="I3329" s="23" t="str">
        <f>_xlfn.IFNA(VLOOKUP(A3329,A3330:$H$3524,8,0),"")</f>
        <v/>
      </c>
      <c r="J3329" s="40" t="str">
        <f t="shared" si="264"/>
        <v/>
      </c>
      <c r="K3329" s="24" t="str">
        <f t="shared" si="265"/>
        <v/>
      </c>
      <c r="L3329" s="25" t="str">
        <f t="shared" si="266"/>
        <v/>
      </c>
      <c r="O3329" s="33" t="str">
        <f t="shared" si="267"/>
        <v/>
      </c>
      <c r="P3329" s="33" t="str">
        <f t="shared" si="268"/>
        <v/>
      </c>
    </row>
    <row r="3330" spans="9:16">
      <c r="I3330" s="23" t="str">
        <f>_xlfn.IFNA(VLOOKUP(A3330,A3331:$H$3524,8,0),"")</f>
        <v/>
      </c>
      <c r="J3330" s="40" t="str">
        <f t="shared" si="264"/>
        <v/>
      </c>
      <c r="K3330" s="24" t="str">
        <f t="shared" si="265"/>
        <v/>
      </c>
      <c r="L3330" s="25" t="str">
        <f t="shared" si="266"/>
        <v/>
      </c>
      <c r="O3330" s="33" t="str">
        <f t="shared" si="267"/>
        <v/>
      </c>
      <c r="P3330" s="33" t="str">
        <f t="shared" si="268"/>
        <v/>
      </c>
    </row>
    <row r="3331" spans="9:16">
      <c r="I3331" s="23" t="str">
        <f>_xlfn.IFNA(VLOOKUP(A3331,A3332:$H$3524,8,0),"")</f>
        <v/>
      </c>
      <c r="J3331" s="40" t="str">
        <f t="shared" si="264"/>
        <v/>
      </c>
      <c r="K3331" s="24" t="str">
        <f t="shared" si="265"/>
        <v/>
      </c>
      <c r="L3331" s="25" t="str">
        <f t="shared" si="266"/>
        <v/>
      </c>
      <c r="O3331" s="33" t="str">
        <f t="shared" si="267"/>
        <v/>
      </c>
      <c r="P3331" s="33" t="str">
        <f t="shared" si="268"/>
        <v/>
      </c>
    </row>
    <row r="3332" spans="9:16">
      <c r="I3332" s="23" t="str">
        <f>_xlfn.IFNA(VLOOKUP(A3332,A3333:$H$3524,8,0),"")</f>
        <v/>
      </c>
      <c r="J3332" s="40" t="str">
        <f t="shared" si="264"/>
        <v/>
      </c>
      <c r="K3332" s="24" t="str">
        <f t="shared" si="265"/>
        <v/>
      </c>
      <c r="L3332" s="25" t="str">
        <f t="shared" si="266"/>
        <v/>
      </c>
      <c r="O3332" s="33" t="str">
        <f t="shared" si="267"/>
        <v/>
      </c>
      <c r="P3332" s="33" t="str">
        <f t="shared" si="268"/>
        <v/>
      </c>
    </row>
    <row r="3333" spans="9:16">
      <c r="I3333" s="23" t="str">
        <f>_xlfn.IFNA(VLOOKUP(A3333,A3334:$H$3524,8,0),"")</f>
        <v/>
      </c>
      <c r="J3333" s="40" t="str">
        <f t="shared" si="264"/>
        <v/>
      </c>
      <c r="K3333" s="24" t="str">
        <f t="shared" si="265"/>
        <v/>
      </c>
      <c r="L3333" s="25" t="str">
        <f t="shared" si="266"/>
        <v/>
      </c>
      <c r="O3333" s="33" t="str">
        <f t="shared" si="267"/>
        <v/>
      </c>
      <c r="P3333" s="33" t="str">
        <f t="shared" si="268"/>
        <v/>
      </c>
    </row>
    <row r="3334" spans="9:16">
      <c r="I3334" s="23" t="str">
        <f>_xlfn.IFNA(VLOOKUP(A3334,A3335:$H$3524,8,0),"")</f>
        <v/>
      </c>
      <c r="J3334" s="40" t="str">
        <f t="shared" ref="J3334:J3397" si="269">IF(B3334="OFF",0,IF(AND(D3334&lt;&gt;"",E3334&lt;&gt;""),E3334-D3334+1,""))</f>
        <v/>
      </c>
      <c r="K3334" s="24" t="str">
        <f t="shared" si="265"/>
        <v/>
      </c>
      <c r="L3334" s="25" t="str">
        <f t="shared" si="266"/>
        <v/>
      </c>
      <c r="O3334" s="33" t="str">
        <f t="shared" si="267"/>
        <v/>
      </c>
      <c r="P3334" s="33" t="str">
        <f t="shared" si="268"/>
        <v/>
      </c>
    </row>
    <row r="3335" spans="9:16">
      <c r="I3335" s="23" t="str">
        <f>_xlfn.IFNA(VLOOKUP(A3335,A3336:$H$3524,8,0),"")</f>
        <v/>
      </c>
      <c r="J3335" s="40" t="str">
        <f t="shared" si="269"/>
        <v/>
      </c>
      <c r="K3335" s="24" t="str">
        <f t="shared" si="265"/>
        <v/>
      </c>
      <c r="L3335" s="25" t="str">
        <f t="shared" si="266"/>
        <v/>
      </c>
      <c r="O3335" s="33" t="str">
        <f t="shared" si="267"/>
        <v/>
      </c>
      <c r="P3335" s="33" t="str">
        <f t="shared" si="268"/>
        <v/>
      </c>
    </row>
    <row r="3336" spans="9:16">
      <c r="I3336" s="23" t="str">
        <f>_xlfn.IFNA(VLOOKUP(A3336,A3337:$H$3524,8,0),"")</f>
        <v/>
      </c>
      <c r="J3336" s="40" t="str">
        <f t="shared" si="269"/>
        <v/>
      </c>
      <c r="K3336" s="24" t="str">
        <f t="shared" si="265"/>
        <v/>
      </c>
      <c r="L3336" s="25" t="str">
        <f t="shared" si="266"/>
        <v/>
      </c>
      <c r="O3336" s="33" t="str">
        <f t="shared" si="267"/>
        <v/>
      </c>
      <c r="P3336" s="33" t="str">
        <f t="shared" si="268"/>
        <v/>
      </c>
    </row>
    <row r="3337" spans="9:16">
      <c r="I3337" s="23" t="str">
        <f>_xlfn.IFNA(VLOOKUP(A3337,A3338:$H$3524,8,0),"")</f>
        <v/>
      </c>
      <c r="J3337" s="40" t="str">
        <f t="shared" si="269"/>
        <v/>
      </c>
      <c r="K3337" s="24" t="str">
        <f t="shared" si="265"/>
        <v/>
      </c>
      <c r="L3337" s="25" t="str">
        <f t="shared" si="266"/>
        <v/>
      </c>
      <c r="O3337" s="33" t="str">
        <f t="shared" si="267"/>
        <v/>
      </c>
      <c r="P3337" s="33" t="str">
        <f t="shared" si="268"/>
        <v/>
      </c>
    </row>
    <row r="3338" spans="9:16">
      <c r="I3338" s="23" t="str">
        <f>_xlfn.IFNA(VLOOKUP(A3338,A3339:$H$3524,8,0),"")</f>
        <v/>
      </c>
      <c r="J3338" s="40" t="str">
        <f t="shared" si="269"/>
        <v/>
      </c>
      <c r="K3338" s="24" t="str">
        <f t="shared" si="265"/>
        <v/>
      </c>
      <c r="L3338" s="25" t="str">
        <f t="shared" si="266"/>
        <v/>
      </c>
      <c r="O3338" s="33" t="str">
        <f t="shared" si="267"/>
        <v/>
      </c>
      <c r="P3338" s="33" t="str">
        <f t="shared" si="268"/>
        <v/>
      </c>
    </row>
    <row r="3339" spans="9:16">
      <c r="I3339" s="23" t="str">
        <f>_xlfn.IFNA(VLOOKUP(A3339,A3340:$H$3524,8,0),"")</f>
        <v/>
      </c>
      <c r="J3339" s="40" t="str">
        <f t="shared" si="269"/>
        <v/>
      </c>
      <c r="K3339" s="24" t="str">
        <f t="shared" si="265"/>
        <v/>
      </c>
      <c r="L3339" s="25" t="str">
        <f t="shared" si="266"/>
        <v/>
      </c>
      <c r="O3339" s="33" t="str">
        <f t="shared" si="267"/>
        <v/>
      </c>
      <c r="P3339" s="33" t="str">
        <f t="shared" si="268"/>
        <v/>
      </c>
    </row>
    <row r="3340" spans="9:16">
      <c r="I3340" s="23" t="str">
        <f>_xlfn.IFNA(VLOOKUP(A3340,A3341:$H$3524,8,0),"")</f>
        <v/>
      </c>
      <c r="J3340" s="40" t="str">
        <f t="shared" si="269"/>
        <v/>
      </c>
      <c r="K3340" s="24" t="str">
        <f t="shared" si="265"/>
        <v/>
      </c>
      <c r="L3340" s="25" t="str">
        <f t="shared" si="266"/>
        <v/>
      </c>
      <c r="O3340" s="33" t="str">
        <f t="shared" si="267"/>
        <v/>
      </c>
      <c r="P3340" s="33" t="str">
        <f t="shared" si="268"/>
        <v/>
      </c>
    </row>
    <row r="3341" spans="9:16">
      <c r="I3341" s="23" t="str">
        <f>_xlfn.IFNA(VLOOKUP(A3341,A3342:$H$3524,8,0),"")</f>
        <v/>
      </c>
      <c r="J3341" s="40" t="str">
        <f t="shared" si="269"/>
        <v/>
      </c>
      <c r="K3341" s="24" t="str">
        <f t="shared" si="265"/>
        <v/>
      </c>
      <c r="L3341" s="25" t="str">
        <f t="shared" si="266"/>
        <v/>
      </c>
      <c r="O3341" s="33" t="str">
        <f t="shared" si="267"/>
        <v/>
      </c>
      <c r="P3341" s="33" t="str">
        <f t="shared" si="268"/>
        <v/>
      </c>
    </row>
    <row r="3342" spans="9:16">
      <c r="I3342" s="23" t="str">
        <f>_xlfn.IFNA(VLOOKUP(A3342,A3343:$H$3524,8,0),"")</f>
        <v/>
      </c>
      <c r="J3342" s="40" t="str">
        <f t="shared" si="269"/>
        <v/>
      </c>
      <c r="K3342" s="24" t="str">
        <f t="shared" si="265"/>
        <v/>
      </c>
      <c r="L3342" s="25" t="str">
        <f t="shared" si="266"/>
        <v/>
      </c>
      <c r="O3342" s="33" t="str">
        <f t="shared" si="267"/>
        <v/>
      </c>
      <c r="P3342" s="33" t="str">
        <f t="shared" si="268"/>
        <v/>
      </c>
    </row>
    <row r="3343" spans="9:16">
      <c r="I3343" s="23" t="str">
        <f>_xlfn.IFNA(VLOOKUP(A3343,A3344:$H$3524,8,0),"")</f>
        <v/>
      </c>
      <c r="J3343" s="40" t="str">
        <f t="shared" si="269"/>
        <v/>
      </c>
      <c r="K3343" s="24" t="str">
        <f t="shared" si="265"/>
        <v/>
      </c>
      <c r="L3343" s="25" t="str">
        <f t="shared" si="266"/>
        <v/>
      </c>
      <c r="O3343" s="33" t="str">
        <f t="shared" si="267"/>
        <v/>
      </c>
      <c r="P3343" s="33" t="str">
        <f t="shared" si="268"/>
        <v/>
      </c>
    </row>
    <row r="3344" spans="9:16">
      <c r="I3344" s="23" t="str">
        <f>_xlfn.IFNA(VLOOKUP(A3344,A3345:$H$3524,8,0),"")</f>
        <v/>
      </c>
      <c r="J3344" s="40" t="str">
        <f t="shared" si="269"/>
        <v/>
      </c>
      <c r="K3344" s="24" t="str">
        <f t="shared" si="265"/>
        <v/>
      </c>
      <c r="L3344" s="25" t="str">
        <f t="shared" si="266"/>
        <v/>
      </c>
      <c r="O3344" s="33" t="str">
        <f t="shared" si="267"/>
        <v/>
      </c>
      <c r="P3344" s="33" t="str">
        <f t="shared" si="268"/>
        <v/>
      </c>
    </row>
    <row r="3345" spans="9:16">
      <c r="I3345" s="23" t="str">
        <f>_xlfn.IFNA(VLOOKUP(A3345,A3346:$H$3524,8,0),"")</f>
        <v/>
      </c>
      <c r="J3345" s="40" t="str">
        <f t="shared" si="269"/>
        <v/>
      </c>
      <c r="K3345" s="24" t="str">
        <f t="shared" si="265"/>
        <v/>
      </c>
      <c r="L3345" s="25" t="str">
        <f t="shared" si="266"/>
        <v/>
      </c>
      <c r="O3345" s="33" t="str">
        <f t="shared" si="267"/>
        <v/>
      </c>
      <c r="P3345" s="33" t="str">
        <f t="shared" si="268"/>
        <v/>
      </c>
    </row>
    <row r="3346" spans="9:16">
      <c r="I3346" s="23" t="str">
        <f>_xlfn.IFNA(VLOOKUP(A3346,A3347:$H$3524,8,0),"")</f>
        <v/>
      </c>
      <c r="J3346" s="40" t="str">
        <f t="shared" si="269"/>
        <v/>
      </c>
      <c r="K3346" s="24" t="str">
        <f t="shared" si="265"/>
        <v/>
      </c>
      <c r="L3346" s="25" t="str">
        <f t="shared" si="266"/>
        <v/>
      </c>
      <c r="O3346" s="33" t="str">
        <f t="shared" si="267"/>
        <v/>
      </c>
      <c r="P3346" s="33" t="str">
        <f t="shared" si="268"/>
        <v/>
      </c>
    </row>
    <row r="3347" spans="9:16">
      <c r="I3347" s="23" t="str">
        <f>_xlfn.IFNA(VLOOKUP(A3347,A3348:$H$3524,8,0),"")</f>
        <v/>
      </c>
      <c r="J3347" s="40" t="str">
        <f t="shared" si="269"/>
        <v/>
      </c>
      <c r="K3347" s="24" t="str">
        <f t="shared" si="265"/>
        <v/>
      </c>
      <c r="L3347" s="25" t="str">
        <f t="shared" si="266"/>
        <v/>
      </c>
      <c r="O3347" s="33" t="str">
        <f t="shared" si="267"/>
        <v/>
      </c>
      <c r="P3347" s="33" t="str">
        <f t="shared" si="268"/>
        <v/>
      </c>
    </row>
    <row r="3348" spans="9:16">
      <c r="I3348" s="23" t="str">
        <f>_xlfn.IFNA(VLOOKUP(A3348,A3349:$H$3524,8,0),"")</f>
        <v/>
      </c>
      <c r="J3348" s="40" t="str">
        <f t="shared" si="269"/>
        <v/>
      </c>
      <c r="K3348" s="24" t="str">
        <f t="shared" si="265"/>
        <v/>
      </c>
      <c r="L3348" s="25" t="str">
        <f t="shared" si="266"/>
        <v/>
      </c>
      <c r="O3348" s="33" t="str">
        <f t="shared" si="267"/>
        <v/>
      </c>
      <c r="P3348" s="33" t="str">
        <f t="shared" si="268"/>
        <v/>
      </c>
    </row>
    <row r="3349" spans="9:16">
      <c r="I3349" s="23" t="str">
        <f>_xlfn.IFNA(VLOOKUP(A3349,A3350:$H$3524,8,0),"")</f>
        <v/>
      </c>
      <c r="J3349" s="40" t="str">
        <f t="shared" si="269"/>
        <v/>
      </c>
      <c r="K3349" s="24" t="str">
        <f t="shared" si="265"/>
        <v/>
      </c>
      <c r="L3349" s="25" t="str">
        <f t="shared" si="266"/>
        <v/>
      </c>
      <c r="O3349" s="33" t="str">
        <f t="shared" si="267"/>
        <v/>
      </c>
      <c r="P3349" s="33" t="str">
        <f t="shared" si="268"/>
        <v/>
      </c>
    </row>
    <row r="3350" spans="9:16">
      <c r="I3350" s="23" t="str">
        <f>_xlfn.IFNA(VLOOKUP(A3350,A3351:$H$3524,8,0),"")</f>
        <v/>
      </c>
      <c r="J3350" s="40" t="str">
        <f t="shared" si="269"/>
        <v/>
      </c>
      <c r="K3350" s="24" t="str">
        <f t="shared" ref="K3350:K3413" si="270">IF(H3350="","",IFERROR((I3350-H3350)*24,0))</f>
        <v/>
      </c>
      <c r="L3350" s="25" t="str">
        <f t="shared" si="266"/>
        <v/>
      </c>
      <c r="O3350" s="33" t="str">
        <f t="shared" si="267"/>
        <v/>
      </c>
      <c r="P3350" s="33" t="str">
        <f t="shared" si="268"/>
        <v/>
      </c>
    </row>
    <row r="3351" spans="9:16">
      <c r="I3351" s="23" t="str">
        <f>_xlfn.IFNA(VLOOKUP(A3351,A3352:$H$3524,8,0),"")</f>
        <v/>
      </c>
      <c r="J3351" s="40" t="str">
        <f t="shared" si="269"/>
        <v/>
      </c>
      <c r="K3351" s="24" t="str">
        <f t="shared" si="270"/>
        <v/>
      </c>
      <c r="L3351" s="25" t="str">
        <f t="shared" si="266"/>
        <v/>
      </c>
      <c r="O3351" s="33" t="str">
        <f t="shared" si="267"/>
        <v/>
      </c>
      <c r="P3351" s="33" t="str">
        <f t="shared" si="268"/>
        <v/>
      </c>
    </row>
    <row r="3352" spans="9:16">
      <c r="I3352" s="23" t="str">
        <f>_xlfn.IFNA(VLOOKUP(A3352,A3353:$H$3524,8,0),"")</f>
        <v/>
      </c>
      <c r="J3352" s="40" t="str">
        <f t="shared" si="269"/>
        <v/>
      </c>
      <c r="K3352" s="24" t="str">
        <f t="shared" si="270"/>
        <v/>
      </c>
      <c r="L3352" s="25" t="str">
        <f t="shared" si="266"/>
        <v/>
      </c>
      <c r="O3352" s="33" t="str">
        <f t="shared" si="267"/>
        <v/>
      </c>
      <c r="P3352" s="33" t="str">
        <f t="shared" si="268"/>
        <v/>
      </c>
    </row>
    <row r="3353" spans="9:16">
      <c r="I3353" s="23" t="str">
        <f>_xlfn.IFNA(VLOOKUP(A3353,A3354:$H$3524,8,0),"")</f>
        <v/>
      </c>
      <c r="J3353" s="40" t="str">
        <f t="shared" si="269"/>
        <v/>
      </c>
      <c r="K3353" s="24" t="str">
        <f t="shared" si="270"/>
        <v/>
      </c>
      <c r="L3353" s="25" t="str">
        <f t="shared" si="266"/>
        <v/>
      </c>
      <c r="O3353" s="33" t="str">
        <f t="shared" si="267"/>
        <v/>
      </c>
      <c r="P3353" s="33" t="str">
        <f t="shared" si="268"/>
        <v/>
      </c>
    </row>
    <row r="3354" spans="9:16">
      <c r="I3354" s="23" t="str">
        <f>_xlfn.IFNA(VLOOKUP(A3354,A3355:$H$3524,8,0),"")</f>
        <v/>
      </c>
      <c r="J3354" s="40" t="str">
        <f t="shared" si="269"/>
        <v/>
      </c>
      <c r="K3354" s="24" t="str">
        <f t="shared" si="270"/>
        <v/>
      </c>
      <c r="L3354" s="25" t="str">
        <f t="shared" si="266"/>
        <v/>
      </c>
      <c r="O3354" s="33" t="str">
        <f t="shared" si="267"/>
        <v/>
      </c>
      <c r="P3354" s="33" t="str">
        <f t="shared" si="268"/>
        <v/>
      </c>
    </row>
    <row r="3355" spans="9:16">
      <c r="I3355" s="23" t="str">
        <f>_xlfn.IFNA(VLOOKUP(A3355,A3356:$H$3524,8,0),"")</f>
        <v/>
      </c>
      <c r="J3355" s="40" t="str">
        <f t="shared" si="269"/>
        <v/>
      </c>
      <c r="K3355" s="24" t="str">
        <f t="shared" si="270"/>
        <v/>
      </c>
      <c r="L3355" s="25" t="str">
        <f t="shared" si="266"/>
        <v/>
      </c>
      <c r="O3355" s="33" t="str">
        <f t="shared" si="267"/>
        <v/>
      </c>
      <c r="P3355" s="33" t="str">
        <f t="shared" si="268"/>
        <v/>
      </c>
    </row>
    <row r="3356" spans="9:16">
      <c r="I3356" s="23" t="str">
        <f>_xlfn.IFNA(VLOOKUP(A3356,A3357:$H$3524,8,0),"")</f>
        <v/>
      </c>
      <c r="J3356" s="40" t="str">
        <f t="shared" si="269"/>
        <v/>
      </c>
      <c r="K3356" s="24" t="str">
        <f t="shared" si="270"/>
        <v/>
      </c>
      <c r="L3356" s="25" t="str">
        <f t="shared" si="266"/>
        <v/>
      </c>
      <c r="O3356" s="33" t="str">
        <f t="shared" si="267"/>
        <v/>
      </c>
      <c r="P3356" s="33" t="str">
        <f t="shared" si="268"/>
        <v/>
      </c>
    </row>
    <row r="3357" spans="9:16">
      <c r="I3357" s="23" t="str">
        <f>_xlfn.IFNA(VLOOKUP(A3357,A3358:$H$3524,8,0),"")</f>
        <v/>
      </c>
      <c r="J3357" s="40" t="str">
        <f t="shared" si="269"/>
        <v/>
      </c>
      <c r="K3357" s="24" t="str">
        <f t="shared" si="270"/>
        <v/>
      </c>
      <c r="L3357" s="25" t="str">
        <f t="shared" si="266"/>
        <v/>
      </c>
      <c r="O3357" s="33" t="str">
        <f t="shared" si="267"/>
        <v/>
      </c>
      <c r="P3357" s="33" t="str">
        <f t="shared" si="268"/>
        <v/>
      </c>
    </row>
    <row r="3358" spans="9:16">
      <c r="I3358" s="23" t="str">
        <f>_xlfn.IFNA(VLOOKUP(A3358,A3359:$H$3524,8,0),"")</f>
        <v/>
      </c>
      <c r="J3358" s="40" t="str">
        <f t="shared" si="269"/>
        <v/>
      </c>
      <c r="K3358" s="24" t="str">
        <f t="shared" si="270"/>
        <v/>
      </c>
      <c r="L3358" s="25" t="str">
        <f t="shared" si="266"/>
        <v/>
      </c>
      <c r="O3358" s="33" t="str">
        <f t="shared" si="267"/>
        <v/>
      </c>
      <c r="P3358" s="33" t="str">
        <f t="shared" si="268"/>
        <v/>
      </c>
    </row>
    <row r="3359" spans="9:16">
      <c r="I3359" s="23" t="str">
        <f>_xlfn.IFNA(VLOOKUP(A3359,A3360:$H$3524,8,0),"")</f>
        <v/>
      </c>
      <c r="J3359" s="40" t="str">
        <f t="shared" si="269"/>
        <v/>
      </c>
      <c r="K3359" s="24" t="str">
        <f t="shared" si="270"/>
        <v/>
      </c>
      <c r="L3359" s="25" t="str">
        <f t="shared" si="266"/>
        <v/>
      </c>
      <c r="O3359" s="33" t="str">
        <f t="shared" si="267"/>
        <v/>
      </c>
      <c r="P3359" s="33" t="str">
        <f t="shared" si="268"/>
        <v/>
      </c>
    </row>
    <row r="3360" spans="9:16">
      <c r="I3360" s="23" t="str">
        <f>_xlfn.IFNA(VLOOKUP(A3360,A3361:$H$3524,8,0),"")</f>
        <v/>
      </c>
      <c r="J3360" s="40" t="str">
        <f t="shared" si="269"/>
        <v/>
      </c>
      <c r="K3360" s="24" t="str">
        <f t="shared" si="270"/>
        <v/>
      </c>
      <c r="L3360" s="25" t="str">
        <f t="shared" si="266"/>
        <v/>
      </c>
      <c r="O3360" s="33" t="str">
        <f t="shared" si="267"/>
        <v/>
      </c>
      <c r="P3360" s="33" t="str">
        <f t="shared" si="268"/>
        <v/>
      </c>
    </row>
    <row r="3361" spans="9:16">
      <c r="I3361" s="23" t="str">
        <f>_xlfn.IFNA(VLOOKUP(A3361,A3362:$H$3524,8,0),"")</f>
        <v/>
      </c>
      <c r="J3361" s="40" t="str">
        <f t="shared" si="269"/>
        <v/>
      </c>
      <c r="K3361" s="24" t="str">
        <f t="shared" si="270"/>
        <v/>
      </c>
      <c r="L3361" s="25" t="str">
        <f t="shared" si="266"/>
        <v/>
      </c>
      <c r="O3361" s="33" t="str">
        <f t="shared" si="267"/>
        <v/>
      </c>
      <c r="P3361" s="33" t="str">
        <f t="shared" si="268"/>
        <v/>
      </c>
    </row>
    <row r="3362" spans="9:16">
      <c r="I3362" s="23" t="str">
        <f>_xlfn.IFNA(VLOOKUP(A3362,A3363:$H$3524,8,0),"")</f>
        <v/>
      </c>
      <c r="J3362" s="40" t="str">
        <f t="shared" si="269"/>
        <v/>
      </c>
      <c r="K3362" s="24" t="str">
        <f t="shared" si="270"/>
        <v/>
      </c>
      <c r="L3362" s="25" t="str">
        <f t="shared" si="266"/>
        <v/>
      </c>
      <c r="O3362" s="33" t="str">
        <f t="shared" si="267"/>
        <v/>
      </c>
      <c r="P3362" s="33" t="str">
        <f t="shared" si="268"/>
        <v/>
      </c>
    </row>
    <row r="3363" spans="9:16">
      <c r="I3363" s="23" t="str">
        <f>_xlfn.IFNA(VLOOKUP(A3363,A3364:$H$3524,8,0),"")</f>
        <v/>
      </c>
      <c r="J3363" s="40" t="str">
        <f t="shared" si="269"/>
        <v/>
      </c>
      <c r="K3363" s="24" t="str">
        <f t="shared" si="270"/>
        <v/>
      </c>
      <c r="L3363" s="25" t="str">
        <f t="shared" si="266"/>
        <v/>
      </c>
      <c r="O3363" s="33" t="str">
        <f t="shared" si="267"/>
        <v/>
      </c>
      <c r="P3363" s="33" t="str">
        <f t="shared" si="268"/>
        <v/>
      </c>
    </row>
    <row r="3364" spans="9:16">
      <c r="I3364" s="23" t="str">
        <f>_xlfn.IFNA(VLOOKUP(A3364,A3365:$H$3524,8,0),"")</f>
        <v/>
      </c>
      <c r="J3364" s="40" t="str">
        <f t="shared" si="269"/>
        <v/>
      </c>
      <c r="K3364" s="24" t="str">
        <f t="shared" si="270"/>
        <v/>
      </c>
      <c r="L3364" s="25" t="str">
        <f t="shared" si="266"/>
        <v/>
      </c>
      <c r="O3364" s="33" t="str">
        <f t="shared" si="267"/>
        <v/>
      </c>
      <c r="P3364" s="33" t="str">
        <f t="shared" si="268"/>
        <v/>
      </c>
    </row>
    <row r="3365" spans="9:16">
      <c r="I3365" s="23" t="str">
        <f>_xlfn.IFNA(VLOOKUP(A3365,A3366:$H$3524,8,0),"")</f>
        <v/>
      </c>
      <c r="J3365" s="40" t="str">
        <f t="shared" si="269"/>
        <v/>
      </c>
      <c r="K3365" s="24" t="str">
        <f t="shared" si="270"/>
        <v/>
      </c>
      <c r="L3365" s="25" t="str">
        <f t="shared" si="266"/>
        <v/>
      </c>
      <c r="O3365" s="33" t="str">
        <f t="shared" si="267"/>
        <v/>
      </c>
      <c r="P3365" s="33" t="str">
        <f t="shared" si="268"/>
        <v/>
      </c>
    </row>
    <row r="3366" spans="9:16">
      <c r="I3366" s="23" t="str">
        <f>_xlfn.IFNA(VLOOKUP(A3366,A3367:$H$3524,8,0),"")</f>
        <v/>
      </c>
      <c r="J3366" s="40" t="str">
        <f t="shared" si="269"/>
        <v/>
      </c>
      <c r="K3366" s="24" t="str">
        <f t="shared" si="270"/>
        <v/>
      </c>
      <c r="L3366" s="25" t="str">
        <f t="shared" si="266"/>
        <v/>
      </c>
      <c r="O3366" s="33" t="str">
        <f t="shared" si="267"/>
        <v/>
      </c>
      <c r="P3366" s="33" t="str">
        <f t="shared" si="268"/>
        <v/>
      </c>
    </row>
    <row r="3367" spans="9:16">
      <c r="I3367" s="23" t="str">
        <f>_xlfn.IFNA(VLOOKUP(A3367,A3368:$H$3524,8,0),"")</f>
        <v/>
      </c>
      <c r="J3367" s="40" t="str">
        <f t="shared" si="269"/>
        <v/>
      </c>
      <c r="K3367" s="24" t="str">
        <f t="shared" si="270"/>
        <v/>
      </c>
      <c r="L3367" s="25" t="str">
        <f t="shared" si="266"/>
        <v/>
      </c>
      <c r="O3367" s="33" t="str">
        <f t="shared" si="267"/>
        <v/>
      </c>
      <c r="P3367" s="33" t="str">
        <f t="shared" si="268"/>
        <v/>
      </c>
    </row>
    <row r="3368" spans="9:16">
      <c r="I3368" s="23" t="str">
        <f>_xlfn.IFNA(VLOOKUP(A3368,A3369:$H$3524,8,0),"")</f>
        <v/>
      </c>
      <c r="J3368" s="40" t="str">
        <f t="shared" si="269"/>
        <v/>
      </c>
      <c r="K3368" s="24" t="str">
        <f t="shared" si="270"/>
        <v/>
      </c>
      <c r="L3368" s="25" t="str">
        <f t="shared" si="266"/>
        <v/>
      </c>
      <c r="O3368" s="33" t="str">
        <f t="shared" si="267"/>
        <v/>
      </c>
      <c r="P3368" s="33" t="str">
        <f t="shared" si="268"/>
        <v/>
      </c>
    </row>
    <row r="3369" spans="9:16">
      <c r="I3369" s="23" t="str">
        <f>_xlfn.IFNA(VLOOKUP(A3369,A3370:$H$3524,8,0),"")</f>
        <v/>
      </c>
      <c r="J3369" s="40" t="str">
        <f t="shared" si="269"/>
        <v/>
      </c>
      <c r="K3369" s="24" t="str">
        <f t="shared" si="270"/>
        <v/>
      </c>
      <c r="L3369" s="25" t="str">
        <f t="shared" si="266"/>
        <v/>
      </c>
      <c r="O3369" s="33" t="str">
        <f t="shared" si="267"/>
        <v/>
      </c>
      <c r="P3369" s="33" t="str">
        <f t="shared" si="268"/>
        <v/>
      </c>
    </row>
    <row r="3370" spans="9:16">
      <c r="I3370" s="23" t="str">
        <f>_xlfn.IFNA(VLOOKUP(A3370,A3371:$H$3524,8,0),"")</f>
        <v/>
      </c>
      <c r="J3370" s="40" t="str">
        <f t="shared" si="269"/>
        <v/>
      </c>
      <c r="K3370" s="24" t="str">
        <f t="shared" si="270"/>
        <v/>
      </c>
      <c r="L3370" s="25" t="str">
        <f t="shared" si="266"/>
        <v/>
      </c>
      <c r="O3370" s="33" t="str">
        <f t="shared" si="267"/>
        <v/>
      </c>
      <c r="P3370" s="33" t="str">
        <f t="shared" si="268"/>
        <v/>
      </c>
    </row>
    <row r="3371" spans="9:16">
      <c r="I3371" s="23" t="str">
        <f>_xlfn.IFNA(VLOOKUP(A3371,A3372:$H$3524,8,0),"")</f>
        <v/>
      </c>
      <c r="J3371" s="40" t="str">
        <f t="shared" si="269"/>
        <v/>
      </c>
      <c r="K3371" s="24" t="str">
        <f t="shared" si="270"/>
        <v/>
      </c>
      <c r="L3371" s="25" t="str">
        <f t="shared" si="266"/>
        <v/>
      </c>
      <c r="O3371" s="33" t="str">
        <f t="shared" si="267"/>
        <v/>
      </c>
      <c r="P3371" s="33" t="str">
        <f t="shared" si="268"/>
        <v/>
      </c>
    </row>
    <row r="3372" spans="9:16">
      <c r="I3372" s="23" t="str">
        <f>_xlfn.IFNA(VLOOKUP(A3372,A3373:$H$3524,8,0),"")</f>
        <v/>
      </c>
      <c r="J3372" s="40" t="str">
        <f t="shared" si="269"/>
        <v/>
      </c>
      <c r="K3372" s="24" t="str">
        <f t="shared" si="270"/>
        <v/>
      </c>
      <c r="L3372" s="25" t="str">
        <f t="shared" si="266"/>
        <v/>
      </c>
      <c r="O3372" s="33" t="str">
        <f t="shared" si="267"/>
        <v/>
      </c>
      <c r="P3372" s="33" t="str">
        <f t="shared" si="268"/>
        <v/>
      </c>
    </row>
    <row r="3373" spans="9:16">
      <c r="I3373" s="23" t="str">
        <f>_xlfn.IFNA(VLOOKUP(A3373,A3374:$H$3524,8,0),"")</f>
        <v/>
      </c>
      <c r="J3373" s="40" t="str">
        <f t="shared" si="269"/>
        <v/>
      </c>
      <c r="K3373" s="24" t="str">
        <f t="shared" si="270"/>
        <v/>
      </c>
      <c r="L3373" s="25" t="str">
        <f t="shared" si="266"/>
        <v/>
      </c>
      <c r="O3373" s="33" t="str">
        <f t="shared" si="267"/>
        <v/>
      </c>
      <c r="P3373" s="33" t="str">
        <f t="shared" si="268"/>
        <v/>
      </c>
    </row>
    <row r="3374" spans="9:16">
      <c r="I3374" s="23" t="str">
        <f>_xlfn.IFNA(VLOOKUP(A3374,A3375:$H$3524,8,0),"")</f>
        <v/>
      </c>
      <c r="J3374" s="40" t="str">
        <f t="shared" si="269"/>
        <v/>
      </c>
      <c r="K3374" s="24" t="str">
        <f t="shared" si="270"/>
        <v/>
      </c>
      <c r="L3374" s="25" t="str">
        <f t="shared" si="266"/>
        <v/>
      </c>
      <c r="O3374" s="33" t="str">
        <f t="shared" si="267"/>
        <v/>
      </c>
      <c r="P3374" s="33" t="str">
        <f t="shared" si="268"/>
        <v/>
      </c>
    </row>
    <row r="3375" spans="9:16">
      <c r="I3375" s="23" t="str">
        <f>_xlfn.IFNA(VLOOKUP(A3375,A3376:$H$3524,8,0),"")</f>
        <v/>
      </c>
      <c r="J3375" s="40" t="str">
        <f t="shared" si="269"/>
        <v/>
      </c>
      <c r="K3375" s="24" t="str">
        <f t="shared" si="270"/>
        <v/>
      </c>
      <c r="L3375" s="25" t="str">
        <f t="shared" si="266"/>
        <v/>
      </c>
      <c r="O3375" s="33" t="str">
        <f t="shared" si="267"/>
        <v/>
      </c>
      <c r="P3375" s="33" t="str">
        <f t="shared" si="268"/>
        <v/>
      </c>
    </row>
    <row r="3376" spans="9:16">
      <c r="I3376" s="23" t="str">
        <f>_xlfn.IFNA(VLOOKUP(A3376,A3377:$H$3524,8,0),"")</f>
        <v/>
      </c>
      <c r="J3376" s="40" t="str">
        <f t="shared" si="269"/>
        <v/>
      </c>
      <c r="K3376" s="24" t="str">
        <f t="shared" si="270"/>
        <v/>
      </c>
      <c r="L3376" s="25" t="str">
        <f t="shared" si="266"/>
        <v/>
      </c>
      <c r="O3376" s="33" t="str">
        <f t="shared" si="267"/>
        <v/>
      </c>
      <c r="P3376" s="33" t="str">
        <f t="shared" si="268"/>
        <v/>
      </c>
    </row>
    <row r="3377" spans="9:16">
      <c r="I3377" s="23" t="str">
        <f>_xlfn.IFNA(VLOOKUP(A3377,A3378:$H$3524,8,0),"")</f>
        <v/>
      </c>
      <c r="J3377" s="40" t="str">
        <f t="shared" si="269"/>
        <v/>
      </c>
      <c r="K3377" s="24" t="str">
        <f t="shared" si="270"/>
        <v/>
      </c>
      <c r="L3377" s="25" t="str">
        <f t="shared" si="266"/>
        <v/>
      </c>
      <c r="O3377" s="33" t="str">
        <f t="shared" si="267"/>
        <v/>
      </c>
      <c r="P3377" s="33" t="str">
        <f t="shared" si="268"/>
        <v/>
      </c>
    </row>
    <row r="3378" spans="9:16">
      <c r="I3378" s="23" t="str">
        <f>_xlfn.IFNA(VLOOKUP(A3378,A3379:$H$3524,8,0),"")</f>
        <v/>
      </c>
      <c r="J3378" s="40" t="str">
        <f t="shared" si="269"/>
        <v/>
      </c>
      <c r="K3378" s="24" t="str">
        <f t="shared" si="270"/>
        <v/>
      </c>
      <c r="L3378" s="25" t="str">
        <f t="shared" si="266"/>
        <v/>
      </c>
      <c r="O3378" s="33" t="str">
        <f t="shared" si="267"/>
        <v/>
      </c>
      <c r="P3378" s="33" t="str">
        <f t="shared" si="268"/>
        <v/>
      </c>
    </row>
    <row r="3379" spans="9:16">
      <c r="I3379" s="23" t="str">
        <f>_xlfn.IFNA(VLOOKUP(A3379,A3380:$H$3524,8,0),"")</f>
        <v/>
      </c>
      <c r="J3379" s="40" t="str">
        <f t="shared" si="269"/>
        <v/>
      </c>
      <c r="K3379" s="24" t="str">
        <f t="shared" si="270"/>
        <v/>
      </c>
      <c r="L3379" s="25" t="str">
        <f t="shared" si="266"/>
        <v/>
      </c>
      <c r="O3379" s="33" t="str">
        <f t="shared" si="267"/>
        <v/>
      </c>
      <c r="P3379" s="33" t="str">
        <f t="shared" si="268"/>
        <v/>
      </c>
    </row>
    <row r="3380" spans="9:16">
      <c r="I3380" s="23" t="str">
        <f>_xlfn.IFNA(VLOOKUP(A3380,A3381:$H$3524,8,0),"")</f>
        <v/>
      </c>
      <c r="J3380" s="40" t="str">
        <f t="shared" si="269"/>
        <v/>
      </c>
      <c r="K3380" s="24" t="str">
        <f t="shared" si="270"/>
        <v/>
      </c>
      <c r="L3380" s="25" t="str">
        <f t="shared" si="266"/>
        <v/>
      </c>
      <c r="O3380" s="33" t="str">
        <f t="shared" si="267"/>
        <v/>
      </c>
      <c r="P3380" s="33" t="str">
        <f t="shared" si="268"/>
        <v/>
      </c>
    </row>
    <row r="3381" spans="9:16">
      <c r="I3381" s="23" t="str">
        <f>_xlfn.IFNA(VLOOKUP(A3381,A3382:$H$3524,8,0),"")</f>
        <v/>
      </c>
      <c r="J3381" s="40" t="str">
        <f t="shared" si="269"/>
        <v/>
      </c>
      <c r="K3381" s="24" t="str">
        <f t="shared" si="270"/>
        <v/>
      </c>
      <c r="L3381" s="25" t="str">
        <f t="shared" si="266"/>
        <v/>
      </c>
      <c r="O3381" s="33" t="str">
        <f t="shared" si="267"/>
        <v/>
      </c>
      <c r="P3381" s="33" t="str">
        <f t="shared" si="268"/>
        <v/>
      </c>
    </row>
    <row r="3382" spans="9:16">
      <c r="I3382" s="23" t="str">
        <f>_xlfn.IFNA(VLOOKUP(A3382,A3383:$H$3524,8,0),"")</f>
        <v/>
      </c>
      <c r="J3382" s="40" t="str">
        <f t="shared" si="269"/>
        <v/>
      </c>
      <c r="K3382" s="24" t="str">
        <f t="shared" si="270"/>
        <v/>
      </c>
      <c r="L3382" s="25" t="str">
        <f t="shared" si="266"/>
        <v/>
      </c>
      <c r="O3382" s="33" t="str">
        <f t="shared" si="267"/>
        <v/>
      </c>
      <c r="P3382" s="33" t="str">
        <f t="shared" si="268"/>
        <v/>
      </c>
    </row>
    <row r="3383" spans="9:16">
      <c r="I3383" s="23" t="str">
        <f>_xlfn.IFNA(VLOOKUP(A3383,A3384:$H$3524,8,0),"")</f>
        <v/>
      </c>
      <c r="J3383" s="40" t="str">
        <f t="shared" si="269"/>
        <v/>
      </c>
      <c r="K3383" s="24" t="str">
        <f t="shared" si="270"/>
        <v/>
      </c>
      <c r="L3383" s="25" t="str">
        <f t="shared" ref="L3383:L3446" si="271">IF(K3383="","",IF(B3383="Break","Break",IF(K3383&lt;&gt;0,"Work Finished",IF(B3383="OFF","Work Finished",IF(I3383="","Working","Work Finished")))))</f>
        <v/>
      </c>
      <c r="O3383" s="33" t="str">
        <f t="shared" ref="O3383:O3446" si="272">IF(AND(J3383="",M3383="",N3383=""),"",J3383-M3383-N3383)</f>
        <v/>
      </c>
      <c r="P3383" s="33" t="str">
        <f t="shared" ref="P3383:P3446" si="273">IF(HOUR(H3383)=0,"",HOUR(H3383))</f>
        <v/>
      </c>
    </row>
    <row r="3384" spans="9:16">
      <c r="I3384" s="23" t="str">
        <f>_xlfn.IFNA(VLOOKUP(A3384,A3385:$H$3524,8,0),"")</f>
        <v/>
      </c>
      <c r="J3384" s="40" t="str">
        <f t="shared" si="269"/>
        <v/>
      </c>
      <c r="K3384" s="24" t="str">
        <f t="shared" si="270"/>
        <v/>
      </c>
      <c r="L3384" s="25" t="str">
        <f t="shared" si="271"/>
        <v/>
      </c>
      <c r="O3384" s="33" t="str">
        <f t="shared" si="272"/>
        <v/>
      </c>
      <c r="P3384" s="33" t="str">
        <f t="shared" si="273"/>
        <v/>
      </c>
    </row>
    <row r="3385" spans="9:16">
      <c r="I3385" s="23" t="str">
        <f>_xlfn.IFNA(VLOOKUP(A3385,A3386:$H$3524,8,0),"")</f>
        <v/>
      </c>
      <c r="J3385" s="40" t="str">
        <f t="shared" si="269"/>
        <v/>
      </c>
      <c r="K3385" s="24" t="str">
        <f t="shared" si="270"/>
        <v/>
      </c>
      <c r="L3385" s="25" t="str">
        <f t="shared" si="271"/>
        <v/>
      </c>
      <c r="O3385" s="33" t="str">
        <f t="shared" si="272"/>
        <v/>
      </c>
      <c r="P3385" s="33" t="str">
        <f t="shared" si="273"/>
        <v/>
      </c>
    </row>
    <row r="3386" spans="9:16">
      <c r="I3386" s="23" t="str">
        <f>_xlfn.IFNA(VLOOKUP(A3386,A3387:$H$3524,8,0),"")</f>
        <v/>
      </c>
      <c r="J3386" s="40" t="str">
        <f t="shared" si="269"/>
        <v/>
      </c>
      <c r="K3386" s="24" t="str">
        <f t="shared" si="270"/>
        <v/>
      </c>
      <c r="L3386" s="25" t="str">
        <f t="shared" si="271"/>
        <v/>
      </c>
      <c r="O3386" s="33" t="str">
        <f t="shared" si="272"/>
        <v/>
      </c>
      <c r="P3386" s="33" t="str">
        <f t="shared" si="273"/>
        <v/>
      </c>
    </row>
    <row r="3387" spans="9:16">
      <c r="I3387" s="23" t="str">
        <f>_xlfn.IFNA(VLOOKUP(A3387,A3388:$H$3524,8,0),"")</f>
        <v/>
      </c>
      <c r="J3387" s="40" t="str">
        <f t="shared" si="269"/>
        <v/>
      </c>
      <c r="K3387" s="24" t="str">
        <f t="shared" si="270"/>
        <v/>
      </c>
      <c r="L3387" s="25" t="str">
        <f t="shared" si="271"/>
        <v/>
      </c>
      <c r="O3387" s="33" t="str">
        <f t="shared" si="272"/>
        <v/>
      </c>
      <c r="P3387" s="33" t="str">
        <f t="shared" si="273"/>
        <v/>
      </c>
    </row>
    <row r="3388" spans="9:16">
      <c r="I3388" s="23" t="str">
        <f>_xlfn.IFNA(VLOOKUP(A3388,A3389:$H$3524,8,0),"")</f>
        <v/>
      </c>
      <c r="J3388" s="40" t="str">
        <f t="shared" si="269"/>
        <v/>
      </c>
      <c r="K3388" s="24" t="str">
        <f t="shared" si="270"/>
        <v/>
      </c>
      <c r="L3388" s="25" t="str">
        <f t="shared" si="271"/>
        <v/>
      </c>
      <c r="O3388" s="33" t="str">
        <f t="shared" si="272"/>
        <v/>
      </c>
      <c r="P3388" s="33" t="str">
        <f t="shared" si="273"/>
        <v/>
      </c>
    </row>
    <row r="3389" spans="9:16">
      <c r="I3389" s="23" t="str">
        <f>_xlfn.IFNA(VLOOKUP(A3389,A3390:$H$3524,8,0),"")</f>
        <v/>
      </c>
      <c r="J3389" s="40" t="str">
        <f t="shared" si="269"/>
        <v/>
      </c>
      <c r="K3389" s="24" t="str">
        <f t="shared" si="270"/>
        <v/>
      </c>
      <c r="L3389" s="25" t="str">
        <f t="shared" si="271"/>
        <v/>
      </c>
      <c r="O3389" s="33" t="str">
        <f t="shared" si="272"/>
        <v/>
      </c>
      <c r="P3389" s="33" t="str">
        <f t="shared" si="273"/>
        <v/>
      </c>
    </row>
    <row r="3390" spans="9:16">
      <c r="I3390" s="23" t="str">
        <f>_xlfn.IFNA(VLOOKUP(A3390,A3391:$H$3524,8,0),"")</f>
        <v/>
      </c>
      <c r="J3390" s="40" t="str">
        <f t="shared" si="269"/>
        <v/>
      </c>
      <c r="K3390" s="24" t="str">
        <f t="shared" si="270"/>
        <v/>
      </c>
      <c r="L3390" s="25" t="str">
        <f t="shared" si="271"/>
        <v/>
      </c>
      <c r="O3390" s="33" t="str">
        <f t="shared" si="272"/>
        <v/>
      </c>
      <c r="P3390" s="33" t="str">
        <f t="shared" si="273"/>
        <v/>
      </c>
    </row>
    <row r="3391" spans="9:16">
      <c r="I3391" s="23" t="str">
        <f>_xlfn.IFNA(VLOOKUP(A3391,A3392:$H$3524,8,0),"")</f>
        <v/>
      </c>
      <c r="J3391" s="40" t="str">
        <f t="shared" si="269"/>
        <v/>
      </c>
      <c r="K3391" s="24" t="str">
        <f t="shared" si="270"/>
        <v/>
      </c>
      <c r="L3391" s="25" t="str">
        <f t="shared" si="271"/>
        <v/>
      </c>
      <c r="O3391" s="33" t="str">
        <f t="shared" si="272"/>
        <v/>
      </c>
      <c r="P3391" s="33" t="str">
        <f t="shared" si="273"/>
        <v/>
      </c>
    </row>
    <row r="3392" spans="9:16">
      <c r="I3392" s="23" t="str">
        <f>_xlfn.IFNA(VLOOKUP(A3392,A3393:$H$3524,8,0),"")</f>
        <v/>
      </c>
      <c r="J3392" s="40" t="str">
        <f t="shared" si="269"/>
        <v/>
      </c>
      <c r="K3392" s="24" t="str">
        <f t="shared" si="270"/>
        <v/>
      </c>
      <c r="L3392" s="25" t="str">
        <f t="shared" si="271"/>
        <v/>
      </c>
      <c r="O3392" s="33" t="str">
        <f t="shared" si="272"/>
        <v/>
      </c>
      <c r="P3392" s="33" t="str">
        <f t="shared" si="273"/>
        <v/>
      </c>
    </row>
    <row r="3393" spans="9:16">
      <c r="I3393" s="23" t="str">
        <f>_xlfn.IFNA(VLOOKUP(A3393,A3394:$H$3524,8,0),"")</f>
        <v/>
      </c>
      <c r="J3393" s="40" t="str">
        <f t="shared" si="269"/>
        <v/>
      </c>
      <c r="K3393" s="24" t="str">
        <f t="shared" si="270"/>
        <v/>
      </c>
      <c r="L3393" s="25" t="str">
        <f t="shared" si="271"/>
        <v/>
      </c>
      <c r="O3393" s="33" t="str">
        <f t="shared" si="272"/>
        <v/>
      </c>
      <c r="P3393" s="33" t="str">
        <f t="shared" si="273"/>
        <v/>
      </c>
    </row>
    <row r="3394" spans="9:16">
      <c r="I3394" s="23" t="str">
        <f>_xlfn.IFNA(VLOOKUP(A3394,A3395:$H$3524,8,0),"")</f>
        <v/>
      </c>
      <c r="J3394" s="40" t="str">
        <f t="shared" si="269"/>
        <v/>
      </c>
      <c r="K3394" s="24" t="str">
        <f t="shared" si="270"/>
        <v/>
      </c>
      <c r="L3394" s="25" t="str">
        <f t="shared" si="271"/>
        <v/>
      </c>
      <c r="O3394" s="33" t="str">
        <f t="shared" si="272"/>
        <v/>
      </c>
      <c r="P3394" s="33" t="str">
        <f t="shared" si="273"/>
        <v/>
      </c>
    </row>
    <row r="3395" spans="9:16">
      <c r="I3395" s="23" t="str">
        <f>_xlfn.IFNA(VLOOKUP(A3395,A3396:$H$3524,8,0),"")</f>
        <v/>
      </c>
      <c r="J3395" s="40" t="str">
        <f t="shared" si="269"/>
        <v/>
      </c>
      <c r="K3395" s="24" t="str">
        <f t="shared" si="270"/>
        <v/>
      </c>
      <c r="L3395" s="25" t="str">
        <f t="shared" si="271"/>
        <v/>
      </c>
      <c r="O3395" s="33" t="str">
        <f t="shared" si="272"/>
        <v/>
      </c>
      <c r="P3395" s="33" t="str">
        <f t="shared" si="273"/>
        <v/>
      </c>
    </row>
    <row r="3396" spans="9:16">
      <c r="I3396" s="23" t="str">
        <f>_xlfn.IFNA(VLOOKUP(A3396,A3397:$H$3524,8,0),"")</f>
        <v/>
      </c>
      <c r="J3396" s="40" t="str">
        <f t="shared" si="269"/>
        <v/>
      </c>
      <c r="K3396" s="24" t="str">
        <f t="shared" si="270"/>
        <v/>
      </c>
      <c r="L3396" s="25" t="str">
        <f t="shared" si="271"/>
        <v/>
      </c>
      <c r="O3396" s="33" t="str">
        <f t="shared" si="272"/>
        <v/>
      </c>
      <c r="P3396" s="33" t="str">
        <f t="shared" si="273"/>
        <v/>
      </c>
    </row>
    <row r="3397" spans="9:16">
      <c r="I3397" s="23" t="str">
        <f>_xlfn.IFNA(VLOOKUP(A3397,A3398:$H$3524,8,0),"")</f>
        <v/>
      </c>
      <c r="J3397" s="40" t="str">
        <f t="shared" si="269"/>
        <v/>
      </c>
      <c r="K3397" s="24" t="str">
        <f t="shared" si="270"/>
        <v/>
      </c>
      <c r="L3397" s="25" t="str">
        <f t="shared" si="271"/>
        <v/>
      </c>
      <c r="O3397" s="33" t="str">
        <f t="shared" si="272"/>
        <v/>
      </c>
      <c r="P3397" s="33" t="str">
        <f t="shared" si="273"/>
        <v/>
      </c>
    </row>
    <row r="3398" spans="9:16">
      <c r="I3398" s="23" t="str">
        <f>_xlfn.IFNA(VLOOKUP(A3398,A3399:$H$3524,8,0),"")</f>
        <v/>
      </c>
      <c r="J3398" s="40" t="str">
        <f t="shared" ref="J3398:J3461" si="274">IF(B3398="OFF",0,IF(AND(D3398&lt;&gt;"",E3398&lt;&gt;""),E3398-D3398+1,""))</f>
        <v/>
      </c>
      <c r="K3398" s="24" t="str">
        <f t="shared" si="270"/>
        <v/>
      </c>
      <c r="L3398" s="25" t="str">
        <f t="shared" si="271"/>
        <v/>
      </c>
      <c r="O3398" s="33" t="str">
        <f t="shared" si="272"/>
        <v/>
      </c>
      <c r="P3398" s="33" t="str">
        <f t="shared" si="273"/>
        <v/>
      </c>
    </row>
    <row r="3399" spans="9:16">
      <c r="I3399" s="23" t="str">
        <f>_xlfn.IFNA(VLOOKUP(A3399,A3400:$H$3524,8,0),"")</f>
        <v/>
      </c>
      <c r="J3399" s="40" t="str">
        <f t="shared" si="274"/>
        <v/>
      </c>
      <c r="K3399" s="24" t="str">
        <f t="shared" si="270"/>
        <v/>
      </c>
      <c r="L3399" s="25" t="str">
        <f t="shared" si="271"/>
        <v/>
      </c>
      <c r="O3399" s="33" t="str">
        <f t="shared" si="272"/>
        <v/>
      </c>
      <c r="P3399" s="33" t="str">
        <f t="shared" si="273"/>
        <v/>
      </c>
    </row>
    <row r="3400" spans="9:16">
      <c r="I3400" s="23" t="str">
        <f>_xlfn.IFNA(VLOOKUP(A3400,A3401:$H$3524,8,0),"")</f>
        <v/>
      </c>
      <c r="J3400" s="40" t="str">
        <f t="shared" si="274"/>
        <v/>
      </c>
      <c r="K3400" s="24" t="str">
        <f t="shared" si="270"/>
        <v/>
      </c>
      <c r="L3400" s="25" t="str">
        <f t="shared" si="271"/>
        <v/>
      </c>
      <c r="O3400" s="33" t="str">
        <f t="shared" si="272"/>
        <v/>
      </c>
      <c r="P3400" s="33" t="str">
        <f t="shared" si="273"/>
        <v/>
      </c>
    </row>
    <row r="3401" spans="9:16">
      <c r="I3401" s="23" t="str">
        <f>_xlfn.IFNA(VLOOKUP(A3401,A3402:$H$3524,8,0),"")</f>
        <v/>
      </c>
      <c r="J3401" s="40" t="str">
        <f t="shared" si="274"/>
        <v/>
      </c>
      <c r="K3401" s="24" t="str">
        <f t="shared" si="270"/>
        <v/>
      </c>
      <c r="L3401" s="25" t="str">
        <f t="shared" si="271"/>
        <v/>
      </c>
      <c r="O3401" s="33" t="str">
        <f t="shared" si="272"/>
        <v/>
      </c>
      <c r="P3401" s="33" t="str">
        <f t="shared" si="273"/>
        <v/>
      </c>
    </row>
    <row r="3402" spans="9:16">
      <c r="I3402" s="23" t="str">
        <f>_xlfn.IFNA(VLOOKUP(A3402,A3403:$H$3524,8,0),"")</f>
        <v/>
      </c>
      <c r="J3402" s="40" t="str">
        <f t="shared" si="274"/>
        <v/>
      </c>
      <c r="K3402" s="24" t="str">
        <f t="shared" si="270"/>
        <v/>
      </c>
      <c r="L3402" s="25" t="str">
        <f t="shared" si="271"/>
        <v/>
      </c>
      <c r="O3402" s="33" t="str">
        <f t="shared" si="272"/>
        <v/>
      </c>
      <c r="P3402" s="33" t="str">
        <f t="shared" si="273"/>
        <v/>
      </c>
    </row>
    <row r="3403" spans="9:16">
      <c r="I3403" s="23" t="str">
        <f>_xlfn.IFNA(VLOOKUP(A3403,A3404:$H$3524,8,0),"")</f>
        <v/>
      </c>
      <c r="J3403" s="40" t="str">
        <f t="shared" si="274"/>
        <v/>
      </c>
      <c r="K3403" s="24" t="str">
        <f t="shared" si="270"/>
        <v/>
      </c>
      <c r="L3403" s="25" t="str">
        <f t="shared" si="271"/>
        <v/>
      </c>
      <c r="O3403" s="33" t="str">
        <f t="shared" si="272"/>
        <v/>
      </c>
      <c r="P3403" s="33" t="str">
        <f t="shared" si="273"/>
        <v/>
      </c>
    </row>
    <row r="3404" spans="9:16">
      <c r="I3404" s="23" t="str">
        <f>_xlfn.IFNA(VLOOKUP(A3404,A3405:$H$3524,8,0),"")</f>
        <v/>
      </c>
      <c r="J3404" s="40" t="str">
        <f t="shared" si="274"/>
        <v/>
      </c>
      <c r="K3404" s="24" t="str">
        <f t="shared" si="270"/>
        <v/>
      </c>
      <c r="L3404" s="25" t="str">
        <f t="shared" si="271"/>
        <v/>
      </c>
      <c r="O3404" s="33" t="str">
        <f t="shared" si="272"/>
        <v/>
      </c>
      <c r="P3404" s="33" t="str">
        <f t="shared" si="273"/>
        <v/>
      </c>
    </row>
    <row r="3405" spans="9:16">
      <c r="I3405" s="23" t="str">
        <f>_xlfn.IFNA(VLOOKUP(A3405,A3406:$H$3524,8,0),"")</f>
        <v/>
      </c>
      <c r="J3405" s="40" t="str">
        <f t="shared" si="274"/>
        <v/>
      </c>
      <c r="K3405" s="24" t="str">
        <f t="shared" si="270"/>
        <v/>
      </c>
      <c r="L3405" s="25" t="str">
        <f t="shared" si="271"/>
        <v/>
      </c>
      <c r="O3405" s="33" t="str">
        <f t="shared" si="272"/>
        <v/>
      </c>
      <c r="P3405" s="33" t="str">
        <f t="shared" si="273"/>
        <v/>
      </c>
    </row>
    <row r="3406" spans="9:16">
      <c r="I3406" s="23" t="str">
        <f>_xlfn.IFNA(VLOOKUP(A3406,A3407:$H$3524,8,0),"")</f>
        <v/>
      </c>
      <c r="J3406" s="40" t="str">
        <f t="shared" si="274"/>
        <v/>
      </c>
      <c r="K3406" s="24" t="str">
        <f t="shared" si="270"/>
        <v/>
      </c>
      <c r="L3406" s="25" t="str">
        <f t="shared" si="271"/>
        <v/>
      </c>
      <c r="O3406" s="33" t="str">
        <f t="shared" si="272"/>
        <v/>
      </c>
      <c r="P3406" s="33" t="str">
        <f t="shared" si="273"/>
        <v/>
      </c>
    </row>
    <row r="3407" spans="9:16">
      <c r="I3407" s="23" t="str">
        <f>_xlfn.IFNA(VLOOKUP(A3407,A3408:$H$3524,8,0),"")</f>
        <v/>
      </c>
      <c r="J3407" s="40" t="str">
        <f t="shared" si="274"/>
        <v/>
      </c>
      <c r="K3407" s="24" t="str">
        <f t="shared" si="270"/>
        <v/>
      </c>
      <c r="L3407" s="25" t="str">
        <f t="shared" si="271"/>
        <v/>
      </c>
      <c r="O3407" s="33" t="str">
        <f t="shared" si="272"/>
        <v/>
      </c>
      <c r="P3407" s="33" t="str">
        <f t="shared" si="273"/>
        <v/>
      </c>
    </row>
    <row r="3408" spans="9:16">
      <c r="I3408" s="23" t="str">
        <f>_xlfn.IFNA(VLOOKUP(A3408,A3409:$H$3524,8,0),"")</f>
        <v/>
      </c>
      <c r="J3408" s="40" t="str">
        <f t="shared" si="274"/>
        <v/>
      </c>
      <c r="K3408" s="24" t="str">
        <f t="shared" si="270"/>
        <v/>
      </c>
      <c r="L3408" s="25" t="str">
        <f t="shared" si="271"/>
        <v/>
      </c>
      <c r="O3408" s="33" t="str">
        <f t="shared" si="272"/>
        <v/>
      </c>
      <c r="P3408" s="33" t="str">
        <f t="shared" si="273"/>
        <v/>
      </c>
    </row>
    <row r="3409" spans="9:16">
      <c r="I3409" s="23" t="str">
        <f>_xlfn.IFNA(VLOOKUP(A3409,A3410:$H$3524,8,0),"")</f>
        <v/>
      </c>
      <c r="J3409" s="40" t="str">
        <f t="shared" si="274"/>
        <v/>
      </c>
      <c r="K3409" s="24" t="str">
        <f t="shared" si="270"/>
        <v/>
      </c>
      <c r="L3409" s="25" t="str">
        <f t="shared" si="271"/>
        <v/>
      </c>
      <c r="O3409" s="33" t="str">
        <f t="shared" si="272"/>
        <v/>
      </c>
      <c r="P3409" s="33" t="str">
        <f t="shared" si="273"/>
        <v/>
      </c>
    </row>
    <row r="3410" spans="9:16">
      <c r="I3410" s="23" t="str">
        <f>_xlfn.IFNA(VLOOKUP(A3410,A3411:$H$3524,8,0),"")</f>
        <v/>
      </c>
      <c r="J3410" s="40" t="str">
        <f t="shared" si="274"/>
        <v/>
      </c>
      <c r="K3410" s="24" t="str">
        <f t="shared" si="270"/>
        <v/>
      </c>
      <c r="L3410" s="25" t="str">
        <f t="shared" si="271"/>
        <v/>
      </c>
      <c r="O3410" s="33" t="str">
        <f t="shared" si="272"/>
        <v/>
      </c>
      <c r="P3410" s="33" t="str">
        <f t="shared" si="273"/>
        <v/>
      </c>
    </row>
    <row r="3411" spans="9:16">
      <c r="I3411" s="23" t="str">
        <f>_xlfn.IFNA(VLOOKUP(A3411,A3412:$H$3524,8,0),"")</f>
        <v/>
      </c>
      <c r="J3411" s="40" t="str">
        <f t="shared" si="274"/>
        <v/>
      </c>
      <c r="K3411" s="24" t="str">
        <f t="shared" si="270"/>
        <v/>
      </c>
      <c r="L3411" s="25" t="str">
        <f t="shared" si="271"/>
        <v/>
      </c>
      <c r="O3411" s="33" t="str">
        <f t="shared" si="272"/>
        <v/>
      </c>
      <c r="P3411" s="33" t="str">
        <f t="shared" si="273"/>
        <v/>
      </c>
    </row>
    <row r="3412" spans="9:16">
      <c r="I3412" s="23" t="str">
        <f>_xlfn.IFNA(VLOOKUP(A3412,A3413:$H$3524,8,0),"")</f>
        <v/>
      </c>
      <c r="J3412" s="40" t="str">
        <f t="shared" si="274"/>
        <v/>
      </c>
      <c r="K3412" s="24" t="str">
        <f t="shared" si="270"/>
        <v/>
      </c>
      <c r="L3412" s="25" t="str">
        <f t="shared" si="271"/>
        <v/>
      </c>
      <c r="O3412" s="33" t="str">
        <f t="shared" si="272"/>
        <v/>
      </c>
      <c r="P3412" s="33" t="str">
        <f t="shared" si="273"/>
        <v/>
      </c>
    </row>
    <row r="3413" spans="9:16">
      <c r="I3413" s="23" t="str">
        <f>_xlfn.IFNA(VLOOKUP(A3413,A3414:$H$3524,8,0),"")</f>
        <v/>
      </c>
      <c r="J3413" s="40" t="str">
        <f t="shared" si="274"/>
        <v/>
      </c>
      <c r="K3413" s="24" t="str">
        <f t="shared" si="270"/>
        <v/>
      </c>
      <c r="L3413" s="25" t="str">
        <f t="shared" si="271"/>
        <v/>
      </c>
      <c r="O3413" s="33" t="str">
        <f t="shared" si="272"/>
        <v/>
      </c>
      <c r="P3413" s="33" t="str">
        <f t="shared" si="273"/>
        <v/>
      </c>
    </row>
    <row r="3414" spans="9:16">
      <c r="I3414" s="23" t="str">
        <f>_xlfn.IFNA(VLOOKUP(A3414,A3415:$H$3524,8,0),"")</f>
        <v/>
      </c>
      <c r="J3414" s="40" t="str">
        <f t="shared" si="274"/>
        <v/>
      </c>
      <c r="K3414" s="24" t="str">
        <f t="shared" ref="K3414:K3477" si="275">IF(H3414="","",IFERROR((I3414-H3414)*24,0))</f>
        <v/>
      </c>
      <c r="L3414" s="25" t="str">
        <f t="shared" si="271"/>
        <v/>
      </c>
      <c r="O3414" s="33" t="str">
        <f t="shared" si="272"/>
        <v/>
      </c>
      <c r="P3414" s="33" t="str">
        <f t="shared" si="273"/>
        <v/>
      </c>
    </row>
    <row r="3415" spans="9:16">
      <c r="I3415" s="23" t="str">
        <f>_xlfn.IFNA(VLOOKUP(A3415,A3416:$H$3524,8,0),"")</f>
        <v/>
      </c>
      <c r="J3415" s="40" t="str">
        <f t="shared" si="274"/>
        <v/>
      </c>
      <c r="K3415" s="24" t="str">
        <f t="shared" si="275"/>
        <v/>
      </c>
      <c r="L3415" s="25" t="str">
        <f t="shared" si="271"/>
        <v/>
      </c>
      <c r="O3415" s="33" t="str">
        <f t="shared" si="272"/>
        <v/>
      </c>
      <c r="P3415" s="33" t="str">
        <f t="shared" si="273"/>
        <v/>
      </c>
    </row>
    <row r="3416" spans="9:16">
      <c r="I3416" s="23" t="str">
        <f>_xlfn.IFNA(VLOOKUP(A3416,A3417:$H$3524,8,0),"")</f>
        <v/>
      </c>
      <c r="J3416" s="40" t="str">
        <f t="shared" si="274"/>
        <v/>
      </c>
      <c r="K3416" s="24" t="str">
        <f t="shared" si="275"/>
        <v/>
      </c>
      <c r="L3416" s="25" t="str">
        <f t="shared" si="271"/>
        <v/>
      </c>
      <c r="O3416" s="33" t="str">
        <f t="shared" si="272"/>
        <v/>
      </c>
      <c r="P3416" s="33" t="str">
        <f t="shared" si="273"/>
        <v/>
      </c>
    </row>
    <row r="3417" spans="9:16">
      <c r="I3417" s="23" t="str">
        <f>_xlfn.IFNA(VLOOKUP(A3417,A3418:$H$3524,8,0),"")</f>
        <v/>
      </c>
      <c r="J3417" s="40" t="str">
        <f t="shared" si="274"/>
        <v/>
      </c>
      <c r="K3417" s="24" t="str">
        <f t="shared" si="275"/>
        <v/>
      </c>
      <c r="L3417" s="25" t="str">
        <f t="shared" si="271"/>
        <v/>
      </c>
      <c r="O3417" s="33" t="str">
        <f t="shared" si="272"/>
        <v/>
      </c>
      <c r="P3417" s="33" t="str">
        <f t="shared" si="273"/>
        <v/>
      </c>
    </row>
    <row r="3418" spans="9:16">
      <c r="I3418" s="23" t="str">
        <f>_xlfn.IFNA(VLOOKUP(A3418,A3419:$H$3524,8,0),"")</f>
        <v/>
      </c>
      <c r="J3418" s="40" t="str">
        <f t="shared" si="274"/>
        <v/>
      </c>
      <c r="K3418" s="24" t="str">
        <f t="shared" si="275"/>
        <v/>
      </c>
      <c r="L3418" s="25" t="str">
        <f t="shared" si="271"/>
        <v/>
      </c>
      <c r="O3418" s="33" t="str">
        <f t="shared" si="272"/>
        <v/>
      </c>
      <c r="P3418" s="33" t="str">
        <f t="shared" si="273"/>
        <v/>
      </c>
    </row>
    <row r="3419" spans="9:16">
      <c r="I3419" s="23" t="str">
        <f>_xlfn.IFNA(VLOOKUP(A3419,A3420:$H$3524,8,0),"")</f>
        <v/>
      </c>
      <c r="J3419" s="40" t="str">
        <f t="shared" si="274"/>
        <v/>
      </c>
      <c r="K3419" s="24" t="str">
        <f t="shared" si="275"/>
        <v/>
      </c>
      <c r="L3419" s="25" t="str">
        <f t="shared" si="271"/>
        <v/>
      </c>
      <c r="O3419" s="33" t="str">
        <f t="shared" si="272"/>
        <v/>
      </c>
      <c r="P3419" s="33" t="str">
        <f t="shared" si="273"/>
        <v/>
      </c>
    </row>
    <row r="3420" spans="9:16">
      <c r="I3420" s="23" t="str">
        <f>_xlfn.IFNA(VLOOKUP(A3420,A3421:$H$3524,8,0),"")</f>
        <v/>
      </c>
      <c r="J3420" s="40" t="str">
        <f t="shared" si="274"/>
        <v/>
      </c>
      <c r="K3420" s="24" t="str">
        <f t="shared" si="275"/>
        <v/>
      </c>
      <c r="L3420" s="25" t="str">
        <f t="shared" si="271"/>
        <v/>
      </c>
      <c r="O3420" s="33" t="str">
        <f t="shared" si="272"/>
        <v/>
      </c>
      <c r="P3420" s="33" t="str">
        <f t="shared" si="273"/>
        <v/>
      </c>
    </row>
    <row r="3421" spans="9:16">
      <c r="I3421" s="23" t="str">
        <f>_xlfn.IFNA(VLOOKUP(A3421,A3422:$H$3524,8,0),"")</f>
        <v/>
      </c>
      <c r="J3421" s="40" t="str">
        <f t="shared" si="274"/>
        <v/>
      </c>
      <c r="K3421" s="24" t="str">
        <f t="shared" si="275"/>
        <v/>
      </c>
      <c r="L3421" s="25" t="str">
        <f t="shared" si="271"/>
        <v/>
      </c>
      <c r="O3421" s="33" t="str">
        <f t="shared" si="272"/>
        <v/>
      </c>
      <c r="P3421" s="33" t="str">
        <f t="shared" si="273"/>
        <v/>
      </c>
    </row>
    <row r="3422" spans="9:16">
      <c r="I3422" s="23" t="str">
        <f>_xlfn.IFNA(VLOOKUP(A3422,A3423:$H$3524,8,0),"")</f>
        <v/>
      </c>
      <c r="J3422" s="40" t="str">
        <f t="shared" si="274"/>
        <v/>
      </c>
      <c r="K3422" s="24" t="str">
        <f t="shared" si="275"/>
        <v/>
      </c>
      <c r="L3422" s="25" t="str">
        <f t="shared" si="271"/>
        <v/>
      </c>
      <c r="O3422" s="33" t="str">
        <f t="shared" si="272"/>
        <v/>
      </c>
      <c r="P3422" s="33" t="str">
        <f t="shared" si="273"/>
        <v/>
      </c>
    </row>
    <row r="3423" spans="9:16">
      <c r="I3423" s="23" t="str">
        <f>_xlfn.IFNA(VLOOKUP(A3423,A3424:$H$3524,8,0),"")</f>
        <v/>
      </c>
      <c r="J3423" s="40" t="str">
        <f t="shared" si="274"/>
        <v/>
      </c>
      <c r="K3423" s="24" t="str">
        <f t="shared" si="275"/>
        <v/>
      </c>
      <c r="L3423" s="25" t="str">
        <f t="shared" si="271"/>
        <v/>
      </c>
      <c r="O3423" s="33" t="str">
        <f t="shared" si="272"/>
        <v/>
      </c>
      <c r="P3423" s="33" t="str">
        <f t="shared" si="273"/>
        <v/>
      </c>
    </row>
    <row r="3424" spans="9:16">
      <c r="I3424" s="23" t="str">
        <f>_xlfn.IFNA(VLOOKUP(A3424,A3425:$H$3524,8,0),"")</f>
        <v/>
      </c>
      <c r="J3424" s="40" t="str">
        <f t="shared" si="274"/>
        <v/>
      </c>
      <c r="K3424" s="24" t="str">
        <f t="shared" si="275"/>
        <v/>
      </c>
      <c r="L3424" s="25" t="str">
        <f t="shared" si="271"/>
        <v/>
      </c>
      <c r="O3424" s="33" t="str">
        <f t="shared" si="272"/>
        <v/>
      </c>
      <c r="P3424" s="33" t="str">
        <f t="shared" si="273"/>
        <v/>
      </c>
    </row>
    <row r="3425" spans="9:16">
      <c r="I3425" s="23" t="str">
        <f>_xlfn.IFNA(VLOOKUP(A3425,A3426:$H$3524,8,0),"")</f>
        <v/>
      </c>
      <c r="J3425" s="40" t="str">
        <f t="shared" si="274"/>
        <v/>
      </c>
      <c r="K3425" s="24" t="str">
        <f t="shared" si="275"/>
        <v/>
      </c>
      <c r="L3425" s="25" t="str">
        <f t="shared" si="271"/>
        <v/>
      </c>
      <c r="O3425" s="33" t="str">
        <f t="shared" si="272"/>
        <v/>
      </c>
      <c r="P3425" s="33" t="str">
        <f t="shared" si="273"/>
        <v/>
      </c>
    </row>
    <row r="3426" spans="9:16">
      <c r="I3426" s="23" t="str">
        <f>_xlfn.IFNA(VLOOKUP(A3426,A3427:$H$3524,8,0),"")</f>
        <v/>
      </c>
      <c r="J3426" s="40" t="str">
        <f t="shared" si="274"/>
        <v/>
      </c>
      <c r="K3426" s="24" t="str">
        <f t="shared" si="275"/>
        <v/>
      </c>
      <c r="L3426" s="25" t="str">
        <f t="shared" si="271"/>
        <v/>
      </c>
      <c r="O3426" s="33" t="str">
        <f t="shared" si="272"/>
        <v/>
      </c>
      <c r="P3426" s="33" t="str">
        <f t="shared" si="273"/>
        <v/>
      </c>
    </row>
    <row r="3427" spans="9:16">
      <c r="I3427" s="23" t="str">
        <f>_xlfn.IFNA(VLOOKUP(A3427,A3428:$H$3524,8,0),"")</f>
        <v/>
      </c>
      <c r="J3427" s="40" t="str">
        <f t="shared" si="274"/>
        <v/>
      </c>
      <c r="K3427" s="24" t="str">
        <f t="shared" si="275"/>
        <v/>
      </c>
      <c r="L3427" s="25" t="str">
        <f t="shared" si="271"/>
        <v/>
      </c>
      <c r="O3427" s="33" t="str">
        <f t="shared" si="272"/>
        <v/>
      </c>
      <c r="P3427" s="33" t="str">
        <f t="shared" si="273"/>
        <v/>
      </c>
    </row>
    <row r="3428" spans="9:16">
      <c r="I3428" s="23" t="str">
        <f>_xlfn.IFNA(VLOOKUP(A3428,A3429:$H$3524,8,0),"")</f>
        <v/>
      </c>
      <c r="J3428" s="40" t="str">
        <f t="shared" si="274"/>
        <v/>
      </c>
      <c r="K3428" s="24" t="str">
        <f t="shared" si="275"/>
        <v/>
      </c>
      <c r="L3428" s="25" t="str">
        <f t="shared" si="271"/>
        <v/>
      </c>
      <c r="O3428" s="33" t="str">
        <f t="shared" si="272"/>
        <v/>
      </c>
      <c r="P3428" s="33" t="str">
        <f t="shared" si="273"/>
        <v/>
      </c>
    </row>
    <row r="3429" spans="9:16">
      <c r="I3429" s="23" t="str">
        <f>_xlfn.IFNA(VLOOKUP(A3429,A3430:$H$3524,8,0),"")</f>
        <v/>
      </c>
      <c r="J3429" s="40" t="str">
        <f t="shared" si="274"/>
        <v/>
      </c>
      <c r="K3429" s="24" t="str">
        <f t="shared" si="275"/>
        <v/>
      </c>
      <c r="L3429" s="25" t="str">
        <f t="shared" si="271"/>
        <v/>
      </c>
      <c r="O3429" s="33" t="str">
        <f t="shared" si="272"/>
        <v/>
      </c>
      <c r="P3429" s="33" t="str">
        <f t="shared" si="273"/>
        <v/>
      </c>
    </row>
    <row r="3430" spans="9:16">
      <c r="I3430" s="23" t="str">
        <f>_xlfn.IFNA(VLOOKUP(A3430,A3431:$H$3524,8,0),"")</f>
        <v/>
      </c>
      <c r="J3430" s="40" t="str">
        <f t="shared" si="274"/>
        <v/>
      </c>
      <c r="K3430" s="24" t="str">
        <f t="shared" si="275"/>
        <v/>
      </c>
      <c r="L3430" s="25" t="str">
        <f t="shared" si="271"/>
        <v/>
      </c>
      <c r="O3430" s="33" t="str">
        <f t="shared" si="272"/>
        <v/>
      </c>
      <c r="P3430" s="33" t="str">
        <f t="shared" si="273"/>
        <v/>
      </c>
    </row>
    <row r="3431" spans="9:16">
      <c r="I3431" s="23" t="str">
        <f>_xlfn.IFNA(VLOOKUP(A3431,A3432:$H$3524,8,0),"")</f>
        <v/>
      </c>
      <c r="J3431" s="40" t="str">
        <f t="shared" si="274"/>
        <v/>
      </c>
      <c r="K3431" s="24" t="str">
        <f t="shared" si="275"/>
        <v/>
      </c>
      <c r="L3431" s="25" t="str">
        <f t="shared" si="271"/>
        <v/>
      </c>
      <c r="O3431" s="33" t="str">
        <f t="shared" si="272"/>
        <v/>
      </c>
      <c r="P3431" s="33" t="str">
        <f t="shared" si="273"/>
        <v/>
      </c>
    </row>
    <row r="3432" spans="9:16">
      <c r="I3432" s="23" t="str">
        <f>_xlfn.IFNA(VLOOKUP(A3432,A3433:$H$3524,8,0),"")</f>
        <v/>
      </c>
      <c r="J3432" s="40" t="str">
        <f t="shared" si="274"/>
        <v/>
      </c>
      <c r="K3432" s="24" t="str">
        <f t="shared" si="275"/>
        <v/>
      </c>
      <c r="L3432" s="25" t="str">
        <f t="shared" si="271"/>
        <v/>
      </c>
      <c r="O3432" s="33" t="str">
        <f t="shared" si="272"/>
        <v/>
      </c>
      <c r="P3432" s="33" t="str">
        <f t="shared" si="273"/>
        <v/>
      </c>
    </row>
    <row r="3433" spans="9:16">
      <c r="I3433" s="23" t="str">
        <f>_xlfn.IFNA(VLOOKUP(A3433,A3434:$H$3524,8,0),"")</f>
        <v/>
      </c>
      <c r="J3433" s="40" t="str">
        <f t="shared" si="274"/>
        <v/>
      </c>
      <c r="K3433" s="24" t="str">
        <f t="shared" si="275"/>
        <v/>
      </c>
      <c r="L3433" s="25" t="str">
        <f t="shared" si="271"/>
        <v/>
      </c>
      <c r="O3433" s="33" t="str">
        <f t="shared" si="272"/>
        <v/>
      </c>
      <c r="P3433" s="33" t="str">
        <f t="shared" si="273"/>
        <v/>
      </c>
    </row>
    <row r="3434" spans="9:16">
      <c r="I3434" s="23" t="str">
        <f>_xlfn.IFNA(VLOOKUP(A3434,A3435:$H$3524,8,0),"")</f>
        <v/>
      </c>
      <c r="J3434" s="40" t="str">
        <f t="shared" si="274"/>
        <v/>
      </c>
      <c r="K3434" s="24" t="str">
        <f t="shared" si="275"/>
        <v/>
      </c>
      <c r="L3434" s="25" t="str">
        <f t="shared" si="271"/>
        <v/>
      </c>
      <c r="O3434" s="33" t="str">
        <f t="shared" si="272"/>
        <v/>
      </c>
      <c r="P3434" s="33" t="str">
        <f t="shared" si="273"/>
        <v/>
      </c>
    </row>
    <row r="3435" spans="9:16">
      <c r="I3435" s="23" t="str">
        <f>_xlfn.IFNA(VLOOKUP(A3435,A3436:$H$3524,8,0),"")</f>
        <v/>
      </c>
      <c r="J3435" s="40" t="str">
        <f t="shared" si="274"/>
        <v/>
      </c>
      <c r="K3435" s="24" t="str">
        <f t="shared" si="275"/>
        <v/>
      </c>
      <c r="L3435" s="25" t="str">
        <f t="shared" si="271"/>
        <v/>
      </c>
      <c r="O3435" s="33" t="str">
        <f t="shared" si="272"/>
        <v/>
      </c>
      <c r="P3435" s="33" t="str">
        <f t="shared" si="273"/>
        <v/>
      </c>
    </row>
    <row r="3436" spans="9:16">
      <c r="I3436" s="23" t="str">
        <f>_xlfn.IFNA(VLOOKUP(A3436,A3437:$H$3524,8,0),"")</f>
        <v/>
      </c>
      <c r="J3436" s="40" t="str">
        <f t="shared" si="274"/>
        <v/>
      </c>
      <c r="K3436" s="24" t="str">
        <f t="shared" si="275"/>
        <v/>
      </c>
      <c r="L3436" s="25" t="str">
        <f t="shared" si="271"/>
        <v/>
      </c>
      <c r="O3436" s="33" t="str">
        <f t="shared" si="272"/>
        <v/>
      </c>
      <c r="P3436" s="33" t="str">
        <f t="shared" si="273"/>
        <v/>
      </c>
    </row>
    <row r="3437" spans="9:16">
      <c r="I3437" s="23" t="str">
        <f>_xlfn.IFNA(VLOOKUP(A3437,A3438:$H$3524,8,0),"")</f>
        <v/>
      </c>
      <c r="J3437" s="40" t="str">
        <f t="shared" si="274"/>
        <v/>
      </c>
      <c r="K3437" s="24" t="str">
        <f t="shared" si="275"/>
        <v/>
      </c>
      <c r="L3437" s="25" t="str">
        <f t="shared" si="271"/>
        <v/>
      </c>
      <c r="O3437" s="33" t="str">
        <f t="shared" si="272"/>
        <v/>
      </c>
      <c r="P3437" s="33" t="str">
        <f t="shared" si="273"/>
        <v/>
      </c>
    </row>
    <row r="3438" spans="9:16">
      <c r="I3438" s="23" t="str">
        <f>_xlfn.IFNA(VLOOKUP(A3438,A3439:$H$3524,8,0),"")</f>
        <v/>
      </c>
      <c r="J3438" s="40" t="str">
        <f t="shared" si="274"/>
        <v/>
      </c>
      <c r="K3438" s="24" t="str">
        <f t="shared" si="275"/>
        <v/>
      </c>
      <c r="L3438" s="25" t="str">
        <f t="shared" si="271"/>
        <v/>
      </c>
      <c r="O3438" s="33" t="str">
        <f t="shared" si="272"/>
        <v/>
      </c>
      <c r="P3438" s="33" t="str">
        <f t="shared" si="273"/>
        <v/>
      </c>
    </row>
    <row r="3439" spans="9:16">
      <c r="I3439" s="23" t="str">
        <f>_xlfn.IFNA(VLOOKUP(A3439,A3440:$H$3524,8,0),"")</f>
        <v/>
      </c>
      <c r="J3439" s="40" t="str">
        <f t="shared" si="274"/>
        <v/>
      </c>
      <c r="K3439" s="24" t="str">
        <f t="shared" si="275"/>
        <v/>
      </c>
      <c r="L3439" s="25" t="str">
        <f t="shared" si="271"/>
        <v/>
      </c>
      <c r="O3439" s="33" t="str">
        <f t="shared" si="272"/>
        <v/>
      </c>
      <c r="P3439" s="33" t="str">
        <f t="shared" si="273"/>
        <v/>
      </c>
    </row>
    <row r="3440" spans="9:16">
      <c r="I3440" s="23" t="str">
        <f>_xlfn.IFNA(VLOOKUP(A3440,A3441:$H$3524,8,0),"")</f>
        <v/>
      </c>
      <c r="J3440" s="40" t="str">
        <f t="shared" si="274"/>
        <v/>
      </c>
      <c r="K3440" s="24" t="str">
        <f t="shared" si="275"/>
        <v/>
      </c>
      <c r="L3440" s="25" t="str">
        <f t="shared" si="271"/>
        <v/>
      </c>
      <c r="O3440" s="33" t="str">
        <f t="shared" si="272"/>
        <v/>
      </c>
      <c r="P3440" s="33" t="str">
        <f t="shared" si="273"/>
        <v/>
      </c>
    </row>
    <row r="3441" spans="9:16">
      <c r="I3441" s="23" t="str">
        <f>_xlfn.IFNA(VLOOKUP(A3441,A3442:$H$3524,8,0),"")</f>
        <v/>
      </c>
      <c r="J3441" s="40" t="str">
        <f t="shared" si="274"/>
        <v/>
      </c>
      <c r="K3441" s="24" t="str">
        <f t="shared" si="275"/>
        <v/>
      </c>
      <c r="L3441" s="25" t="str">
        <f t="shared" si="271"/>
        <v/>
      </c>
      <c r="O3441" s="33" t="str">
        <f t="shared" si="272"/>
        <v/>
      </c>
      <c r="P3441" s="33" t="str">
        <f t="shared" si="273"/>
        <v/>
      </c>
    </row>
    <row r="3442" spans="9:16">
      <c r="I3442" s="23" t="str">
        <f>_xlfn.IFNA(VLOOKUP(A3442,A3443:$H$3524,8,0),"")</f>
        <v/>
      </c>
      <c r="J3442" s="40" t="str">
        <f t="shared" si="274"/>
        <v/>
      </c>
      <c r="K3442" s="24" t="str">
        <f t="shared" si="275"/>
        <v/>
      </c>
      <c r="L3442" s="25" t="str">
        <f t="shared" si="271"/>
        <v/>
      </c>
      <c r="O3442" s="33" t="str">
        <f t="shared" si="272"/>
        <v/>
      </c>
      <c r="P3442" s="33" t="str">
        <f t="shared" si="273"/>
        <v/>
      </c>
    </row>
    <row r="3443" spans="9:16">
      <c r="I3443" s="23" t="str">
        <f>_xlfn.IFNA(VLOOKUP(A3443,A3444:$H$3524,8,0),"")</f>
        <v/>
      </c>
      <c r="J3443" s="40" t="str">
        <f t="shared" si="274"/>
        <v/>
      </c>
      <c r="K3443" s="24" t="str">
        <f t="shared" si="275"/>
        <v/>
      </c>
      <c r="L3443" s="25" t="str">
        <f t="shared" si="271"/>
        <v/>
      </c>
      <c r="O3443" s="33" t="str">
        <f t="shared" si="272"/>
        <v/>
      </c>
      <c r="P3443" s="33" t="str">
        <f t="shared" si="273"/>
        <v/>
      </c>
    </row>
    <row r="3444" spans="9:16">
      <c r="I3444" s="23" t="str">
        <f>_xlfn.IFNA(VLOOKUP(A3444,A3445:$H$3524,8,0),"")</f>
        <v/>
      </c>
      <c r="J3444" s="40" t="str">
        <f t="shared" si="274"/>
        <v/>
      </c>
      <c r="K3444" s="24" t="str">
        <f t="shared" si="275"/>
        <v/>
      </c>
      <c r="L3444" s="25" t="str">
        <f t="shared" si="271"/>
        <v/>
      </c>
      <c r="O3444" s="33" t="str">
        <f t="shared" si="272"/>
        <v/>
      </c>
      <c r="P3444" s="33" t="str">
        <f t="shared" si="273"/>
        <v/>
      </c>
    </row>
    <row r="3445" spans="9:16">
      <c r="I3445" s="23" t="str">
        <f>_xlfn.IFNA(VLOOKUP(A3445,A3446:$H$3524,8,0),"")</f>
        <v/>
      </c>
      <c r="J3445" s="40" t="str">
        <f t="shared" si="274"/>
        <v/>
      </c>
      <c r="K3445" s="24" t="str">
        <f t="shared" si="275"/>
        <v/>
      </c>
      <c r="L3445" s="25" t="str">
        <f t="shared" si="271"/>
        <v/>
      </c>
      <c r="O3445" s="33" t="str">
        <f t="shared" si="272"/>
        <v/>
      </c>
      <c r="P3445" s="33" t="str">
        <f t="shared" si="273"/>
        <v/>
      </c>
    </row>
    <row r="3446" spans="9:16">
      <c r="I3446" s="23" t="str">
        <f>_xlfn.IFNA(VLOOKUP(A3446,A3447:$H$3524,8,0),"")</f>
        <v/>
      </c>
      <c r="J3446" s="40" t="str">
        <f t="shared" si="274"/>
        <v/>
      </c>
      <c r="K3446" s="24" t="str">
        <f t="shared" si="275"/>
        <v/>
      </c>
      <c r="L3446" s="25" t="str">
        <f t="shared" si="271"/>
        <v/>
      </c>
      <c r="O3446" s="33" t="str">
        <f t="shared" si="272"/>
        <v/>
      </c>
      <c r="P3446" s="33" t="str">
        <f t="shared" si="273"/>
        <v/>
      </c>
    </row>
    <row r="3447" spans="9:16">
      <c r="I3447" s="23" t="str">
        <f>_xlfn.IFNA(VLOOKUP(A3447,A3448:$H$3524,8,0),"")</f>
        <v/>
      </c>
      <c r="J3447" s="40" t="str">
        <f t="shared" si="274"/>
        <v/>
      </c>
      <c r="K3447" s="24" t="str">
        <f t="shared" si="275"/>
        <v/>
      </c>
      <c r="L3447" s="25" t="str">
        <f t="shared" ref="L3447:L3510" si="276">IF(K3447="","",IF(B3447="Break","Break",IF(K3447&lt;&gt;0,"Work Finished",IF(B3447="OFF","Work Finished",IF(I3447="","Working","Work Finished")))))</f>
        <v/>
      </c>
      <c r="O3447" s="33" t="str">
        <f t="shared" ref="O3447:O3510" si="277">IF(AND(J3447="",M3447="",N3447=""),"",J3447-M3447-N3447)</f>
        <v/>
      </c>
      <c r="P3447" s="33" t="str">
        <f t="shared" ref="P3447:P3510" si="278">IF(HOUR(H3447)=0,"",HOUR(H3447))</f>
        <v/>
      </c>
    </row>
    <row r="3448" spans="9:16">
      <c r="I3448" s="23" t="str">
        <f>_xlfn.IFNA(VLOOKUP(A3448,A3449:$H$3524,8,0),"")</f>
        <v/>
      </c>
      <c r="J3448" s="40" t="str">
        <f t="shared" si="274"/>
        <v/>
      </c>
      <c r="K3448" s="24" t="str">
        <f t="shared" si="275"/>
        <v/>
      </c>
      <c r="L3448" s="25" t="str">
        <f t="shared" si="276"/>
        <v/>
      </c>
      <c r="O3448" s="33" t="str">
        <f t="shared" si="277"/>
        <v/>
      </c>
      <c r="P3448" s="33" t="str">
        <f t="shared" si="278"/>
        <v/>
      </c>
    </row>
    <row r="3449" spans="9:16">
      <c r="I3449" s="23" t="str">
        <f>_xlfn.IFNA(VLOOKUP(A3449,A3450:$H$3524,8,0),"")</f>
        <v/>
      </c>
      <c r="J3449" s="40" t="str">
        <f t="shared" si="274"/>
        <v/>
      </c>
      <c r="K3449" s="24" t="str">
        <f t="shared" si="275"/>
        <v/>
      </c>
      <c r="L3449" s="25" t="str">
        <f t="shared" si="276"/>
        <v/>
      </c>
      <c r="O3449" s="33" t="str">
        <f t="shared" si="277"/>
        <v/>
      </c>
      <c r="P3449" s="33" t="str">
        <f t="shared" si="278"/>
        <v/>
      </c>
    </row>
    <row r="3450" spans="9:16">
      <c r="I3450" s="23" t="str">
        <f>_xlfn.IFNA(VLOOKUP(A3450,A3451:$H$3524,8,0),"")</f>
        <v/>
      </c>
      <c r="J3450" s="40" t="str">
        <f t="shared" si="274"/>
        <v/>
      </c>
      <c r="K3450" s="24" t="str">
        <f t="shared" si="275"/>
        <v/>
      </c>
      <c r="L3450" s="25" t="str">
        <f t="shared" si="276"/>
        <v/>
      </c>
      <c r="O3450" s="33" t="str">
        <f t="shared" si="277"/>
        <v/>
      </c>
      <c r="P3450" s="33" t="str">
        <f t="shared" si="278"/>
        <v/>
      </c>
    </row>
    <row r="3451" spans="9:16">
      <c r="I3451" s="23" t="str">
        <f>_xlfn.IFNA(VLOOKUP(A3451,A3452:$H$3524,8,0),"")</f>
        <v/>
      </c>
      <c r="J3451" s="40" t="str">
        <f t="shared" si="274"/>
        <v/>
      </c>
      <c r="K3451" s="24" t="str">
        <f t="shared" si="275"/>
        <v/>
      </c>
      <c r="L3451" s="25" t="str">
        <f t="shared" si="276"/>
        <v/>
      </c>
      <c r="O3451" s="33" t="str">
        <f t="shared" si="277"/>
        <v/>
      </c>
      <c r="P3451" s="33" t="str">
        <f t="shared" si="278"/>
        <v/>
      </c>
    </row>
    <row r="3452" spans="9:16">
      <c r="I3452" s="23" t="str">
        <f>_xlfn.IFNA(VLOOKUP(A3452,A3453:$H$3524,8,0),"")</f>
        <v/>
      </c>
      <c r="J3452" s="40" t="str">
        <f t="shared" si="274"/>
        <v/>
      </c>
      <c r="K3452" s="24" t="str">
        <f t="shared" si="275"/>
        <v/>
      </c>
      <c r="L3452" s="25" t="str">
        <f t="shared" si="276"/>
        <v/>
      </c>
      <c r="O3452" s="33" t="str">
        <f t="shared" si="277"/>
        <v/>
      </c>
      <c r="P3452" s="33" t="str">
        <f t="shared" si="278"/>
        <v/>
      </c>
    </row>
    <row r="3453" spans="9:16">
      <c r="I3453" s="23" t="str">
        <f>_xlfn.IFNA(VLOOKUP(A3453,A3454:$H$3524,8,0),"")</f>
        <v/>
      </c>
      <c r="J3453" s="40" t="str">
        <f t="shared" si="274"/>
        <v/>
      </c>
      <c r="K3453" s="24" t="str">
        <f t="shared" si="275"/>
        <v/>
      </c>
      <c r="L3453" s="25" t="str">
        <f t="shared" si="276"/>
        <v/>
      </c>
      <c r="O3453" s="33" t="str">
        <f t="shared" si="277"/>
        <v/>
      </c>
      <c r="P3453" s="33" t="str">
        <f t="shared" si="278"/>
        <v/>
      </c>
    </row>
    <row r="3454" spans="9:16">
      <c r="I3454" s="23" t="str">
        <f>_xlfn.IFNA(VLOOKUP(A3454,A3455:$H$3524,8,0),"")</f>
        <v/>
      </c>
      <c r="J3454" s="40" t="str">
        <f t="shared" si="274"/>
        <v/>
      </c>
      <c r="K3454" s="24" t="str">
        <f t="shared" si="275"/>
        <v/>
      </c>
      <c r="L3454" s="25" t="str">
        <f t="shared" si="276"/>
        <v/>
      </c>
      <c r="O3454" s="33" t="str">
        <f t="shared" si="277"/>
        <v/>
      </c>
      <c r="P3454" s="33" t="str">
        <f t="shared" si="278"/>
        <v/>
      </c>
    </row>
    <row r="3455" spans="9:16">
      <c r="I3455" s="23" t="str">
        <f>_xlfn.IFNA(VLOOKUP(A3455,A3456:$H$3524,8,0),"")</f>
        <v/>
      </c>
      <c r="J3455" s="40" t="str">
        <f t="shared" si="274"/>
        <v/>
      </c>
      <c r="K3455" s="24" t="str">
        <f t="shared" si="275"/>
        <v/>
      </c>
      <c r="L3455" s="25" t="str">
        <f t="shared" si="276"/>
        <v/>
      </c>
      <c r="O3455" s="33" t="str">
        <f t="shared" si="277"/>
        <v/>
      </c>
      <c r="P3455" s="33" t="str">
        <f t="shared" si="278"/>
        <v/>
      </c>
    </row>
    <row r="3456" spans="9:16">
      <c r="I3456" s="23" t="str">
        <f>_xlfn.IFNA(VLOOKUP(A3456,A3457:$H$3524,8,0),"")</f>
        <v/>
      </c>
      <c r="J3456" s="40" t="str">
        <f t="shared" si="274"/>
        <v/>
      </c>
      <c r="K3456" s="24" t="str">
        <f t="shared" si="275"/>
        <v/>
      </c>
      <c r="L3456" s="25" t="str">
        <f t="shared" si="276"/>
        <v/>
      </c>
      <c r="O3456" s="33" t="str">
        <f t="shared" si="277"/>
        <v/>
      </c>
      <c r="P3456" s="33" t="str">
        <f t="shared" si="278"/>
        <v/>
      </c>
    </row>
    <row r="3457" spans="9:16">
      <c r="I3457" s="23" t="str">
        <f>_xlfn.IFNA(VLOOKUP(A3457,A3458:$H$3524,8,0),"")</f>
        <v/>
      </c>
      <c r="J3457" s="40" t="str">
        <f t="shared" si="274"/>
        <v/>
      </c>
      <c r="K3457" s="24" t="str">
        <f t="shared" si="275"/>
        <v/>
      </c>
      <c r="L3457" s="25" t="str">
        <f t="shared" si="276"/>
        <v/>
      </c>
      <c r="O3457" s="33" t="str">
        <f t="shared" si="277"/>
        <v/>
      </c>
      <c r="P3457" s="33" t="str">
        <f t="shared" si="278"/>
        <v/>
      </c>
    </row>
    <row r="3458" spans="9:16">
      <c r="I3458" s="23" t="str">
        <f>_xlfn.IFNA(VLOOKUP(A3458,A3459:$H$3524,8,0),"")</f>
        <v/>
      </c>
      <c r="J3458" s="40" t="str">
        <f t="shared" si="274"/>
        <v/>
      </c>
      <c r="K3458" s="24" t="str">
        <f t="shared" si="275"/>
        <v/>
      </c>
      <c r="L3458" s="25" t="str">
        <f t="shared" si="276"/>
        <v/>
      </c>
      <c r="O3458" s="33" t="str">
        <f t="shared" si="277"/>
        <v/>
      </c>
      <c r="P3458" s="33" t="str">
        <f t="shared" si="278"/>
        <v/>
      </c>
    </row>
    <row r="3459" spans="9:16">
      <c r="I3459" s="23" t="str">
        <f>_xlfn.IFNA(VLOOKUP(A3459,A3460:$H$3524,8,0),"")</f>
        <v/>
      </c>
      <c r="J3459" s="40" t="str">
        <f t="shared" si="274"/>
        <v/>
      </c>
      <c r="K3459" s="24" t="str">
        <f t="shared" si="275"/>
        <v/>
      </c>
      <c r="L3459" s="25" t="str">
        <f t="shared" si="276"/>
        <v/>
      </c>
      <c r="O3459" s="33" t="str">
        <f t="shared" si="277"/>
        <v/>
      </c>
      <c r="P3459" s="33" t="str">
        <f t="shared" si="278"/>
        <v/>
      </c>
    </row>
    <row r="3460" spans="9:16">
      <c r="I3460" s="23" t="str">
        <f>_xlfn.IFNA(VLOOKUP(A3460,A3461:$H$3524,8,0),"")</f>
        <v/>
      </c>
      <c r="J3460" s="40" t="str">
        <f t="shared" si="274"/>
        <v/>
      </c>
      <c r="K3460" s="24" t="str">
        <f t="shared" si="275"/>
        <v/>
      </c>
      <c r="L3460" s="25" t="str">
        <f t="shared" si="276"/>
        <v/>
      </c>
      <c r="O3460" s="33" t="str">
        <f t="shared" si="277"/>
        <v/>
      </c>
      <c r="P3460" s="33" t="str">
        <f t="shared" si="278"/>
        <v/>
      </c>
    </row>
    <row r="3461" spans="9:16">
      <c r="I3461" s="23" t="str">
        <f>_xlfn.IFNA(VLOOKUP(A3461,A3462:$H$3524,8,0),"")</f>
        <v/>
      </c>
      <c r="J3461" s="40" t="str">
        <f t="shared" si="274"/>
        <v/>
      </c>
      <c r="K3461" s="24" t="str">
        <f t="shared" si="275"/>
        <v/>
      </c>
      <c r="L3461" s="25" t="str">
        <f t="shared" si="276"/>
        <v/>
      </c>
      <c r="O3461" s="33" t="str">
        <f t="shared" si="277"/>
        <v/>
      </c>
      <c r="P3461" s="33" t="str">
        <f t="shared" si="278"/>
        <v/>
      </c>
    </row>
    <row r="3462" spans="9:16">
      <c r="I3462" s="23" t="str">
        <f>_xlfn.IFNA(VLOOKUP(A3462,A3463:$H$3524,8,0),"")</f>
        <v/>
      </c>
      <c r="J3462" s="40" t="str">
        <f t="shared" ref="J3462:J3525" si="279">IF(B3462="OFF",0,IF(AND(D3462&lt;&gt;"",E3462&lt;&gt;""),E3462-D3462+1,""))</f>
        <v/>
      </c>
      <c r="K3462" s="24" t="str">
        <f t="shared" si="275"/>
        <v/>
      </c>
      <c r="L3462" s="25" t="str">
        <f t="shared" si="276"/>
        <v/>
      </c>
      <c r="O3462" s="33" t="str">
        <f t="shared" si="277"/>
        <v/>
      </c>
      <c r="P3462" s="33" t="str">
        <f t="shared" si="278"/>
        <v/>
      </c>
    </row>
    <row r="3463" spans="9:16">
      <c r="I3463" s="23" t="str">
        <f>_xlfn.IFNA(VLOOKUP(A3463,A3464:$H$3524,8,0),"")</f>
        <v/>
      </c>
      <c r="J3463" s="40" t="str">
        <f t="shared" si="279"/>
        <v/>
      </c>
      <c r="K3463" s="24" t="str">
        <f t="shared" si="275"/>
        <v/>
      </c>
      <c r="L3463" s="25" t="str">
        <f t="shared" si="276"/>
        <v/>
      </c>
      <c r="O3463" s="33" t="str">
        <f t="shared" si="277"/>
        <v/>
      </c>
      <c r="P3463" s="33" t="str">
        <f t="shared" si="278"/>
        <v/>
      </c>
    </row>
    <row r="3464" spans="9:16">
      <c r="I3464" s="23" t="str">
        <f>_xlfn.IFNA(VLOOKUP(A3464,A3465:$H$3524,8,0),"")</f>
        <v/>
      </c>
      <c r="J3464" s="40" t="str">
        <f t="shared" si="279"/>
        <v/>
      </c>
      <c r="K3464" s="24" t="str">
        <f t="shared" si="275"/>
        <v/>
      </c>
      <c r="L3464" s="25" t="str">
        <f t="shared" si="276"/>
        <v/>
      </c>
      <c r="O3464" s="33" t="str">
        <f t="shared" si="277"/>
        <v/>
      </c>
      <c r="P3464" s="33" t="str">
        <f t="shared" si="278"/>
        <v/>
      </c>
    </row>
    <row r="3465" spans="9:16">
      <c r="I3465" s="23" t="str">
        <f>_xlfn.IFNA(VLOOKUP(A3465,A3466:$H$3524,8,0),"")</f>
        <v/>
      </c>
      <c r="J3465" s="40" t="str">
        <f t="shared" si="279"/>
        <v/>
      </c>
      <c r="K3465" s="24" t="str">
        <f t="shared" si="275"/>
        <v/>
      </c>
      <c r="L3465" s="25" t="str">
        <f t="shared" si="276"/>
        <v/>
      </c>
      <c r="O3465" s="33" t="str">
        <f t="shared" si="277"/>
        <v/>
      </c>
      <c r="P3465" s="33" t="str">
        <f t="shared" si="278"/>
        <v/>
      </c>
    </row>
    <row r="3466" spans="9:16">
      <c r="I3466" s="23" t="str">
        <f>_xlfn.IFNA(VLOOKUP(A3466,A3467:$H$3524,8,0),"")</f>
        <v/>
      </c>
      <c r="J3466" s="40" t="str">
        <f t="shared" si="279"/>
        <v/>
      </c>
      <c r="K3466" s="24" t="str">
        <f t="shared" si="275"/>
        <v/>
      </c>
      <c r="L3466" s="25" t="str">
        <f t="shared" si="276"/>
        <v/>
      </c>
      <c r="O3466" s="33" t="str">
        <f t="shared" si="277"/>
        <v/>
      </c>
      <c r="P3466" s="33" t="str">
        <f t="shared" si="278"/>
        <v/>
      </c>
    </row>
    <row r="3467" spans="9:16">
      <c r="I3467" s="23" t="str">
        <f>_xlfn.IFNA(VLOOKUP(A3467,A3468:$H$3524,8,0),"")</f>
        <v/>
      </c>
      <c r="J3467" s="40" t="str">
        <f t="shared" si="279"/>
        <v/>
      </c>
      <c r="K3467" s="24" t="str">
        <f t="shared" si="275"/>
        <v/>
      </c>
      <c r="L3467" s="25" t="str">
        <f t="shared" si="276"/>
        <v/>
      </c>
      <c r="O3467" s="33" t="str">
        <f t="shared" si="277"/>
        <v/>
      </c>
      <c r="P3467" s="33" t="str">
        <f t="shared" si="278"/>
        <v/>
      </c>
    </row>
    <row r="3468" spans="9:16">
      <c r="I3468" s="23" t="str">
        <f>_xlfn.IFNA(VLOOKUP(A3468,A3469:$H$3524,8,0),"")</f>
        <v/>
      </c>
      <c r="J3468" s="40" t="str">
        <f t="shared" si="279"/>
        <v/>
      </c>
      <c r="K3468" s="24" t="str">
        <f t="shared" si="275"/>
        <v/>
      </c>
      <c r="L3468" s="25" t="str">
        <f t="shared" si="276"/>
        <v/>
      </c>
      <c r="O3468" s="33" t="str">
        <f t="shared" si="277"/>
        <v/>
      </c>
      <c r="P3468" s="33" t="str">
        <f t="shared" si="278"/>
        <v/>
      </c>
    </row>
    <row r="3469" spans="9:16">
      <c r="I3469" s="23" t="str">
        <f>_xlfn.IFNA(VLOOKUP(A3469,A3470:$H$3524,8,0),"")</f>
        <v/>
      </c>
      <c r="J3469" s="40" t="str">
        <f t="shared" si="279"/>
        <v/>
      </c>
      <c r="K3469" s="24" t="str">
        <f t="shared" si="275"/>
        <v/>
      </c>
      <c r="L3469" s="25" t="str">
        <f t="shared" si="276"/>
        <v/>
      </c>
      <c r="O3469" s="33" t="str">
        <f t="shared" si="277"/>
        <v/>
      </c>
      <c r="P3469" s="33" t="str">
        <f t="shared" si="278"/>
        <v/>
      </c>
    </row>
    <row r="3470" spans="9:16">
      <c r="I3470" s="23" t="str">
        <f>_xlfn.IFNA(VLOOKUP(A3470,A3471:$H$3524,8,0),"")</f>
        <v/>
      </c>
      <c r="J3470" s="40" t="str">
        <f t="shared" si="279"/>
        <v/>
      </c>
      <c r="K3470" s="24" t="str">
        <f t="shared" si="275"/>
        <v/>
      </c>
      <c r="L3470" s="25" t="str">
        <f t="shared" si="276"/>
        <v/>
      </c>
      <c r="O3470" s="33" t="str">
        <f t="shared" si="277"/>
        <v/>
      </c>
      <c r="P3470" s="33" t="str">
        <f t="shared" si="278"/>
        <v/>
      </c>
    </row>
    <row r="3471" spans="9:16">
      <c r="I3471" s="23" t="str">
        <f>_xlfn.IFNA(VLOOKUP(A3471,A3472:$H$3524,8,0),"")</f>
        <v/>
      </c>
      <c r="J3471" s="40" t="str">
        <f t="shared" si="279"/>
        <v/>
      </c>
      <c r="K3471" s="24" t="str">
        <f t="shared" si="275"/>
        <v/>
      </c>
      <c r="L3471" s="25" t="str">
        <f t="shared" si="276"/>
        <v/>
      </c>
      <c r="O3471" s="33" t="str">
        <f t="shared" si="277"/>
        <v/>
      </c>
      <c r="P3471" s="33" t="str">
        <f t="shared" si="278"/>
        <v/>
      </c>
    </row>
    <row r="3472" spans="9:16">
      <c r="I3472" s="23" t="str">
        <f>_xlfn.IFNA(VLOOKUP(A3472,A3473:$H$3524,8,0),"")</f>
        <v/>
      </c>
      <c r="J3472" s="40" t="str">
        <f t="shared" si="279"/>
        <v/>
      </c>
      <c r="K3472" s="24" t="str">
        <f t="shared" si="275"/>
        <v/>
      </c>
      <c r="L3472" s="25" t="str">
        <f t="shared" si="276"/>
        <v/>
      </c>
      <c r="O3472" s="33" t="str">
        <f t="shared" si="277"/>
        <v/>
      </c>
      <c r="P3472" s="33" t="str">
        <f t="shared" si="278"/>
        <v/>
      </c>
    </row>
    <row r="3473" spans="9:16">
      <c r="I3473" s="23" t="str">
        <f>_xlfn.IFNA(VLOOKUP(A3473,A3474:$H$3524,8,0),"")</f>
        <v/>
      </c>
      <c r="J3473" s="40" t="str">
        <f t="shared" si="279"/>
        <v/>
      </c>
      <c r="K3473" s="24" t="str">
        <f t="shared" si="275"/>
        <v/>
      </c>
      <c r="L3473" s="25" t="str">
        <f t="shared" si="276"/>
        <v/>
      </c>
      <c r="O3473" s="33" t="str">
        <f t="shared" si="277"/>
        <v/>
      </c>
      <c r="P3473" s="33" t="str">
        <f t="shared" si="278"/>
        <v/>
      </c>
    </row>
    <row r="3474" spans="9:16">
      <c r="I3474" s="23" t="str">
        <f>_xlfn.IFNA(VLOOKUP(A3474,A3475:$H$3524,8,0),"")</f>
        <v/>
      </c>
      <c r="J3474" s="40" t="str">
        <f t="shared" si="279"/>
        <v/>
      </c>
      <c r="K3474" s="24" t="str">
        <f t="shared" si="275"/>
        <v/>
      </c>
      <c r="L3474" s="25" t="str">
        <f t="shared" si="276"/>
        <v/>
      </c>
      <c r="O3474" s="33" t="str">
        <f t="shared" si="277"/>
        <v/>
      </c>
      <c r="P3474" s="33" t="str">
        <f t="shared" si="278"/>
        <v/>
      </c>
    </row>
    <row r="3475" spans="9:16">
      <c r="I3475" s="23" t="str">
        <f>_xlfn.IFNA(VLOOKUP(A3475,A3476:$H$3524,8,0),"")</f>
        <v/>
      </c>
      <c r="J3475" s="40" t="str">
        <f t="shared" si="279"/>
        <v/>
      </c>
      <c r="K3475" s="24" t="str">
        <f t="shared" si="275"/>
        <v/>
      </c>
      <c r="L3475" s="25" t="str">
        <f t="shared" si="276"/>
        <v/>
      </c>
      <c r="O3475" s="33" t="str">
        <f t="shared" si="277"/>
        <v/>
      </c>
      <c r="P3475" s="33" t="str">
        <f t="shared" si="278"/>
        <v/>
      </c>
    </row>
    <row r="3476" spans="9:16">
      <c r="I3476" s="23" t="str">
        <f>_xlfn.IFNA(VLOOKUP(A3476,A3477:$H$3524,8,0),"")</f>
        <v/>
      </c>
      <c r="J3476" s="40" t="str">
        <f t="shared" si="279"/>
        <v/>
      </c>
      <c r="K3476" s="24" t="str">
        <f t="shared" si="275"/>
        <v/>
      </c>
      <c r="L3476" s="25" t="str">
        <f t="shared" si="276"/>
        <v/>
      </c>
      <c r="O3476" s="33" t="str">
        <f t="shared" si="277"/>
        <v/>
      </c>
      <c r="P3476" s="33" t="str">
        <f t="shared" si="278"/>
        <v/>
      </c>
    </row>
    <row r="3477" spans="9:16">
      <c r="I3477" s="23" t="str">
        <f>_xlfn.IFNA(VLOOKUP(A3477,A3478:$H$3524,8,0),"")</f>
        <v/>
      </c>
      <c r="J3477" s="40" t="str">
        <f t="shared" si="279"/>
        <v/>
      </c>
      <c r="K3477" s="24" t="str">
        <f t="shared" si="275"/>
        <v/>
      </c>
      <c r="L3477" s="25" t="str">
        <f t="shared" si="276"/>
        <v/>
      </c>
      <c r="O3477" s="33" t="str">
        <f t="shared" si="277"/>
        <v/>
      </c>
      <c r="P3477" s="33" t="str">
        <f t="shared" si="278"/>
        <v/>
      </c>
    </row>
    <row r="3478" spans="9:16">
      <c r="I3478" s="23" t="str">
        <f>_xlfn.IFNA(VLOOKUP(A3478,A3479:$H$3524,8,0),"")</f>
        <v/>
      </c>
      <c r="J3478" s="40" t="str">
        <f t="shared" si="279"/>
        <v/>
      </c>
      <c r="K3478" s="24" t="str">
        <f t="shared" ref="K3478:K3541" si="280">IF(H3478="","",IFERROR((I3478-H3478)*24,0))</f>
        <v/>
      </c>
      <c r="L3478" s="25" t="str">
        <f t="shared" si="276"/>
        <v/>
      </c>
      <c r="O3478" s="33" t="str">
        <f t="shared" si="277"/>
        <v/>
      </c>
      <c r="P3478" s="33" t="str">
        <f t="shared" si="278"/>
        <v/>
      </c>
    </row>
    <row r="3479" spans="9:16">
      <c r="I3479" s="23" t="str">
        <f>_xlfn.IFNA(VLOOKUP(A3479,A3480:$H$3524,8,0),"")</f>
        <v/>
      </c>
      <c r="J3479" s="40" t="str">
        <f t="shared" si="279"/>
        <v/>
      </c>
      <c r="K3479" s="24" t="str">
        <f t="shared" si="280"/>
        <v/>
      </c>
      <c r="L3479" s="25" t="str">
        <f t="shared" si="276"/>
        <v/>
      </c>
      <c r="O3479" s="33" t="str">
        <f t="shared" si="277"/>
        <v/>
      </c>
      <c r="P3479" s="33" t="str">
        <f t="shared" si="278"/>
        <v/>
      </c>
    </row>
    <row r="3480" spans="9:16">
      <c r="I3480" s="23" t="str">
        <f>_xlfn.IFNA(VLOOKUP(A3480,A3481:$H$3524,8,0),"")</f>
        <v/>
      </c>
      <c r="J3480" s="40" t="str">
        <f t="shared" si="279"/>
        <v/>
      </c>
      <c r="K3480" s="24" t="str">
        <f t="shared" si="280"/>
        <v/>
      </c>
      <c r="L3480" s="25" t="str">
        <f t="shared" si="276"/>
        <v/>
      </c>
      <c r="O3480" s="33" t="str">
        <f t="shared" si="277"/>
        <v/>
      </c>
      <c r="P3480" s="33" t="str">
        <f t="shared" si="278"/>
        <v/>
      </c>
    </row>
    <row r="3481" spans="9:16">
      <c r="I3481" s="23" t="str">
        <f>_xlfn.IFNA(VLOOKUP(A3481,A3482:$H$3524,8,0),"")</f>
        <v/>
      </c>
      <c r="J3481" s="40" t="str">
        <f t="shared" si="279"/>
        <v/>
      </c>
      <c r="K3481" s="24" t="str">
        <f t="shared" si="280"/>
        <v/>
      </c>
      <c r="L3481" s="25" t="str">
        <f t="shared" si="276"/>
        <v/>
      </c>
      <c r="O3481" s="33" t="str">
        <f t="shared" si="277"/>
        <v/>
      </c>
      <c r="P3481" s="33" t="str">
        <f t="shared" si="278"/>
        <v/>
      </c>
    </row>
    <row r="3482" spans="9:16">
      <c r="I3482" s="23" t="str">
        <f>_xlfn.IFNA(VLOOKUP(A3482,A3483:$H$3524,8,0),"")</f>
        <v/>
      </c>
      <c r="J3482" s="40" t="str">
        <f t="shared" si="279"/>
        <v/>
      </c>
      <c r="K3482" s="24" t="str">
        <f t="shared" si="280"/>
        <v/>
      </c>
      <c r="L3482" s="25" t="str">
        <f t="shared" si="276"/>
        <v/>
      </c>
      <c r="O3482" s="33" t="str">
        <f t="shared" si="277"/>
        <v/>
      </c>
      <c r="P3482" s="33" t="str">
        <f t="shared" si="278"/>
        <v/>
      </c>
    </row>
    <row r="3483" spans="9:16">
      <c r="I3483" s="23" t="str">
        <f>_xlfn.IFNA(VLOOKUP(A3483,A3484:$H$3524,8,0),"")</f>
        <v/>
      </c>
      <c r="J3483" s="40" t="str">
        <f t="shared" si="279"/>
        <v/>
      </c>
      <c r="K3483" s="24" t="str">
        <f t="shared" si="280"/>
        <v/>
      </c>
      <c r="L3483" s="25" t="str">
        <f t="shared" si="276"/>
        <v/>
      </c>
      <c r="O3483" s="33" t="str">
        <f t="shared" si="277"/>
        <v/>
      </c>
      <c r="P3483" s="33" t="str">
        <f t="shared" si="278"/>
        <v/>
      </c>
    </row>
    <row r="3484" spans="9:16">
      <c r="I3484" s="23" t="str">
        <f>_xlfn.IFNA(VLOOKUP(A3484,A3485:$H$3524,8,0),"")</f>
        <v/>
      </c>
      <c r="J3484" s="40" t="str">
        <f t="shared" si="279"/>
        <v/>
      </c>
      <c r="K3484" s="24" t="str">
        <f t="shared" si="280"/>
        <v/>
      </c>
      <c r="L3484" s="25" t="str">
        <f t="shared" si="276"/>
        <v/>
      </c>
      <c r="O3484" s="33" t="str">
        <f t="shared" si="277"/>
        <v/>
      </c>
      <c r="P3484" s="33" t="str">
        <f t="shared" si="278"/>
        <v/>
      </c>
    </row>
    <row r="3485" spans="9:16">
      <c r="I3485" s="23" t="str">
        <f>_xlfn.IFNA(VLOOKUP(A3485,A3486:$H$3524,8,0),"")</f>
        <v/>
      </c>
      <c r="J3485" s="40" t="str">
        <f t="shared" si="279"/>
        <v/>
      </c>
      <c r="K3485" s="24" t="str">
        <f t="shared" si="280"/>
        <v/>
      </c>
      <c r="L3485" s="25" t="str">
        <f t="shared" si="276"/>
        <v/>
      </c>
      <c r="O3485" s="33" t="str">
        <f t="shared" si="277"/>
        <v/>
      </c>
      <c r="P3485" s="33" t="str">
        <f t="shared" si="278"/>
        <v/>
      </c>
    </row>
    <row r="3486" spans="9:16">
      <c r="I3486" s="23" t="str">
        <f>_xlfn.IFNA(VLOOKUP(A3486,A3487:$H$3524,8,0),"")</f>
        <v/>
      </c>
      <c r="J3486" s="40" t="str">
        <f t="shared" si="279"/>
        <v/>
      </c>
      <c r="K3486" s="24" t="str">
        <f t="shared" si="280"/>
        <v/>
      </c>
      <c r="L3486" s="25" t="str">
        <f t="shared" si="276"/>
        <v/>
      </c>
      <c r="O3486" s="33" t="str">
        <f t="shared" si="277"/>
        <v/>
      </c>
      <c r="P3486" s="33" t="str">
        <f t="shared" si="278"/>
        <v/>
      </c>
    </row>
    <row r="3487" spans="9:16">
      <c r="I3487" s="23" t="str">
        <f>_xlfn.IFNA(VLOOKUP(A3487,A3488:$H$3524,8,0),"")</f>
        <v/>
      </c>
      <c r="J3487" s="40" t="str">
        <f t="shared" si="279"/>
        <v/>
      </c>
      <c r="K3487" s="24" t="str">
        <f t="shared" si="280"/>
        <v/>
      </c>
      <c r="L3487" s="25" t="str">
        <f t="shared" si="276"/>
        <v/>
      </c>
      <c r="O3487" s="33" t="str">
        <f t="shared" si="277"/>
        <v/>
      </c>
      <c r="P3487" s="33" t="str">
        <f t="shared" si="278"/>
        <v/>
      </c>
    </row>
    <row r="3488" spans="9:16">
      <c r="I3488" s="23" t="str">
        <f>_xlfn.IFNA(VLOOKUP(A3488,A3489:$H$3524,8,0),"")</f>
        <v/>
      </c>
      <c r="J3488" s="40" t="str">
        <f t="shared" si="279"/>
        <v/>
      </c>
      <c r="K3488" s="24" t="str">
        <f t="shared" si="280"/>
        <v/>
      </c>
      <c r="L3488" s="25" t="str">
        <f t="shared" si="276"/>
        <v/>
      </c>
      <c r="O3488" s="33" t="str">
        <f t="shared" si="277"/>
        <v/>
      </c>
      <c r="P3488" s="33" t="str">
        <f t="shared" si="278"/>
        <v/>
      </c>
    </row>
    <row r="3489" spans="9:16">
      <c r="I3489" s="23" t="str">
        <f>_xlfn.IFNA(VLOOKUP(A3489,A3490:$H$3524,8,0),"")</f>
        <v/>
      </c>
      <c r="J3489" s="40" t="str">
        <f t="shared" si="279"/>
        <v/>
      </c>
      <c r="K3489" s="24" t="str">
        <f t="shared" si="280"/>
        <v/>
      </c>
      <c r="L3489" s="25" t="str">
        <f t="shared" si="276"/>
        <v/>
      </c>
      <c r="O3489" s="33" t="str">
        <f t="shared" si="277"/>
        <v/>
      </c>
      <c r="P3489" s="33" t="str">
        <f t="shared" si="278"/>
        <v/>
      </c>
    </row>
    <row r="3490" spans="9:16">
      <c r="I3490" s="23" t="str">
        <f>_xlfn.IFNA(VLOOKUP(A3490,A3491:$H$3524,8,0),"")</f>
        <v/>
      </c>
      <c r="J3490" s="40" t="str">
        <f t="shared" si="279"/>
        <v/>
      </c>
      <c r="K3490" s="24" t="str">
        <f t="shared" si="280"/>
        <v/>
      </c>
      <c r="L3490" s="25" t="str">
        <f t="shared" si="276"/>
        <v/>
      </c>
      <c r="O3490" s="33" t="str">
        <f t="shared" si="277"/>
        <v/>
      </c>
      <c r="P3490" s="33" t="str">
        <f t="shared" si="278"/>
        <v/>
      </c>
    </row>
    <row r="3491" spans="9:16">
      <c r="I3491" s="23" t="str">
        <f>_xlfn.IFNA(VLOOKUP(A3491,A3492:$H$3524,8,0),"")</f>
        <v/>
      </c>
      <c r="J3491" s="40" t="str">
        <f t="shared" si="279"/>
        <v/>
      </c>
      <c r="K3491" s="24" t="str">
        <f t="shared" si="280"/>
        <v/>
      </c>
      <c r="L3491" s="25" t="str">
        <f t="shared" si="276"/>
        <v/>
      </c>
      <c r="O3491" s="33" t="str">
        <f t="shared" si="277"/>
        <v/>
      </c>
      <c r="P3491" s="33" t="str">
        <f t="shared" si="278"/>
        <v/>
      </c>
    </row>
    <row r="3492" spans="9:16">
      <c r="I3492" s="23" t="str">
        <f>_xlfn.IFNA(VLOOKUP(A3492,A3493:$H$3524,8,0),"")</f>
        <v/>
      </c>
      <c r="J3492" s="40" t="str">
        <f t="shared" si="279"/>
        <v/>
      </c>
      <c r="K3492" s="24" t="str">
        <f t="shared" si="280"/>
        <v/>
      </c>
      <c r="L3492" s="25" t="str">
        <f t="shared" si="276"/>
        <v/>
      </c>
      <c r="O3492" s="33" t="str">
        <f t="shared" si="277"/>
        <v/>
      </c>
      <c r="P3492" s="33" t="str">
        <f t="shared" si="278"/>
        <v/>
      </c>
    </row>
    <row r="3493" spans="9:16">
      <c r="I3493" s="23" t="str">
        <f>_xlfn.IFNA(VLOOKUP(A3493,A3494:$H$3524,8,0),"")</f>
        <v/>
      </c>
      <c r="J3493" s="40" t="str">
        <f t="shared" si="279"/>
        <v/>
      </c>
      <c r="K3493" s="24" t="str">
        <f t="shared" si="280"/>
        <v/>
      </c>
      <c r="L3493" s="25" t="str">
        <f t="shared" si="276"/>
        <v/>
      </c>
      <c r="O3493" s="33" t="str">
        <f t="shared" si="277"/>
        <v/>
      </c>
      <c r="P3493" s="33" t="str">
        <f t="shared" si="278"/>
        <v/>
      </c>
    </row>
    <row r="3494" spans="9:16">
      <c r="I3494" s="23" t="str">
        <f>_xlfn.IFNA(VLOOKUP(A3494,A3495:$H$3524,8,0),"")</f>
        <v/>
      </c>
      <c r="J3494" s="40" t="str">
        <f t="shared" si="279"/>
        <v/>
      </c>
      <c r="K3494" s="24" t="str">
        <f t="shared" si="280"/>
        <v/>
      </c>
      <c r="L3494" s="25" t="str">
        <f t="shared" si="276"/>
        <v/>
      </c>
      <c r="O3494" s="33" t="str">
        <f t="shared" si="277"/>
        <v/>
      </c>
      <c r="P3494" s="33" t="str">
        <f t="shared" si="278"/>
        <v/>
      </c>
    </row>
    <row r="3495" spans="9:16">
      <c r="I3495" s="23" t="str">
        <f>_xlfn.IFNA(VLOOKUP(A3495,A3496:$H$3524,8,0),"")</f>
        <v/>
      </c>
      <c r="J3495" s="40" t="str">
        <f t="shared" si="279"/>
        <v/>
      </c>
      <c r="K3495" s="24" t="str">
        <f t="shared" si="280"/>
        <v/>
      </c>
      <c r="L3495" s="25" t="str">
        <f t="shared" si="276"/>
        <v/>
      </c>
      <c r="O3495" s="33" t="str">
        <f t="shared" si="277"/>
        <v/>
      </c>
      <c r="P3495" s="33" t="str">
        <f t="shared" si="278"/>
        <v/>
      </c>
    </row>
    <row r="3496" spans="9:16">
      <c r="I3496" s="23" t="str">
        <f>_xlfn.IFNA(VLOOKUP(A3496,A3497:$H$3524,8,0),"")</f>
        <v/>
      </c>
      <c r="J3496" s="40" t="str">
        <f t="shared" si="279"/>
        <v/>
      </c>
      <c r="K3496" s="24" t="str">
        <f t="shared" si="280"/>
        <v/>
      </c>
      <c r="L3496" s="25" t="str">
        <f t="shared" si="276"/>
        <v/>
      </c>
      <c r="O3496" s="33" t="str">
        <f t="shared" si="277"/>
        <v/>
      </c>
      <c r="P3496" s="33" t="str">
        <f t="shared" si="278"/>
        <v/>
      </c>
    </row>
    <row r="3497" spans="9:16">
      <c r="I3497" s="23" t="str">
        <f>_xlfn.IFNA(VLOOKUP(A3497,A3498:$H$3524,8,0),"")</f>
        <v/>
      </c>
      <c r="J3497" s="40" t="str">
        <f t="shared" si="279"/>
        <v/>
      </c>
      <c r="K3497" s="24" t="str">
        <f t="shared" si="280"/>
        <v/>
      </c>
      <c r="L3497" s="25" t="str">
        <f t="shared" si="276"/>
        <v/>
      </c>
      <c r="O3497" s="33" t="str">
        <f t="shared" si="277"/>
        <v/>
      </c>
      <c r="P3497" s="33" t="str">
        <f t="shared" si="278"/>
        <v/>
      </c>
    </row>
    <row r="3498" spans="9:16">
      <c r="I3498" s="23" t="str">
        <f>_xlfn.IFNA(VLOOKUP(A3498,A3499:$H$3524,8,0),"")</f>
        <v/>
      </c>
      <c r="J3498" s="40" t="str">
        <f t="shared" si="279"/>
        <v/>
      </c>
      <c r="K3498" s="24" t="str">
        <f t="shared" si="280"/>
        <v/>
      </c>
      <c r="L3498" s="25" t="str">
        <f t="shared" si="276"/>
        <v/>
      </c>
      <c r="O3498" s="33" t="str">
        <f t="shared" si="277"/>
        <v/>
      </c>
      <c r="P3498" s="33" t="str">
        <f t="shared" si="278"/>
        <v/>
      </c>
    </row>
    <row r="3499" spans="9:16">
      <c r="I3499" s="23" t="str">
        <f>_xlfn.IFNA(VLOOKUP(A3499,A3500:$H$3524,8,0),"")</f>
        <v/>
      </c>
      <c r="J3499" s="40" t="str">
        <f t="shared" si="279"/>
        <v/>
      </c>
      <c r="K3499" s="24" t="str">
        <f t="shared" si="280"/>
        <v/>
      </c>
      <c r="L3499" s="25" t="str">
        <f t="shared" si="276"/>
        <v/>
      </c>
      <c r="O3499" s="33" t="str">
        <f t="shared" si="277"/>
        <v/>
      </c>
      <c r="P3499" s="33" t="str">
        <f t="shared" si="278"/>
        <v/>
      </c>
    </row>
    <row r="3500" spans="9:16">
      <c r="I3500" s="23" t="str">
        <f>_xlfn.IFNA(VLOOKUP(A3500,A3501:$H$3524,8,0),"")</f>
        <v/>
      </c>
      <c r="J3500" s="40" t="str">
        <f t="shared" si="279"/>
        <v/>
      </c>
      <c r="K3500" s="24" t="str">
        <f t="shared" si="280"/>
        <v/>
      </c>
      <c r="L3500" s="25" t="str">
        <f t="shared" si="276"/>
        <v/>
      </c>
      <c r="O3500" s="33" t="str">
        <f t="shared" si="277"/>
        <v/>
      </c>
      <c r="P3500" s="33" t="str">
        <f t="shared" si="278"/>
        <v/>
      </c>
    </row>
    <row r="3501" spans="9:16">
      <c r="I3501" s="23" t="str">
        <f>_xlfn.IFNA(VLOOKUP(A3501,A3502:$H$3524,8,0),"")</f>
        <v/>
      </c>
      <c r="J3501" s="40" t="str">
        <f t="shared" si="279"/>
        <v/>
      </c>
      <c r="K3501" s="24" t="str">
        <f t="shared" si="280"/>
        <v/>
      </c>
      <c r="L3501" s="25" t="str">
        <f t="shared" si="276"/>
        <v/>
      </c>
      <c r="O3501" s="33" t="str">
        <f t="shared" si="277"/>
        <v/>
      </c>
      <c r="P3501" s="33" t="str">
        <f t="shared" si="278"/>
        <v/>
      </c>
    </row>
    <row r="3502" spans="9:16">
      <c r="I3502" s="23" t="str">
        <f>_xlfn.IFNA(VLOOKUP(A3502,A3503:$H$3524,8,0),"")</f>
        <v/>
      </c>
      <c r="J3502" s="40" t="str">
        <f t="shared" si="279"/>
        <v/>
      </c>
      <c r="K3502" s="24" t="str">
        <f t="shared" si="280"/>
        <v/>
      </c>
      <c r="L3502" s="25" t="str">
        <f t="shared" si="276"/>
        <v/>
      </c>
      <c r="O3502" s="33" t="str">
        <f t="shared" si="277"/>
        <v/>
      </c>
      <c r="P3502" s="33" t="str">
        <f t="shared" si="278"/>
        <v/>
      </c>
    </row>
    <row r="3503" spans="9:16">
      <c r="I3503" s="23" t="str">
        <f>_xlfn.IFNA(VLOOKUP(A3503,A3504:$H$3524,8,0),"")</f>
        <v/>
      </c>
      <c r="J3503" s="40" t="str">
        <f t="shared" si="279"/>
        <v/>
      </c>
      <c r="K3503" s="24" t="str">
        <f t="shared" si="280"/>
        <v/>
      </c>
      <c r="L3503" s="25" t="str">
        <f t="shared" si="276"/>
        <v/>
      </c>
      <c r="O3503" s="33" t="str">
        <f t="shared" si="277"/>
        <v/>
      </c>
      <c r="P3503" s="33" t="str">
        <f t="shared" si="278"/>
        <v/>
      </c>
    </row>
    <row r="3504" spans="9:16">
      <c r="I3504" s="23" t="str">
        <f>_xlfn.IFNA(VLOOKUP(A3504,A3505:$H$3524,8,0),"")</f>
        <v/>
      </c>
      <c r="J3504" s="40" t="str">
        <f t="shared" si="279"/>
        <v/>
      </c>
      <c r="K3504" s="24" t="str">
        <f t="shared" si="280"/>
        <v/>
      </c>
      <c r="L3504" s="25" t="str">
        <f t="shared" si="276"/>
        <v/>
      </c>
      <c r="O3504" s="33" t="str">
        <f t="shared" si="277"/>
        <v/>
      </c>
      <c r="P3504" s="33" t="str">
        <f t="shared" si="278"/>
        <v/>
      </c>
    </row>
    <row r="3505" spans="9:16">
      <c r="I3505" s="23" t="str">
        <f>_xlfn.IFNA(VLOOKUP(A3505,A3506:$H$3524,8,0),"")</f>
        <v/>
      </c>
      <c r="J3505" s="40" t="str">
        <f t="shared" si="279"/>
        <v/>
      </c>
      <c r="K3505" s="24" t="str">
        <f t="shared" si="280"/>
        <v/>
      </c>
      <c r="L3505" s="25" t="str">
        <f t="shared" si="276"/>
        <v/>
      </c>
      <c r="O3505" s="33" t="str">
        <f t="shared" si="277"/>
        <v/>
      </c>
      <c r="P3505" s="33" t="str">
        <f t="shared" si="278"/>
        <v/>
      </c>
    </row>
    <row r="3506" spans="9:16">
      <c r="I3506" s="23" t="str">
        <f>_xlfn.IFNA(VLOOKUP(A3506,A3507:$H$3524,8,0),"")</f>
        <v/>
      </c>
      <c r="J3506" s="40" t="str">
        <f t="shared" si="279"/>
        <v/>
      </c>
      <c r="K3506" s="24" t="str">
        <f t="shared" si="280"/>
        <v/>
      </c>
      <c r="L3506" s="25" t="str">
        <f t="shared" si="276"/>
        <v/>
      </c>
      <c r="O3506" s="33" t="str">
        <f t="shared" si="277"/>
        <v/>
      </c>
      <c r="P3506" s="33" t="str">
        <f t="shared" si="278"/>
        <v/>
      </c>
    </row>
    <row r="3507" spans="9:16">
      <c r="I3507" s="23" t="str">
        <f>_xlfn.IFNA(VLOOKUP(A3507,A3508:$H$3524,8,0),"")</f>
        <v/>
      </c>
      <c r="J3507" s="40" t="str">
        <f t="shared" si="279"/>
        <v/>
      </c>
      <c r="K3507" s="24" t="str">
        <f t="shared" si="280"/>
        <v/>
      </c>
      <c r="L3507" s="25" t="str">
        <f t="shared" si="276"/>
        <v/>
      </c>
      <c r="O3507" s="33" t="str">
        <f t="shared" si="277"/>
        <v/>
      </c>
      <c r="P3507" s="33" t="str">
        <f t="shared" si="278"/>
        <v/>
      </c>
    </row>
    <row r="3508" spans="9:16">
      <c r="I3508" s="23" t="str">
        <f>_xlfn.IFNA(VLOOKUP(A3508,A3509:$H$3524,8,0),"")</f>
        <v/>
      </c>
      <c r="J3508" s="40" t="str">
        <f t="shared" si="279"/>
        <v/>
      </c>
      <c r="K3508" s="24" t="str">
        <f t="shared" si="280"/>
        <v/>
      </c>
      <c r="L3508" s="25" t="str">
        <f t="shared" si="276"/>
        <v/>
      </c>
      <c r="O3508" s="33" t="str">
        <f t="shared" si="277"/>
        <v/>
      </c>
      <c r="P3508" s="33" t="str">
        <f t="shared" si="278"/>
        <v/>
      </c>
    </row>
    <row r="3509" spans="9:16">
      <c r="I3509" s="23" t="str">
        <f>_xlfn.IFNA(VLOOKUP(A3509,A3510:$H$3524,8,0),"")</f>
        <v/>
      </c>
      <c r="J3509" s="40" t="str">
        <f t="shared" si="279"/>
        <v/>
      </c>
      <c r="K3509" s="24" t="str">
        <f t="shared" si="280"/>
        <v/>
      </c>
      <c r="L3509" s="25" t="str">
        <f t="shared" si="276"/>
        <v/>
      </c>
      <c r="O3509" s="33" t="str">
        <f t="shared" si="277"/>
        <v/>
      </c>
      <c r="P3509" s="33" t="str">
        <f t="shared" si="278"/>
        <v/>
      </c>
    </row>
    <row r="3510" spans="9:16">
      <c r="I3510" s="23" t="str">
        <f>_xlfn.IFNA(VLOOKUP(A3510,A3511:$H$3524,8,0),"")</f>
        <v/>
      </c>
      <c r="J3510" s="40" t="str">
        <f t="shared" si="279"/>
        <v/>
      </c>
      <c r="K3510" s="24" t="str">
        <f t="shared" si="280"/>
        <v/>
      </c>
      <c r="L3510" s="25" t="str">
        <f t="shared" si="276"/>
        <v/>
      </c>
      <c r="O3510" s="33" t="str">
        <f t="shared" si="277"/>
        <v/>
      </c>
      <c r="P3510" s="33" t="str">
        <f t="shared" si="278"/>
        <v/>
      </c>
    </row>
    <row r="3511" spans="9:16">
      <c r="I3511" s="23" t="str">
        <f>_xlfn.IFNA(VLOOKUP(A3511,A3512:$H$3524,8,0),"")</f>
        <v/>
      </c>
      <c r="J3511" s="40" t="str">
        <f t="shared" si="279"/>
        <v/>
      </c>
      <c r="K3511" s="24" t="str">
        <f t="shared" si="280"/>
        <v/>
      </c>
      <c r="L3511" s="25" t="str">
        <f t="shared" ref="L3511:L3574" si="281">IF(K3511="","",IF(B3511="Break","Break",IF(K3511&lt;&gt;0,"Work Finished",IF(B3511="OFF","Work Finished",IF(I3511="","Working","Work Finished")))))</f>
        <v/>
      </c>
      <c r="O3511" s="33" t="str">
        <f t="shared" ref="O3511:O3574" si="282">IF(AND(J3511="",M3511="",N3511=""),"",J3511-M3511-N3511)</f>
        <v/>
      </c>
      <c r="P3511" s="33" t="str">
        <f t="shared" ref="P3511:P3574" si="283">IF(HOUR(H3511)=0,"",HOUR(H3511))</f>
        <v/>
      </c>
    </row>
    <row r="3512" spans="9:16">
      <c r="I3512" s="23" t="str">
        <f>_xlfn.IFNA(VLOOKUP(A3512,A3513:$H$3524,8,0),"")</f>
        <v/>
      </c>
      <c r="J3512" s="40" t="str">
        <f t="shared" si="279"/>
        <v/>
      </c>
      <c r="K3512" s="24" t="str">
        <f t="shared" si="280"/>
        <v/>
      </c>
      <c r="L3512" s="25" t="str">
        <f t="shared" si="281"/>
        <v/>
      </c>
      <c r="O3512" s="33" t="str">
        <f t="shared" si="282"/>
        <v/>
      </c>
      <c r="P3512" s="33" t="str">
        <f t="shared" si="283"/>
        <v/>
      </c>
    </row>
    <row r="3513" spans="9:16">
      <c r="I3513" s="23" t="str">
        <f>_xlfn.IFNA(VLOOKUP(A3513,A3514:$H$3524,8,0),"")</f>
        <v/>
      </c>
      <c r="J3513" s="40" t="str">
        <f t="shared" si="279"/>
        <v/>
      </c>
      <c r="K3513" s="24" t="str">
        <f t="shared" si="280"/>
        <v/>
      </c>
      <c r="L3513" s="25" t="str">
        <f t="shared" si="281"/>
        <v/>
      </c>
      <c r="O3513" s="33" t="str">
        <f t="shared" si="282"/>
        <v/>
      </c>
      <c r="P3513" s="33" t="str">
        <f t="shared" si="283"/>
        <v/>
      </c>
    </row>
    <row r="3514" spans="9:16">
      <c r="I3514" s="23" t="str">
        <f>_xlfn.IFNA(VLOOKUP(A3514,A3515:$H$3524,8,0),"")</f>
        <v/>
      </c>
      <c r="J3514" s="40" t="str">
        <f t="shared" si="279"/>
        <v/>
      </c>
      <c r="K3514" s="24" t="str">
        <f t="shared" si="280"/>
        <v/>
      </c>
      <c r="L3514" s="25" t="str">
        <f t="shared" si="281"/>
        <v/>
      </c>
      <c r="O3514" s="33" t="str">
        <f t="shared" si="282"/>
        <v/>
      </c>
      <c r="P3514" s="33" t="str">
        <f t="shared" si="283"/>
        <v/>
      </c>
    </row>
    <row r="3515" spans="9:16">
      <c r="I3515" s="23" t="str">
        <f>_xlfn.IFNA(VLOOKUP(A3515,A3516:$H$3524,8,0),"")</f>
        <v/>
      </c>
      <c r="J3515" s="40" t="str">
        <f t="shared" si="279"/>
        <v/>
      </c>
      <c r="K3515" s="24" t="str">
        <f t="shared" si="280"/>
        <v/>
      </c>
      <c r="L3515" s="25" t="str">
        <f t="shared" si="281"/>
        <v/>
      </c>
      <c r="O3515" s="33" t="str">
        <f t="shared" si="282"/>
        <v/>
      </c>
      <c r="P3515" s="33" t="str">
        <f t="shared" si="283"/>
        <v/>
      </c>
    </row>
    <row r="3516" spans="9:16">
      <c r="I3516" s="23" t="str">
        <f>_xlfn.IFNA(VLOOKUP(A3516,A3517:$H$3524,8,0),"")</f>
        <v/>
      </c>
      <c r="J3516" s="40" t="str">
        <f t="shared" si="279"/>
        <v/>
      </c>
      <c r="K3516" s="24" t="str">
        <f t="shared" si="280"/>
        <v/>
      </c>
      <c r="L3516" s="25" t="str">
        <f t="shared" si="281"/>
        <v/>
      </c>
      <c r="O3516" s="33" t="str">
        <f t="shared" si="282"/>
        <v/>
      </c>
      <c r="P3516" s="33" t="str">
        <f t="shared" si="283"/>
        <v/>
      </c>
    </row>
    <row r="3517" spans="9:16">
      <c r="I3517" s="23" t="str">
        <f>_xlfn.IFNA(VLOOKUP(A3517,A3518:$H$3524,8,0),"")</f>
        <v/>
      </c>
      <c r="J3517" s="40" t="str">
        <f t="shared" si="279"/>
        <v/>
      </c>
      <c r="K3517" s="24" t="str">
        <f t="shared" si="280"/>
        <v/>
      </c>
      <c r="L3517" s="25" t="str">
        <f t="shared" si="281"/>
        <v/>
      </c>
      <c r="O3517" s="33" t="str">
        <f t="shared" si="282"/>
        <v/>
      </c>
      <c r="P3517" s="33" t="str">
        <f t="shared" si="283"/>
        <v/>
      </c>
    </row>
    <row r="3518" spans="9:16">
      <c r="I3518" s="23" t="str">
        <f>_xlfn.IFNA(VLOOKUP(A3518,A3519:$H$3524,8,0),"")</f>
        <v/>
      </c>
      <c r="J3518" s="40" t="str">
        <f t="shared" si="279"/>
        <v/>
      </c>
      <c r="K3518" s="24" t="str">
        <f t="shared" si="280"/>
        <v/>
      </c>
      <c r="L3518" s="25" t="str">
        <f t="shared" si="281"/>
        <v/>
      </c>
      <c r="O3518" s="33" t="str">
        <f t="shared" si="282"/>
        <v/>
      </c>
      <c r="P3518" s="33" t="str">
        <f t="shared" si="283"/>
        <v/>
      </c>
    </row>
    <row r="3519" spans="9:16">
      <c r="I3519" s="23" t="str">
        <f>_xlfn.IFNA(VLOOKUP(A3519,A3520:$H$3524,8,0),"")</f>
        <v/>
      </c>
      <c r="J3519" s="40" t="str">
        <f t="shared" si="279"/>
        <v/>
      </c>
      <c r="K3519" s="24" t="str">
        <f t="shared" si="280"/>
        <v/>
      </c>
      <c r="L3519" s="25" t="str">
        <f t="shared" si="281"/>
        <v/>
      </c>
      <c r="O3519" s="33" t="str">
        <f t="shared" si="282"/>
        <v/>
      </c>
      <c r="P3519" s="33" t="str">
        <f t="shared" si="283"/>
        <v/>
      </c>
    </row>
    <row r="3520" spans="9:16">
      <c r="I3520" s="23" t="str">
        <f>_xlfn.IFNA(VLOOKUP(A3520,A3521:$H$3524,8,0),"")</f>
        <v/>
      </c>
      <c r="J3520" s="40" t="str">
        <f t="shared" si="279"/>
        <v/>
      </c>
      <c r="K3520" s="24" t="str">
        <f t="shared" si="280"/>
        <v/>
      </c>
      <c r="L3520" s="25" t="str">
        <f t="shared" si="281"/>
        <v/>
      </c>
      <c r="O3520" s="33" t="str">
        <f t="shared" si="282"/>
        <v/>
      </c>
      <c r="P3520" s="33" t="str">
        <f t="shared" si="283"/>
        <v/>
      </c>
    </row>
    <row r="3521" spans="9:16">
      <c r="I3521" s="23" t="str">
        <f>_xlfn.IFNA(VLOOKUP(A3521,A3522:$H$3524,8,0),"")</f>
        <v/>
      </c>
      <c r="J3521" s="40" t="str">
        <f t="shared" si="279"/>
        <v/>
      </c>
      <c r="K3521" s="24" t="str">
        <f t="shared" si="280"/>
        <v/>
      </c>
      <c r="L3521" s="25" t="str">
        <f t="shared" si="281"/>
        <v/>
      </c>
      <c r="O3521" s="33" t="str">
        <f t="shared" si="282"/>
        <v/>
      </c>
      <c r="P3521" s="33" t="str">
        <f t="shared" si="283"/>
        <v/>
      </c>
    </row>
    <row r="3522" spans="9:16">
      <c r="I3522" s="23" t="str">
        <f>_xlfn.IFNA(VLOOKUP(A3522,A3523:$H$3524,8,0),"")</f>
        <v/>
      </c>
      <c r="J3522" s="40" t="str">
        <f t="shared" si="279"/>
        <v/>
      </c>
      <c r="K3522" s="24" t="str">
        <f t="shared" si="280"/>
        <v/>
      </c>
      <c r="L3522" s="25" t="str">
        <f t="shared" si="281"/>
        <v/>
      </c>
      <c r="O3522" s="33" t="str">
        <f t="shared" si="282"/>
        <v/>
      </c>
      <c r="P3522" s="33" t="str">
        <f t="shared" si="283"/>
        <v/>
      </c>
    </row>
    <row r="3523" spans="9:16">
      <c r="I3523" s="23" t="str">
        <f>_xlfn.IFNA(VLOOKUP(A3523,A3524:$H$3524,8,0),"")</f>
        <v/>
      </c>
      <c r="J3523" s="40" t="str">
        <f t="shared" si="279"/>
        <v/>
      </c>
      <c r="K3523" s="24" t="str">
        <f t="shared" si="280"/>
        <v/>
      </c>
      <c r="L3523" s="25" t="str">
        <f t="shared" si="281"/>
        <v/>
      </c>
      <c r="O3523" s="33" t="str">
        <f t="shared" si="282"/>
        <v/>
      </c>
      <c r="P3523" s="33" t="str">
        <f t="shared" si="283"/>
        <v/>
      </c>
    </row>
    <row r="3524" spans="9:16">
      <c r="I3524" s="23" t="str">
        <f>_xlfn.IFNA(VLOOKUP(A3524,A$3524:$H3525,8,0),"")</f>
        <v/>
      </c>
      <c r="J3524" s="40" t="str">
        <f t="shared" si="279"/>
        <v/>
      </c>
      <c r="K3524" s="24" t="str">
        <f t="shared" si="280"/>
        <v/>
      </c>
      <c r="L3524" s="25" t="str">
        <f t="shared" si="281"/>
        <v/>
      </c>
      <c r="O3524" s="33" t="str">
        <f t="shared" si="282"/>
        <v/>
      </c>
      <c r="P3524" s="33" t="str">
        <f t="shared" si="283"/>
        <v/>
      </c>
    </row>
    <row r="3525" spans="9:16">
      <c r="I3525" s="23" t="str">
        <f>_xlfn.IFNA(VLOOKUP(A3525,A$3524:$H3526,8,0),"")</f>
        <v/>
      </c>
      <c r="J3525" s="40" t="str">
        <f t="shared" si="279"/>
        <v/>
      </c>
      <c r="K3525" s="24" t="str">
        <f t="shared" si="280"/>
        <v/>
      </c>
      <c r="L3525" s="25" t="str">
        <f t="shared" si="281"/>
        <v/>
      </c>
      <c r="O3525" s="33" t="str">
        <f t="shared" si="282"/>
        <v/>
      </c>
      <c r="P3525" s="33" t="str">
        <f t="shared" si="283"/>
        <v/>
      </c>
    </row>
    <row r="3526" spans="9:16">
      <c r="I3526" s="23" t="str">
        <f>_xlfn.IFNA(VLOOKUP(A3526,A$3524:$H3527,8,0),"")</f>
        <v/>
      </c>
      <c r="J3526" s="40" t="str">
        <f t="shared" ref="J3526:J3589" si="284">IF(B3526="OFF",0,IF(AND(D3526&lt;&gt;"",E3526&lt;&gt;""),E3526-D3526+1,""))</f>
        <v/>
      </c>
      <c r="K3526" s="24" t="str">
        <f t="shared" si="280"/>
        <v/>
      </c>
      <c r="L3526" s="25" t="str">
        <f t="shared" si="281"/>
        <v/>
      </c>
      <c r="O3526" s="33" t="str">
        <f t="shared" si="282"/>
        <v/>
      </c>
      <c r="P3526" s="33" t="str">
        <f t="shared" si="283"/>
        <v/>
      </c>
    </row>
    <row r="3527" spans="9:16">
      <c r="I3527" s="23" t="str">
        <f>_xlfn.IFNA(VLOOKUP(A3527,A$3524:$H3528,8,0),"")</f>
        <v/>
      </c>
      <c r="J3527" s="40" t="str">
        <f t="shared" si="284"/>
        <v/>
      </c>
      <c r="K3527" s="24" t="str">
        <f t="shared" si="280"/>
        <v/>
      </c>
      <c r="L3527" s="25" t="str">
        <f t="shared" si="281"/>
        <v/>
      </c>
      <c r="O3527" s="33" t="str">
        <f t="shared" si="282"/>
        <v/>
      </c>
      <c r="P3527" s="33" t="str">
        <f t="shared" si="283"/>
        <v/>
      </c>
    </row>
    <row r="3528" spans="9:16">
      <c r="I3528" s="23" t="str">
        <f>_xlfn.IFNA(VLOOKUP(A3528,A$3524:$H3529,8,0),"")</f>
        <v/>
      </c>
      <c r="J3528" s="40" t="str">
        <f t="shared" si="284"/>
        <v/>
      </c>
      <c r="K3528" s="24" t="str">
        <f t="shared" si="280"/>
        <v/>
      </c>
      <c r="L3528" s="25" t="str">
        <f t="shared" si="281"/>
        <v/>
      </c>
      <c r="O3528" s="33" t="str">
        <f t="shared" si="282"/>
        <v/>
      </c>
      <c r="P3528" s="33" t="str">
        <f t="shared" si="283"/>
        <v/>
      </c>
    </row>
    <row r="3529" spans="9:16">
      <c r="I3529" s="23" t="str">
        <f>_xlfn.IFNA(VLOOKUP(A3529,A$3524:$H3530,8,0),"")</f>
        <v/>
      </c>
      <c r="J3529" s="40" t="str">
        <f t="shared" si="284"/>
        <v/>
      </c>
      <c r="K3529" s="24" t="str">
        <f t="shared" si="280"/>
        <v/>
      </c>
      <c r="L3529" s="25" t="str">
        <f t="shared" si="281"/>
        <v/>
      </c>
      <c r="O3529" s="33" t="str">
        <f t="shared" si="282"/>
        <v/>
      </c>
      <c r="P3529" s="33" t="str">
        <f t="shared" si="283"/>
        <v/>
      </c>
    </row>
    <row r="3530" spans="9:16">
      <c r="I3530" s="23" t="str">
        <f>_xlfn.IFNA(VLOOKUP(A3530,A$3524:$H3531,8,0),"")</f>
        <v/>
      </c>
      <c r="J3530" s="40" t="str">
        <f t="shared" si="284"/>
        <v/>
      </c>
      <c r="K3530" s="24" t="str">
        <f t="shared" si="280"/>
        <v/>
      </c>
      <c r="L3530" s="25" t="str">
        <f t="shared" si="281"/>
        <v/>
      </c>
      <c r="O3530" s="33" t="str">
        <f t="shared" si="282"/>
        <v/>
      </c>
      <c r="P3530" s="33" t="str">
        <f t="shared" si="283"/>
        <v/>
      </c>
    </row>
    <row r="3531" spans="9:16">
      <c r="I3531" s="23" t="str">
        <f>_xlfn.IFNA(VLOOKUP(A3531,A$3524:$H3532,8,0),"")</f>
        <v/>
      </c>
      <c r="J3531" s="40" t="str">
        <f t="shared" si="284"/>
        <v/>
      </c>
      <c r="K3531" s="24" t="str">
        <f t="shared" si="280"/>
        <v/>
      </c>
      <c r="L3531" s="25" t="str">
        <f t="shared" si="281"/>
        <v/>
      </c>
      <c r="O3531" s="33" t="str">
        <f t="shared" si="282"/>
        <v/>
      </c>
      <c r="P3531" s="33" t="str">
        <f t="shared" si="283"/>
        <v/>
      </c>
    </row>
    <row r="3532" spans="9:16">
      <c r="I3532" s="23" t="str">
        <f>_xlfn.IFNA(VLOOKUP(A3532,A$3524:$H3533,8,0),"")</f>
        <v/>
      </c>
      <c r="J3532" s="40" t="str">
        <f t="shared" si="284"/>
        <v/>
      </c>
      <c r="K3532" s="24" t="str">
        <f t="shared" si="280"/>
        <v/>
      </c>
      <c r="L3532" s="25" t="str">
        <f t="shared" si="281"/>
        <v/>
      </c>
      <c r="O3532" s="33" t="str">
        <f t="shared" si="282"/>
        <v/>
      </c>
      <c r="P3532" s="33" t="str">
        <f t="shared" si="283"/>
        <v/>
      </c>
    </row>
    <row r="3533" spans="9:16">
      <c r="I3533" s="23" t="str">
        <f>_xlfn.IFNA(VLOOKUP(A3533,A$3524:$H3534,8,0),"")</f>
        <v/>
      </c>
      <c r="J3533" s="40" t="str">
        <f t="shared" si="284"/>
        <v/>
      </c>
      <c r="K3533" s="24" t="str">
        <f t="shared" si="280"/>
        <v/>
      </c>
      <c r="L3533" s="25" t="str">
        <f t="shared" si="281"/>
        <v/>
      </c>
      <c r="O3533" s="33" t="str">
        <f t="shared" si="282"/>
        <v/>
      </c>
      <c r="P3533" s="33" t="str">
        <f t="shared" si="283"/>
        <v/>
      </c>
    </row>
    <row r="3534" spans="9:16">
      <c r="I3534" s="23" t="str">
        <f>_xlfn.IFNA(VLOOKUP(A3534,A$3524:$H3535,8,0),"")</f>
        <v/>
      </c>
      <c r="J3534" s="40" t="str">
        <f t="shared" si="284"/>
        <v/>
      </c>
      <c r="K3534" s="24" t="str">
        <f t="shared" si="280"/>
        <v/>
      </c>
      <c r="L3534" s="25" t="str">
        <f t="shared" si="281"/>
        <v/>
      </c>
      <c r="O3534" s="33" t="str">
        <f t="shared" si="282"/>
        <v/>
      </c>
      <c r="P3534" s="33" t="str">
        <f t="shared" si="283"/>
        <v/>
      </c>
    </row>
    <row r="3535" spans="9:16">
      <c r="I3535" s="23" t="str">
        <f>_xlfn.IFNA(VLOOKUP(A3535,A$3524:$H3536,8,0),"")</f>
        <v/>
      </c>
      <c r="J3535" s="40" t="str">
        <f t="shared" si="284"/>
        <v/>
      </c>
      <c r="K3535" s="24" t="str">
        <f t="shared" si="280"/>
        <v/>
      </c>
      <c r="L3535" s="25" t="str">
        <f t="shared" si="281"/>
        <v/>
      </c>
      <c r="O3535" s="33" t="str">
        <f t="shared" si="282"/>
        <v/>
      </c>
      <c r="P3535" s="33" t="str">
        <f t="shared" si="283"/>
        <v/>
      </c>
    </row>
    <row r="3536" spans="9:16">
      <c r="I3536" s="23" t="str">
        <f>_xlfn.IFNA(VLOOKUP(A3536,A$3524:$H3537,8,0),"")</f>
        <v/>
      </c>
      <c r="J3536" s="40" t="str">
        <f t="shared" si="284"/>
        <v/>
      </c>
      <c r="K3536" s="24" t="str">
        <f t="shared" si="280"/>
        <v/>
      </c>
      <c r="L3536" s="25" t="str">
        <f t="shared" si="281"/>
        <v/>
      </c>
      <c r="O3536" s="33" t="str">
        <f t="shared" si="282"/>
        <v/>
      </c>
      <c r="P3536" s="33" t="str">
        <f t="shared" si="283"/>
        <v/>
      </c>
    </row>
    <row r="3537" spans="9:16">
      <c r="I3537" s="23" t="str">
        <f>_xlfn.IFNA(VLOOKUP(A3537,A$3524:$H3538,8,0),"")</f>
        <v/>
      </c>
      <c r="J3537" s="40" t="str">
        <f t="shared" si="284"/>
        <v/>
      </c>
      <c r="K3537" s="24" t="str">
        <f t="shared" si="280"/>
        <v/>
      </c>
      <c r="L3537" s="25" t="str">
        <f t="shared" si="281"/>
        <v/>
      </c>
      <c r="O3537" s="33" t="str">
        <f t="shared" si="282"/>
        <v/>
      </c>
      <c r="P3537" s="33" t="str">
        <f t="shared" si="283"/>
        <v/>
      </c>
    </row>
    <row r="3538" spans="9:16">
      <c r="I3538" s="23" t="str">
        <f>_xlfn.IFNA(VLOOKUP(A3538,A$3524:$H3539,8,0),"")</f>
        <v/>
      </c>
      <c r="J3538" s="40" t="str">
        <f t="shared" si="284"/>
        <v/>
      </c>
      <c r="K3538" s="24" t="str">
        <f t="shared" si="280"/>
        <v/>
      </c>
      <c r="L3538" s="25" t="str">
        <f t="shared" si="281"/>
        <v/>
      </c>
      <c r="O3538" s="33" t="str">
        <f t="shared" si="282"/>
        <v/>
      </c>
      <c r="P3538" s="33" t="str">
        <f t="shared" si="283"/>
        <v/>
      </c>
    </row>
    <row r="3539" spans="9:16">
      <c r="I3539" s="23" t="str">
        <f>_xlfn.IFNA(VLOOKUP(A3539,A$3524:$H3540,8,0),"")</f>
        <v/>
      </c>
      <c r="J3539" s="40" t="str">
        <f t="shared" si="284"/>
        <v/>
      </c>
      <c r="K3539" s="24" t="str">
        <f t="shared" si="280"/>
        <v/>
      </c>
      <c r="L3539" s="25" t="str">
        <f t="shared" si="281"/>
        <v/>
      </c>
      <c r="O3539" s="33" t="str">
        <f t="shared" si="282"/>
        <v/>
      </c>
      <c r="P3539" s="33" t="str">
        <f t="shared" si="283"/>
        <v/>
      </c>
    </row>
    <row r="3540" spans="9:16">
      <c r="I3540" s="23" t="str">
        <f>_xlfn.IFNA(VLOOKUP(A3540,A$3524:$H3541,8,0),"")</f>
        <v/>
      </c>
      <c r="J3540" s="40" t="str">
        <f t="shared" si="284"/>
        <v/>
      </c>
      <c r="K3540" s="24" t="str">
        <f t="shared" si="280"/>
        <v/>
      </c>
      <c r="L3540" s="25" t="str">
        <f t="shared" si="281"/>
        <v/>
      </c>
      <c r="O3540" s="33" t="str">
        <f t="shared" si="282"/>
        <v/>
      </c>
      <c r="P3540" s="33" t="str">
        <f t="shared" si="283"/>
        <v/>
      </c>
    </row>
    <row r="3541" spans="9:16">
      <c r="I3541" s="23" t="str">
        <f>_xlfn.IFNA(VLOOKUP(A3541,A$3524:$H3542,8,0),"")</f>
        <v/>
      </c>
      <c r="J3541" s="40" t="str">
        <f t="shared" si="284"/>
        <v/>
      </c>
      <c r="K3541" s="24" t="str">
        <f t="shared" si="280"/>
        <v/>
      </c>
      <c r="L3541" s="25" t="str">
        <f t="shared" si="281"/>
        <v/>
      </c>
      <c r="O3541" s="33" t="str">
        <f t="shared" si="282"/>
        <v/>
      </c>
      <c r="P3541" s="33" t="str">
        <f t="shared" si="283"/>
        <v/>
      </c>
    </row>
    <row r="3542" spans="9:16">
      <c r="I3542" s="23" t="str">
        <f>_xlfn.IFNA(VLOOKUP(A3542,A$3524:$H3543,8,0),"")</f>
        <v/>
      </c>
      <c r="J3542" s="40" t="str">
        <f t="shared" si="284"/>
        <v/>
      </c>
      <c r="K3542" s="24" t="str">
        <f t="shared" ref="K3542:K3605" si="285">IF(H3542="","",IFERROR((I3542-H3542)*24,0))</f>
        <v/>
      </c>
      <c r="L3542" s="25" t="str">
        <f t="shared" si="281"/>
        <v/>
      </c>
      <c r="O3542" s="33" t="str">
        <f t="shared" si="282"/>
        <v/>
      </c>
      <c r="P3542" s="33" t="str">
        <f t="shared" si="283"/>
        <v/>
      </c>
    </row>
    <row r="3543" spans="9:16">
      <c r="I3543" s="23" t="str">
        <f>_xlfn.IFNA(VLOOKUP(A3543,A$3524:$H3544,8,0),"")</f>
        <v/>
      </c>
      <c r="J3543" s="40" t="str">
        <f t="shared" si="284"/>
        <v/>
      </c>
      <c r="K3543" s="24" t="str">
        <f t="shared" si="285"/>
        <v/>
      </c>
      <c r="L3543" s="25" t="str">
        <f t="shared" si="281"/>
        <v/>
      </c>
      <c r="O3543" s="33" t="str">
        <f t="shared" si="282"/>
        <v/>
      </c>
      <c r="P3543" s="33" t="str">
        <f t="shared" si="283"/>
        <v/>
      </c>
    </row>
    <row r="3544" spans="9:16">
      <c r="I3544" s="23" t="str">
        <f>_xlfn.IFNA(VLOOKUP(A3544,A$3524:$H3545,8,0),"")</f>
        <v/>
      </c>
      <c r="J3544" s="40" t="str">
        <f t="shared" si="284"/>
        <v/>
      </c>
      <c r="K3544" s="24" t="str">
        <f t="shared" si="285"/>
        <v/>
      </c>
      <c r="L3544" s="25" t="str">
        <f t="shared" si="281"/>
        <v/>
      </c>
      <c r="O3544" s="33" t="str">
        <f t="shared" si="282"/>
        <v/>
      </c>
      <c r="P3544" s="33" t="str">
        <f t="shared" si="283"/>
        <v/>
      </c>
    </row>
    <row r="3545" spans="9:16">
      <c r="I3545" s="23" t="str">
        <f>_xlfn.IFNA(VLOOKUP(A3545,A$3524:$H3546,8,0),"")</f>
        <v/>
      </c>
      <c r="J3545" s="40" t="str">
        <f t="shared" si="284"/>
        <v/>
      </c>
      <c r="K3545" s="24" t="str">
        <f t="shared" si="285"/>
        <v/>
      </c>
      <c r="L3545" s="25" t="str">
        <f t="shared" si="281"/>
        <v/>
      </c>
      <c r="O3545" s="33" t="str">
        <f t="shared" si="282"/>
        <v/>
      </c>
      <c r="P3545" s="33" t="str">
        <f t="shared" si="283"/>
        <v/>
      </c>
    </row>
    <row r="3546" spans="9:16">
      <c r="I3546" s="23" t="str">
        <f>_xlfn.IFNA(VLOOKUP(A3546,A$3524:$H3547,8,0),"")</f>
        <v/>
      </c>
      <c r="J3546" s="40" t="str">
        <f t="shared" si="284"/>
        <v/>
      </c>
      <c r="K3546" s="24" t="str">
        <f t="shared" si="285"/>
        <v/>
      </c>
      <c r="L3546" s="25" t="str">
        <f t="shared" si="281"/>
        <v/>
      </c>
      <c r="O3546" s="33" t="str">
        <f t="shared" si="282"/>
        <v/>
      </c>
      <c r="P3546" s="33" t="str">
        <f t="shared" si="283"/>
        <v/>
      </c>
    </row>
    <row r="3547" spans="9:16">
      <c r="I3547" s="23" t="str">
        <f>_xlfn.IFNA(VLOOKUP(A3547,A$3524:$H3548,8,0),"")</f>
        <v/>
      </c>
      <c r="J3547" s="40" t="str">
        <f t="shared" si="284"/>
        <v/>
      </c>
      <c r="K3547" s="24" t="str">
        <f t="shared" si="285"/>
        <v/>
      </c>
      <c r="L3547" s="25" t="str">
        <f t="shared" si="281"/>
        <v/>
      </c>
      <c r="O3547" s="33" t="str">
        <f t="shared" si="282"/>
        <v/>
      </c>
      <c r="P3547" s="33" t="str">
        <f t="shared" si="283"/>
        <v/>
      </c>
    </row>
    <row r="3548" spans="9:16">
      <c r="I3548" s="23" t="str">
        <f>_xlfn.IFNA(VLOOKUP(A3548,A$3524:$H3549,8,0),"")</f>
        <v/>
      </c>
      <c r="J3548" s="40" t="str">
        <f t="shared" si="284"/>
        <v/>
      </c>
      <c r="K3548" s="24" t="str">
        <f t="shared" si="285"/>
        <v/>
      </c>
      <c r="L3548" s="25" t="str">
        <f t="shared" si="281"/>
        <v/>
      </c>
      <c r="O3548" s="33" t="str">
        <f t="shared" si="282"/>
        <v/>
      </c>
      <c r="P3548" s="33" t="str">
        <f t="shared" si="283"/>
        <v/>
      </c>
    </row>
    <row r="3549" spans="9:16">
      <c r="I3549" s="23" t="str">
        <f>_xlfn.IFNA(VLOOKUP(A3549,A$3524:$H3550,8,0),"")</f>
        <v/>
      </c>
      <c r="J3549" s="40" t="str">
        <f t="shared" si="284"/>
        <v/>
      </c>
      <c r="K3549" s="24" t="str">
        <f t="shared" si="285"/>
        <v/>
      </c>
      <c r="L3549" s="25" t="str">
        <f t="shared" si="281"/>
        <v/>
      </c>
      <c r="O3549" s="33" t="str">
        <f t="shared" si="282"/>
        <v/>
      </c>
      <c r="P3549" s="33" t="str">
        <f t="shared" si="283"/>
        <v/>
      </c>
    </row>
    <row r="3550" spans="9:16">
      <c r="I3550" s="23" t="str">
        <f>_xlfn.IFNA(VLOOKUP(A3550,A$3524:$H3551,8,0),"")</f>
        <v/>
      </c>
      <c r="J3550" s="40" t="str">
        <f t="shared" si="284"/>
        <v/>
      </c>
      <c r="K3550" s="24" t="str">
        <f t="shared" si="285"/>
        <v/>
      </c>
      <c r="L3550" s="25" t="str">
        <f t="shared" si="281"/>
        <v/>
      </c>
      <c r="O3550" s="33" t="str">
        <f t="shared" si="282"/>
        <v/>
      </c>
      <c r="P3550" s="33" t="str">
        <f t="shared" si="283"/>
        <v/>
      </c>
    </row>
    <row r="3551" spans="9:16">
      <c r="I3551" s="23" t="str">
        <f>_xlfn.IFNA(VLOOKUP(A3551,A$3524:$H3552,8,0),"")</f>
        <v/>
      </c>
      <c r="J3551" s="40" t="str">
        <f t="shared" si="284"/>
        <v/>
      </c>
      <c r="K3551" s="24" t="str">
        <f t="shared" si="285"/>
        <v/>
      </c>
      <c r="L3551" s="25" t="str">
        <f t="shared" si="281"/>
        <v/>
      </c>
      <c r="O3551" s="33" t="str">
        <f t="shared" si="282"/>
        <v/>
      </c>
      <c r="P3551" s="33" t="str">
        <f t="shared" si="283"/>
        <v/>
      </c>
    </row>
    <row r="3552" spans="9:16">
      <c r="I3552" s="23" t="str">
        <f>_xlfn.IFNA(VLOOKUP(A3552,A$3524:$H3553,8,0),"")</f>
        <v/>
      </c>
      <c r="J3552" s="40" t="str">
        <f t="shared" si="284"/>
        <v/>
      </c>
      <c r="K3552" s="24" t="str">
        <f t="shared" si="285"/>
        <v/>
      </c>
      <c r="L3552" s="25" t="str">
        <f t="shared" si="281"/>
        <v/>
      </c>
      <c r="O3552" s="33" t="str">
        <f t="shared" si="282"/>
        <v/>
      </c>
      <c r="P3552" s="33" t="str">
        <f t="shared" si="283"/>
        <v/>
      </c>
    </row>
    <row r="3553" spans="9:16">
      <c r="I3553" s="23" t="str">
        <f>_xlfn.IFNA(VLOOKUP(A3553,A$3524:$H3554,8,0),"")</f>
        <v/>
      </c>
      <c r="J3553" s="40" t="str">
        <f t="shared" si="284"/>
        <v/>
      </c>
      <c r="K3553" s="24" t="str">
        <f t="shared" si="285"/>
        <v/>
      </c>
      <c r="L3553" s="25" t="str">
        <f t="shared" si="281"/>
        <v/>
      </c>
      <c r="O3553" s="33" t="str">
        <f t="shared" si="282"/>
        <v/>
      </c>
      <c r="P3553" s="33" t="str">
        <f t="shared" si="283"/>
        <v/>
      </c>
    </row>
    <row r="3554" spans="9:16">
      <c r="I3554" s="23" t="str">
        <f>_xlfn.IFNA(VLOOKUP(A3554,A$3524:$H3555,8,0),"")</f>
        <v/>
      </c>
      <c r="J3554" s="40" t="str">
        <f t="shared" si="284"/>
        <v/>
      </c>
      <c r="K3554" s="24" t="str">
        <f t="shared" si="285"/>
        <v/>
      </c>
      <c r="L3554" s="25" t="str">
        <f t="shared" si="281"/>
        <v/>
      </c>
      <c r="O3554" s="33" t="str">
        <f t="shared" si="282"/>
        <v/>
      </c>
      <c r="P3554" s="33" t="str">
        <f t="shared" si="283"/>
        <v/>
      </c>
    </row>
    <row r="3555" spans="9:16">
      <c r="I3555" s="23" t="str">
        <f>_xlfn.IFNA(VLOOKUP(A3555,A$3524:$H3556,8,0),"")</f>
        <v/>
      </c>
      <c r="J3555" s="40" t="str">
        <f t="shared" si="284"/>
        <v/>
      </c>
      <c r="K3555" s="24" t="str">
        <f t="shared" si="285"/>
        <v/>
      </c>
      <c r="L3555" s="25" t="str">
        <f t="shared" si="281"/>
        <v/>
      </c>
      <c r="O3555" s="33" t="str">
        <f t="shared" si="282"/>
        <v/>
      </c>
      <c r="P3555" s="33" t="str">
        <f t="shared" si="283"/>
        <v/>
      </c>
    </row>
    <row r="3556" spans="9:16">
      <c r="I3556" s="23" t="str">
        <f>_xlfn.IFNA(VLOOKUP(A3556,A$3524:$H3557,8,0),"")</f>
        <v/>
      </c>
      <c r="J3556" s="40" t="str">
        <f t="shared" si="284"/>
        <v/>
      </c>
      <c r="K3556" s="24" t="str">
        <f t="shared" si="285"/>
        <v/>
      </c>
      <c r="L3556" s="25" t="str">
        <f t="shared" si="281"/>
        <v/>
      </c>
      <c r="O3556" s="33" t="str">
        <f t="shared" si="282"/>
        <v/>
      </c>
      <c r="P3556" s="33" t="str">
        <f t="shared" si="283"/>
        <v/>
      </c>
    </row>
    <row r="3557" spans="9:16">
      <c r="I3557" s="23" t="str">
        <f>_xlfn.IFNA(VLOOKUP(A3557,A$3524:$H3558,8,0),"")</f>
        <v/>
      </c>
      <c r="J3557" s="40" t="str">
        <f t="shared" si="284"/>
        <v/>
      </c>
      <c r="K3557" s="24" t="str">
        <f t="shared" si="285"/>
        <v/>
      </c>
      <c r="L3557" s="25" t="str">
        <f t="shared" si="281"/>
        <v/>
      </c>
      <c r="O3557" s="33" t="str">
        <f t="shared" si="282"/>
        <v/>
      </c>
      <c r="P3557" s="33" t="str">
        <f t="shared" si="283"/>
        <v/>
      </c>
    </row>
    <row r="3558" spans="9:16">
      <c r="I3558" s="23" t="str">
        <f>_xlfn.IFNA(VLOOKUP(A3558,A$3524:$H3559,8,0),"")</f>
        <v/>
      </c>
      <c r="J3558" s="40" t="str">
        <f t="shared" si="284"/>
        <v/>
      </c>
      <c r="K3558" s="24" t="str">
        <f t="shared" si="285"/>
        <v/>
      </c>
      <c r="L3558" s="25" t="str">
        <f t="shared" si="281"/>
        <v/>
      </c>
      <c r="O3558" s="33" t="str">
        <f t="shared" si="282"/>
        <v/>
      </c>
      <c r="P3558" s="33" t="str">
        <f t="shared" si="283"/>
        <v/>
      </c>
    </row>
    <row r="3559" spans="9:16">
      <c r="I3559" s="23" t="str">
        <f>_xlfn.IFNA(VLOOKUP(A3559,A$3524:$H3560,8,0),"")</f>
        <v/>
      </c>
      <c r="J3559" s="40" t="str">
        <f t="shared" si="284"/>
        <v/>
      </c>
      <c r="K3559" s="24" t="str">
        <f t="shared" si="285"/>
        <v/>
      </c>
      <c r="L3559" s="25" t="str">
        <f t="shared" si="281"/>
        <v/>
      </c>
      <c r="O3559" s="33" t="str">
        <f t="shared" si="282"/>
        <v/>
      </c>
      <c r="P3559" s="33" t="str">
        <f t="shared" si="283"/>
        <v/>
      </c>
    </row>
    <row r="3560" spans="9:16">
      <c r="I3560" s="23" t="str">
        <f>_xlfn.IFNA(VLOOKUP(A3560,A$3524:$H3561,8,0),"")</f>
        <v/>
      </c>
      <c r="J3560" s="40" t="str">
        <f t="shared" si="284"/>
        <v/>
      </c>
      <c r="K3560" s="24" t="str">
        <f t="shared" si="285"/>
        <v/>
      </c>
      <c r="L3560" s="25" t="str">
        <f t="shared" si="281"/>
        <v/>
      </c>
      <c r="O3560" s="33" t="str">
        <f t="shared" si="282"/>
        <v/>
      </c>
      <c r="P3560" s="33" t="str">
        <f t="shared" si="283"/>
        <v/>
      </c>
    </row>
    <row r="3561" spans="9:16">
      <c r="I3561" s="23" t="str">
        <f>_xlfn.IFNA(VLOOKUP(A3561,A$3524:$H3562,8,0),"")</f>
        <v/>
      </c>
      <c r="J3561" s="40" t="str">
        <f t="shared" si="284"/>
        <v/>
      </c>
      <c r="K3561" s="24" t="str">
        <f t="shared" si="285"/>
        <v/>
      </c>
      <c r="L3561" s="25" t="str">
        <f t="shared" si="281"/>
        <v/>
      </c>
      <c r="O3561" s="33" t="str">
        <f t="shared" si="282"/>
        <v/>
      </c>
      <c r="P3561" s="33" t="str">
        <f t="shared" si="283"/>
        <v/>
      </c>
    </row>
    <row r="3562" spans="9:16">
      <c r="I3562" s="23" t="str">
        <f>_xlfn.IFNA(VLOOKUP(A3562,A$3524:$H3563,8,0),"")</f>
        <v/>
      </c>
      <c r="J3562" s="40" t="str">
        <f t="shared" si="284"/>
        <v/>
      </c>
      <c r="K3562" s="24" t="str">
        <f t="shared" si="285"/>
        <v/>
      </c>
      <c r="L3562" s="25" t="str">
        <f t="shared" si="281"/>
        <v/>
      </c>
      <c r="O3562" s="33" t="str">
        <f t="shared" si="282"/>
        <v/>
      </c>
      <c r="P3562" s="33" t="str">
        <f t="shared" si="283"/>
        <v/>
      </c>
    </row>
    <row r="3563" spans="9:16">
      <c r="I3563" s="23" t="str">
        <f>_xlfn.IFNA(VLOOKUP(A3563,A$3524:$H3564,8,0),"")</f>
        <v/>
      </c>
      <c r="J3563" s="40" t="str">
        <f t="shared" si="284"/>
        <v/>
      </c>
      <c r="K3563" s="24" t="str">
        <f t="shared" si="285"/>
        <v/>
      </c>
      <c r="L3563" s="25" t="str">
        <f t="shared" si="281"/>
        <v/>
      </c>
      <c r="O3563" s="33" t="str">
        <f t="shared" si="282"/>
        <v/>
      </c>
      <c r="P3563" s="33" t="str">
        <f t="shared" si="283"/>
        <v/>
      </c>
    </row>
    <row r="3564" spans="9:16">
      <c r="I3564" s="23" t="str">
        <f>_xlfn.IFNA(VLOOKUP(A3564,A$3524:$H3565,8,0),"")</f>
        <v/>
      </c>
      <c r="J3564" s="40" t="str">
        <f t="shared" si="284"/>
        <v/>
      </c>
      <c r="K3564" s="24" t="str">
        <f t="shared" si="285"/>
        <v/>
      </c>
      <c r="L3564" s="25" t="str">
        <f t="shared" si="281"/>
        <v/>
      </c>
      <c r="O3564" s="33" t="str">
        <f t="shared" si="282"/>
        <v/>
      </c>
      <c r="P3564" s="33" t="str">
        <f t="shared" si="283"/>
        <v/>
      </c>
    </row>
    <row r="3565" spans="9:16">
      <c r="I3565" s="23" t="str">
        <f>_xlfn.IFNA(VLOOKUP(A3565,A$3524:$H3566,8,0),"")</f>
        <v/>
      </c>
      <c r="J3565" s="40" t="str">
        <f t="shared" si="284"/>
        <v/>
      </c>
      <c r="K3565" s="24" t="str">
        <f t="shared" si="285"/>
        <v/>
      </c>
      <c r="L3565" s="25" t="str">
        <f t="shared" si="281"/>
        <v/>
      </c>
      <c r="O3565" s="33" t="str">
        <f t="shared" si="282"/>
        <v/>
      </c>
      <c r="P3565" s="33" t="str">
        <f t="shared" si="283"/>
        <v/>
      </c>
    </row>
    <row r="3566" spans="9:16">
      <c r="I3566" s="23" t="str">
        <f>_xlfn.IFNA(VLOOKUP(A3566,A$3524:$H3567,8,0),"")</f>
        <v/>
      </c>
      <c r="J3566" s="40" t="str">
        <f t="shared" si="284"/>
        <v/>
      </c>
      <c r="K3566" s="24" t="str">
        <f t="shared" si="285"/>
        <v/>
      </c>
      <c r="L3566" s="25" t="str">
        <f t="shared" si="281"/>
        <v/>
      </c>
      <c r="O3566" s="33" t="str">
        <f t="shared" si="282"/>
        <v/>
      </c>
      <c r="P3566" s="33" t="str">
        <f t="shared" si="283"/>
        <v/>
      </c>
    </row>
    <row r="3567" spans="9:16">
      <c r="I3567" s="23" t="str">
        <f>_xlfn.IFNA(VLOOKUP(A3567,A$3524:$H3568,8,0),"")</f>
        <v/>
      </c>
      <c r="J3567" s="40" t="str">
        <f t="shared" si="284"/>
        <v/>
      </c>
      <c r="K3567" s="24" t="str">
        <f t="shared" si="285"/>
        <v/>
      </c>
      <c r="L3567" s="25" t="str">
        <f t="shared" si="281"/>
        <v/>
      </c>
      <c r="O3567" s="33" t="str">
        <f t="shared" si="282"/>
        <v/>
      </c>
      <c r="P3567" s="33" t="str">
        <f t="shared" si="283"/>
        <v/>
      </c>
    </row>
    <row r="3568" spans="9:16">
      <c r="I3568" s="23" t="str">
        <f>_xlfn.IFNA(VLOOKUP(A3568,A$3524:$H3569,8,0),"")</f>
        <v/>
      </c>
      <c r="J3568" s="40" t="str">
        <f t="shared" si="284"/>
        <v/>
      </c>
      <c r="K3568" s="24" t="str">
        <f t="shared" si="285"/>
        <v/>
      </c>
      <c r="L3568" s="25" t="str">
        <f t="shared" si="281"/>
        <v/>
      </c>
      <c r="O3568" s="33" t="str">
        <f t="shared" si="282"/>
        <v/>
      </c>
      <c r="P3568" s="33" t="str">
        <f t="shared" si="283"/>
        <v/>
      </c>
    </row>
    <row r="3569" spans="9:16">
      <c r="I3569" s="23" t="str">
        <f>_xlfn.IFNA(VLOOKUP(A3569,A$3524:$H3570,8,0),"")</f>
        <v/>
      </c>
      <c r="J3569" s="40" t="str">
        <f t="shared" si="284"/>
        <v/>
      </c>
      <c r="K3569" s="24" t="str">
        <f t="shared" si="285"/>
        <v/>
      </c>
      <c r="L3569" s="25" t="str">
        <f t="shared" si="281"/>
        <v/>
      </c>
      <c r="O3569" s="33" t="str">
        <f t="shared" si="282"/>
        <v/>
      </c>
      <c r="P3569" s="33" t="str">
        <f t="shared" si="283"/>
        <v/>
      </c>
    </row>
    <row r="3570" spans="9:16">
      <c r="I3570" s="23" t="str">
        <f>_xlfn.IFNA(VLOOKUP(A3570,A$3524:$H3571,8,0),"")</f>
        <v/>
      </c>
      <c r="J3570" s="40" t="str">
        <f t="shared" si="284"/>
        <v/>
      </c>
      <c r="K3570" s="24" t="str">
        <f t="shared" si="285"/>
        <v/>
      </c>
      <c r="L3570" s="25" t="str">
        <f t="shared" si="281"/>
        <v/>
      </c>
      <c r="O3570" s="33" t="str">
        <f t="shared" si="282"/>
        <v/>
      </c>
      <c r="P3570" s="33" t="str">
        <f t="shared" si="283"/>
        <v/>
      </c>
    </row>
    <row r="3571" spans="9:16">
      <c r="I3571" s="23" t="str">
        <f>_xlfn.IFNA(VLOOKUP(A3571,A$3524:$H3572,8,0),"")</f>
        <v/>
      </c>
      <c r="J3571" s="40" t="str">
        <f t="shared" si="284"/>
        <v/>
      </c>
      <c r="K3571" s="24" t="str">
        <f t="shared" si="285"/>
        <v/>
      </c>
      <c r="L3571" s="25" t="str">
        <f t="shared" si="281"/>
        <v/>
      </c>
      <c r="O3571" s="33" t="str">
        <f t="shared" si="282"/>
        <v/>
      </c>
      <c r="P3571" s="33" t="str">
        <f t="shared" si="283"/>
        <v/>
      </c>
    </row>
    <row r="3572" spans="9:16">
      <c r="I3572" s="23" t="str">
        <f>_xlfn.IFNA(VLOOKUP(A3572,A$3524:$H3573,8,0),"")</f>
        <v/>
      </c>
      <c r="J3572" s="40" t="str">
        <f t="shared" si="284"/>
        <v/>
      </c>
      <c r="K3572" s="24" t="str">
        <f t="shared" si="285"/>
        <v/>
      </c>
      <c r="L3572" s="25" t="str">
        <f t="shared" si="281"/>
        <v/>
      </c>
      <c r="O3572" s="33" t="str">
        <f t="shared" si="282"/>
        <v/>
      </c>
      <c r="P3572" s="33" t="str">
        <f t="shared" si="283"/>
        <v/>
      </c>
    </row>
    <row r="3573" spans="9:16">
      <c r="I3573" s="23" t="str">
        <f>_xlfn.IFNA(VLOOKUP(A3573,A$3524:$H3574,8,0),"")</f>
        <v/>
      </c>
      <c r="J3573" s="40" t="str">
        <f t="shared" si="284"/>
        <v/>
      </c>
      <c r="K3573" s="24" t="str">
        <f t="shared" si="285"/>
        <v/>
      </c>
      <c r="L3573" s="25" t="str">
        <f t="shared" si="281"/>
        <v/>
      </c>
      <c r="O3573" s="33" t="str">
        <f t="shared" si="282"/>
        <v/>
      </c>
      <c r="P3573" s="33" t="str">
        <f t="shared" si="283"/>
        <v/>
      </c>
    </row>
    <row r="3574" spans="9:16">
      <c r="I3574" s="23" t="str">
        <f>_xlfn.IFNA(VLOOKUP(A3574,A$3524:$H3575,8,0),"")</f>
        <v/>
      </c>
      <c r="J3574" s="40" t="str">
        <f t="shared" si="284"/>
        <v/>
      </c>
      <c r="K3574" s="24" t="str">
        <f t="shared" si="285"/>
        <v/>
      </c>
      <c r="L3574" s="25" t="str">
        <f t="shared" si="281"/>
        <v/>
      </c>
      <c r="O3574" s="33" t="str">
        <f t="shared" si="282"/>
        <v/>
      </c>
      <c r="P3574" s="33" t="str">
        <f t="shared" si="283"/>
        <v/>
      </c>
    </row>
    <row r="3575" spans="9:16">
      <c r="I3575" s="23" t="str">
        <f>_xlfn.IFNA(VLOOKUP(A3575,A$3524:$H3576,8,0),"")</f>
        <v/>
      </c>
      <c r="J3575" s="40" t="str">
        <f t="shared" si="284"/>
        <v/>
      </c>
      <c r="K3575" s="24" t="str">
        <f t="shared" si="285"/>
        <v/>
      </c>
      <c r="L3575" s="25" t="str">
        <f t="shared" ref="L3575:L3638" si="286">IF(K3575="","",IF(B3575="Break","Break",IF(K3575&lt;&gt;0,"Work Finished",IF(B3575="OFF","Work Finished",IF(I3575="","Working","Work Finished")))))</f>
        <v/>
      </c>
      <c r="O3575" s="33" t="str">
        <f t="shared" ref="O3575:O3638" si="287">IF(AND(J3575="",M3575="",N3575=""),"",J3575-M3575-N3575)</f>
        <v/>
      </c>
      <c r="P3575" s="33" t="str">
        <f t="shared" ref="P3575:P3638" si="288">IF(HOUR(H3575)=0,"",HOUR(H3575))</f>
        <v/>
      </c>
    </row>
    <row r="3576" spans="9:16">
      <c r="I3576" s="23" t="str">
        <f>_xlfn.IFNA(VLOOKUP(A3576,A$3524:$H3577,8,0),"")</f>
        <v/>
      </c>
      <c r="J3576" s="40" t="str">
        <f t="shared" si="284"/>
        <v/>
      </c>
      <c r="K3576" s="24" t="str">
        <f t="shared" si="285"/>
        <v/>
      </c>
      <c r="L3576" s="25" t="str">
        <f t="shared" si="286"/>
        <v/>
      </c>
      <c r="O3576" s="33" t="str">
        <f t="shared" si="287"/>
        <v/>
      </c>
      <c r="P3576" s="33" t="str">
        <f t="shared" si="288"/>
        <v/>
      </c>
    </row>
    <row r="3577" spans="9:16">
      <c r="I3577" s="23" t="str">
        <f>_xlfn.IFNA(VLOOKUP(A3577,A$3524:$H3578,8,0),"")</f>
        <v/>
      </c>
      <c r="J3577" s="40" t="str">
        <f t="shared" si="284"/>
        <v/>
      </c>
      <c r="K3577" s="24" t="str">
        <f t="shared" si="285"/>
        <v/>
      </c>
      <c r="L3577" s="25" t="str">
        <f t="shared" si="286"/>
        <v/>
      </c>
      <c r="O3577" s="33" t="str">
        <f t="shared" si="287"/>
        <v/>
      </c>
      <c r="P3577" s="33" t="str">
        <f t="shared" si="288"/>
        <v/>
      </c>
    </row>
    <row r="3578" spans="9:16">
      <c r="I3578" s="23" t="str">
        <f>_xlfn.IFNA(VLOOKUP(A3578,A$3524:$H3579,8,0),"")</f>
        <v/>
      </c>
      <c r="J3578" s="40" t="str">
        <f t="shared" si="284"/>
        <v/>
      </c>
      <c r="K3578" s="24" t="str">
        <f t="shared" si="285"/>
        <v/>
      </c>
      <c r="L3578" s="25" t="str">
        <f t="shared" si="286"/>
        <v/>
      </c>
      <c r="O3578" s="33" t="str">
        <f t="shared" si="287"/>
        <v/>
      </c>
      <c r="P3578" s="33" t="str">
        <f t="shared" si="288"/>
        <v/>
      </c>
    </row>
    <row r="3579" spans="9:16">
      <c r="I3579" s="23" t="str">
        <f>_xlfn.IFNA(VLOOKUP(A3579,A$3524:$H3580,8,0),"")</f>
        <v/>
      </c>
      <c r="J3579" s="40" t="str">
        <f t="shared" si="284"/>
        <v/>
      </c>
      <c r="K3579" s="24" t="str">
        <f t="shared" si="285"/>
        <v/>
      </c>
      <c r="L3579" s="25" t="str">
        <f t="shared" si="286"/>
        <v/>
      </c>
      <c r="O3579" s="33" t="str">
        <f t="shared" si="287"/>
        <v/>
      </c>
      <c r="P3579" s="33" t="str">
        <f t="shared" si="288"/>
        <v/>
      </c>
    </row>
    <row r="3580" spans="9:16">
      <c r="I3580" s="23" t="str">
        <f>_xlfn.IFNA(VLOOKUP(A3580,A$3524:$H3581,8,0),"")</f>
        <v/>
      </c>
      <c r="J3580" s="40" t="str">
        <f t="shared" si="284"/>
        <v/>
      </c>
      <c r="K3580" s="24" t="str">
        <f t="shared" si="285"/>
        <v/>
      </c>
      <c r="L3580" s="25" t="str">
        <f t="shared" si="286"/>
        <v/>
      </c>
      <c r="O3580" s="33" t="str">
        <f t="shared" si="287"/>
        <v/>
      </c>
      <c r="P3580" s="33" t="str">
        <f t="shared" si="288"/>
        <v/>
      </c>
    </row>
    <row r="3581" spans="9:16">
      <c r="I3581" s="23" t="str">
        <f>_xlfn.IFNA(VLOOKUP(A3581,A$3524:$H3582,8,0),"")</f>
        <v/>
      </c>
      <c r="J3581" s="40" t="str">
        <f t="shared" si="284"/>
        <v/>
      </c>
      <c r="K3581" s="24" t="str">
        <f t="shared" si="285"/>
        <v/>
      </c>
      <c r="L3581" s="25" t="str">
        <f t="shared" si="286"/>
        <v/>
      </c>
      <c r="O3581" s="33" t="str">
        <f t="shared" si="287"/>
        <v/>
      </c>
      <c r="P3581" s="33" t="str">
        <f t="shared" si="288"/>
        <v/>
      </c>
    </row>
    <row r="3582" spans="9:16">
      <c r="I3582" s="23" t="str">
        <f>_xlfn.IFNA(VLOOKUP(A3582,A$3524:$H3583,8,0),"")</f>
        <v/>
      </c>
      <c r="J3582" s="40" t="str">
        <f t="shared" si="284"/>
        <v/>
      </c>
      <c r="K3582" s="24" t="str">
        <f t="shared" si="285"/>
        <v/>
      </c>
      <c r="L3582" s="25" t="str">
        <f t="shared" si="286"/>
        <v/>
      </c>
      <c r="O3582" s="33" t="str">
        <f t="shared" si="287"/>
        <v/>
      </c>
      <c r="P3582" s="33" t="str">
        <f t="shared" si="288"/>
        <v/>
      </c>
    </row>
    <row r="3583" spans="9:16">
      <c r="I3583" s="23" t="str">
        <f>_xlfn.IFNA(VLOOKUP(A3583,A$3524:$H3584,8,0),"")</f>
        <v/>
      </c>
      <c r="J3583" s="40" t="str">
        <f t="shared" si="284"/>
        <v/>
      </c>
      <c r="K3583" s="24" t="str">
        <f t="shared" si="285"/>
        <v/>
      </c>
      <c r="L3583" s="25" t="str">
        <f t="shared" si="286"/>
        <v/>
      </c>
      <c r="O3583" s="33" t="str">
        <f t="shared" si="287"/>
        <v/>
      </c>
      <c r="P3583" s="33" t="str">
        <f t="shared" si="288"/>
        <v/>
      </c>
    </row>
    <row r="3584" spans="9:16">
      <c r="I3584" s="23" t="str">
        <f>_xlfn.IFNA(VLOOKUP(A3584,A$3524:$H3585,8,0),"")</f>
        <v/>
      </c>
      <c r="J3584" s="40" t="str">
        <f t="shared" si="284"/>
        <v/>
      </c>
      <c r="K3584" s="24" t="str">
        <f t="shared" si="285"/>
        <v/>
      </c>
      <c r="L3584" s="25" t="str">
        <f t="shared" si="286"/>
        <v/>
      </c>
      <c r="O3584" s="33" t="str">
        <f t="shared" si="287"/>
        <v/>
      </c>
      <c r="P3584" s="33" t="str">
        <f t="shared" si="288"/>
        <v/>
      </c>
    </row>
    <row r="3585" spans="9:16">
      <c r="I3585" s="23" t="str">
        <f>_xlfn.IFNA(VLOOKUP(A3585,A$3524:$H3586,8,0),"")</f>
        <v/>
      </c>
      <c r="J3585" s="40" t="str">
        <f t="shared" si="284"/>
        <v/>
      </c>
      <c r="K3585" s="24" t="str">
        <f t="shared" si="285"/>
        <v/>
      </c>
      <c r="L3585" s="25" t="str">
        <f t="shared" si="286"/>
        <v/>
      </c>
      <c r="O3585" s="33" t="str">
        <f t="shared" si="287"/>
        <v/>
      </c>
      <c r="P3585" s="33" t="str">
        <f t="shared" si="288"/>
        <v/>
      </c>
    </row>
    <row r="3586" spans="9:16">
      <c r="I3586" s="23" t="str">
        <f>_xlfn.IFNA(VLOOKUP(A3586,A$3524:$H3587,8,0),"")</f>
        <v/>
      </c>
      <c r="J3586" s="40" t="str">
        <f t="shared" si="284"/>
        <v/>
      </c>
      <c r="K3586" s="24" t="str">
        <f t="shared" si="285"/>
        <v/>
      </c>
      <c r="L3586" s="25" t="str">
        <f t="shared" si="286"/>
        <v/>
      </c>
      <c r="O3586" s="33" t="str">
        <f t="shared" si="287"/>
        <v/>
      </c>
      <c r="P3586" s="33" t="str">
        <f t="shared" si="288"/>
        <v/>
      </c>
    </row>
    <row r="3587" spans="9:16">
      <c r="I3587" s="23" t="str">
        <f>_xlfn.IFNA(VLOOKUP(A3587,A$3524:$H3588,8,0),"")</f>
        <v/>
      </c>
      <c r="J3587" s="40" t="str">
        <f t="shared" si="284"/>
        <v/>
      </c>
      <c r="K3587" s="24" t="str">
        <f t="shared" si="285"/>
        <v/>
      </c>
      <c r="L3587" s="25" t="str">
        <f t="shared" si="286"/>
        <v/>
      </c>
      <c r="O3587" s="33" t="str">
        <f t="shared" si="287"/>
        <v/>
      </c>
      <c r="P3587" s="33" t="str">
        <f t="shared" si="288"/>
        <v/>
      </c>
    </row>
    <row r="3588" spans="9:16">
      <c r="I3588" s="23" t="str">
        <f>_xlfn.IFNA(VLOOKUP(A3588,A$3524:$H3589,8,0),"")</f>
        <v/>
      </c>
      <c r="J3588" s="40" t="str">
        <f t="shared" si="284"/>
        <v/>
      </c>
      <c r="K3588" s="24" t="str">
        <f t="shared" si="285"/>
        <v/>
      </c>
      <c r="L3588" s="25" t="str">
        <f t="shared" si="286"/>
        <v/>
      </c>
      <c r="O3588" s="33" t="str">
        <f t="shared" si="287"/>
        <v/>
      </c>
      <c r="P3588" s="33" t="str">
        <f t="shared" si="288"/>
        <v/>
      </c>
    </row>
    <row r="3589" spans="9:16">
      <c r="I3589" s="23" t="str">
        <f>_xlfn.IFNA(VLOOKUP(A3589,A$3524:$H3590,8,0),"")</f>
        <v/>
      </c>
      <c r="J3589" s="40" t="str">
        <f t="shared" si="284"/>
        <v/>
      </c>
      <c r="K3589" s="24" t="str">
        <f t="shared" si="285"/>
        <v/>
      </c>
      <c r="L3589" s="25" t="str">
        <f t="shared" si="286"/>
        <v/>
      </c>
      <c r="O3589" s="33" t="str">
        <f t="shared" si="287"/>
        <v/>
      </c>
      <c r="P3589" s="33" t="str">
        <f t="shared" si="288"/>
        <v/>
      </c>
    </row>
    <row r="3590" spans="9:16">
      <c r="I3590" s="23" t="str">
        <f>_xlfn.IFNA(VLOOKUP(A3590,A$3524:$H3591,8,0),"")</f>
        <v/>
      </c>
      <c r="J3590" s="40" t="str">
        <f t="shared" ref="J3590:J3653" si="289">IF(B3590="OFF",0,IF(AND(D3590&lt;&gt;"",E3590&lt;&gt;""),E3590-D3590+1,""))</f>
        <v/>
      </c>
      <c r="K3590" s="24" t="str">
        <f t="shared" si="285"/>
        <v/>
      </c>
      <c r="L3590" s="25" t="str">
        <f t="shared" si="286"/>
        <v/>
      </c>
      <c r="O3590" s="33" t="str">
        <f t="shared" si="287"/>
        <v/>
      </c>
      <c r="P3590" s="33" t="str">
        <f t="shared" si="288"/>
        <v/>
      </c>
    </row>
    <row r="3591" spans="9:16">
      <c r="I3591" s="23" t="str">
        <f>_xlfn.IFNA(VLOOKUP(A3591,A$3524:$H3592,8,0),"")</f>
        <v/>
      </c>
      <c r="J3591" s="40" t="str">
        <f t="shared" si="289"/>
        <v/>
      </c>
      <c r="K3591" s="24" t="str">
        <f t="shared" si="285"/>
        <v/>
      </c>
      <c r="L3591" s="25" t="str">
        <f t="shared" si="286"/>
        <v/>
      </c>
      <c r="O3591" s="33" t="str">
        <f t="shared" si="287"/>
        <v/>
      </c>
      <c r="P3591" s="33" t="str">
        <f t="shared" si="288"/>
        <v/>
      </c>
    </row>
    <row r="3592" spans="9:16">
      <c r="I3592" s="23" t="str">
        <f>_xlfn.IFNA(VLOOKUP(A3592,A$3524:$H3593,8,0),"")</f>
        <v/>
      </c>
      <c r="J3592" s="40" t="str">
        <f t="shared" si="289"/>
        <v/>
      </c>
      <c r="K3592" s="24" t="str">
        <f t="shared" si="285"/>
        <v/>
      </c>
      <c r="L3592" s="25" t="str">
        <f t="shared" si="286"/>
        <v/>
      </c>
      <c r="O3592" s="33" t="str">
        <f t="shared" si="287"/>
        <v/>
      </c>
      <c r="P3592" s="33" t="str">
        <f t="shared" si="288"/>
        <v/>
      </c>
    </row>
    <row r="3593" spans="9:16">
      <c r="I3593" s="23" t="str">
        <f>_xlfn.IFNA(VLOOKUP(A3593,A$3524:$H3594,8,0),"")</f>
        <v/>
      </c>
      <c r="J3593" s="40" t="str">
        <f t="shared" si="289"/>
        <v/>
      </c>
      <c r="K3593" s="24" t="str">
        <f t="shared" si="285"/>
        <v/>
      </c>
      <c r="L3593" s="25" t="str">
        <f t="shared" si="286"/>
        <v/>
      </c>
      <c r="O3593" s="33" t="str">
        <f t="shared" si="287"/>
        <v/>
      </c>
      <c r="P3593" s="33" t="str">
        <f t="shared" si="288"/>
        <v/>
      </c>
    </row>
    <row r="3594" spans="9:16">
      <c r="I3594" s="23" t="str">
        <f>_xlfn.IFNA(VLOOKUP(A3594,A$3524:$H3595,8,0),"")</f>
        <v/>
      </c>
      <c r="J3594" s="40" t="str">
        <f t="shared" si="289"/>
        <v/>
      </c>
      <c r="K3594" s="24" t="str">
        <f t="shared" si="285"/>
        <v/>
      </c>
      <c r="L3594" s="25" t="str">
        <f t="shared" si="286"/>
        <v/>
      </c>
      <c r="O3594" s="33" t="str">
        <f t="shared" si="287"/>
        <v/>
      </c>
      <c r="P3594" s="33" t="str">
        <f t="shared" si="288"/>
        <v/>
      </c>
    </row>
    <row r="3595" spans="9:16">
      <c r="I3595" s="23" t="str">
        <f>_xlfn.IFNA(VLOOKUP(A3595,A$3524:$H3596,8,0),"")</f>
        <v/>
      </c>
      <c r="J3595" s="40" t="str">
        <f t="shared" si="289"/>
        <v/>
      </c>
      <c r="K3595" s="24" t="str">
        <f t="shared" si="285"/>
        <v/>
      </c>
      <c r="L3595" s="25" t="str">
        <f t="shared" si="286"/>
        <v/>
      </c>
      <c r="O3595" s="33" t="str">
        <f t="shared" si="287"/>
        <v/>
      </c>
      <c r="P3595" s="33" t="str">
        <f t="shared" si="288"/>
        <v/>
      </c>
    </row>
    <row r="3596" spans="9:16">
      <c r="I3596" s="23" t="str">
        <f>_xlfn.IFNA(VLOOKUP(A3596,A$3524:$H3597,8,0),"")</f>
        <v/>
      </c>
      <c r="J3596" s="40" t="str">
        <f t="shared" si="289"/>
        <v/>
      </c>
      <c r="K3596" s="24" t="str">
        <f t="shared" si="285"/>
        <v/>
      </c>
      <c r="L3596" s="25" t="str">
        <f t="shared" si="286"/>
        <v/>
      </c>
      <c r="O3596" s="33" t="str">
        <f t="shared" si="287"/>
        <v/>
      </c>
      <c r="P3596" s="33" t="str">
        <f t="shared" si="288"/>
        <v/>
      </c>
    </row>
    <row r="3597" spans="9:16">
      <c r="I3597" s="23" t="str">
        <f>_xlfn.IFNA(VLOOKUP(A3597,A$3524:$H3598,8,0),"")</f>
        <v/>
      </c>
      <c r="J3597" s="40" t="str">
        <f t="shared" si="289"/>
        <v/>
      </c>
      <c r="K3597" s="24" t="str">
        <f t="shared" si="285"/>
        <v/>
      </c>
      <c r="L3597" s="25" t="str">
        <f t="shared" si="286"/>
        <v/>
      </c>
      <c r="O3597" s="33" t="str">
        <f t="shared" si="287"/>
        <v/>
      </c>
      <c r="P3597" s="33" t="str">
        <f t="shared" si="288"/>
        <v/>
      </c>
    </row>
    <row r="3598" spans="9:16">
      <c r="I3598" s="23" t="str">
        <f>_xlfn.IFNA(VLOOKUP(A3598,A$3524:$H3599,8,0),"")</f>
        <v/>
      </c>
      <c r="J3598" s="40" t="str">
        <f t="shared" si="289"/>
        <v/>
      </c>
      <c r="K3598" s="24" t="str">
        <f t="shared" si="285"/>
        <v/>
      </c>
      <c r="L3598" s="25" t="str">
        <f t="shared" si="286"/>
        <v/>
      </c>
      <c r="O3598" s="33" t="str">
        <f t="shared" si="287"/>
        <v/>
      </c>
      <c r="P3598" s="33" t="str">
        <f t="shared" si="288"/>
        <v/>
      </c>
    </row>
    <row r="3599" spans="9:16">
      <c r="I3599" s="23" t="str">
        <f>_xlfn.IFNA(VLOOKUP(A3599,A$3524:$H3600,8,0),"")</f>
        <v/>
      </c>
      <c r="J3599" s="40" t="str">
        <f t="shared" si="289"/>
        <v/>
      </c>
      <c r="K3599" s="24" t="str">
        <f t="shared" si="285"/>
        <v/>
      </c>
      <c r="L3599" s="25" t="str">
        <f t="shared" si="286"/>
        <v/>
      </c>
      <c r="O3599" s="33" t="str">
        <f t="shared" si="287"/>
        <v/>
      </c>
      <c r="P3599" s="33" t="str">
        <f t="shared" si="288"/>
        <v/>
      </c>
    </row>
    <row r="3600" spans="9:16">
      <c r="I3600" s="23" t="str">
        <f>_xlfn.IFNA(VLOOKUP(A3600,A$3524:$H3601,8,0),"")</f>
        <v/>
      </c>
      <c r="J3600" s="40" t="str">
        <f t="shared" si="289"/>
        <v/>
      </c>
      <c r="K3600" s="24" t="str">
        <f t="shared" si="285"/>
        <v/>
      </c>
      <c r="L3600" s="25" t="str">
        <f t="shared" si="286"/>
        <v/>
      </c>
      <c r="O3600" s="33" t="str">
        <f t="shared" si="287"/>
        <v/>
      </c>
      <c r="P3600" s="33" t="str">
        <f t="shared" si="288"/>
        <v/>
      </c>
    </row>
    <row r="3601" spans="9:16">
      <c r="I3601" s="23" t="str">
        <f>_xlfn.IFNA(VLOOKUP(A3601,A$3524:$H3602,8,0),"")</f>
        <v/>
      </c>
      <c r="J3601" s="40" t="str">
        <f t="shared" si="289"/>
        <v/>
      </c>
      <c r="K3601" s="24" t="str">
        <f t="shared" si="285"/>
        <v/>
      </c>
      <c r="L3601" s="25" t="str">
        <f t="shared" si="286"/>
        <v/>
      </c>
      <c r="O3601" s="33" t="str">
        <f t="shared" si="287"/>
        <v/>
      </c>
      <c r="P3601" s="33" t="str">
        <f t="shared" si="288"/>
        <v/>
      </c>
    </row>
    <row r="3602" spans="9:16">
      <c r="I3602" s="23" t="str">
        <f>_xlfn.IFNA(VLOOKUP(A3602,A$3524:$H3603,8,0),"")</f>
        <v/>
      </c>
      <c r="J3602" s="40" t="str">
        <f t="shared" si="289"/>
        <v/>
      </c>
      <c r="K3602" s="24" t="str">
        <f t="shared" si="285"/>
        <v/>
      </c>
      <c r="L3602" s="25" t="str">
        <f t="shared" si="286"/>
        <v/>
      </c>
      <c r="O3602" s="33" t="str">
        <f t="shared" si="287"/>
        <v/>
      </c>
      <c r="P3602" s="33" t="str">
        <f t="shared" si="288"/>
        <v/>
      </c>
    </row>
    <row r="3603" spans="9:16">
      <c r="I3603" s="23" t="str">
        <f>_xlfn.IFNA(VLOOKUP(A3603,A$3524:$H3604,8,0),"")</f>
        <v/>
      </c>
      <c r="J3603" s="40" t="str">
        <f t="shared" si="289"/>
        <v/>
      </c>
      <c r="K3603" s="24" t="str">
        <f t="shared" si="285"/>
        <v/>
      </c>
      <c r="L3603" s="25" t="str">
        <f t="shared" si="286"/>
        <v/>
      </c>
      <c r="O3603" s="33" t="str">
        <f t="shared" si="287"/>
        <v/>
      </c>
      <c r="P3603" s="33" t="str">
        <f t="shared" si="288"/>
        <v/>
      </c>
    </row>
    <row r="3604" spans="9:16">
      <c r="I3604" s="23" t="str">
        <f>_xlfn.IFNA(VLOOKUP(A3604,A$3524:$H3605,8,0),"")</f>
        <v/>
      </c>
      <c r="J3604" s="40" t="str">
        <f t="shared" si="289"/>
        <v/>
      </c>
      <c r="K3604" s="24" t="str">
        <f t="shared" si="285"/>
        <v/>
      </c>
      <c r="L3604" s="25" t="str">
        <f t="shared" si="286"/>
        <v/>
      </c>
      <c r="O3604" s="33" t="str">
        <f t="shared" si="287"/>
        <v/>
      </c>
      <c r="P3604" s="33" t="str">
        <f t="shared" si="288"/>
        <v/>
      </c>
    </row>
    <row r="3605" spans="9:16">
      <c r="I3605" s="23" t="str">
        <f>_xlfn.IFNA(VLOOKUP(A3605,A$3524:$H3606,8,0),"")</f>
        <v/>
      </c>
      <c r="J3605" s="40" t="str">
        <f t="shared" si="289"/>
        <v/>
      </c>
      <c r="K3605" s="24" t="str">
        <f t="shared" si="285"/>
        <v/>
      </c>
      <c r="L3605" s="25" t="str">
        <f t="shared" si="286"/>
        <v/>
      </c>
      <c r="O3605" s="33" t="str">
        <f t="shared" si="287"/>
        <v/>
      </c>
      <c r="P3605" s="33" t="str">
        <f t="shared" si="288"/>
        <v/>
      </c>
    </row>
    <row r="3606" spans="9:16">
      <c r="I3606" s="23" t="str">
        <f>_xlfn.IFNA(VLOOKUP(A3606,A$3524:$H3607,8,0),"")</f>
        <v/>
      </c>
      <c r="J3606" s="40" t="str">
        <f t="shared" si="289"/>
        <v/>
      </c>
      <c r="K3606" s="24" t="str">
        <f t="shared" ref="K3606:K3669" si="290">IF(H3606="","",IFERROR((I3606-H3606)*24,0))</f>
        <v/>
      </c>
      <c r="L3606" s="25" t="str">
        <f t="shared" si="286"/>
        <v/>
      </c>
      <c r="O3606" s="33" t="str">
        <f t="shared" si="287"/>
        <v/>
      </c>
      <c r="P3606" s="33" t="str">
        <f t="shared" si="288"/>
        <v/>
      </c>
    </row>
    <row r="3607" spans="9:16">
      <c r="I3607" s="23" t="str">
        <f>_xlfn.IFNA(VLOOKUP(A3607,A$3524:$H3608,8,0),"")</f>
        <v/>
      </c>
      <c r="J3607" s="40" t="str">
        <f t="shared" si="289"/>
        <v/>
      </c>
      <c r="K3607" s="24" t="str">
        <f t="shared" si="290"/>
        <v/>
      </c>
      <c r="L3607" s="25" t="str">
        <f t="shared" si="286"/>
        <v/>
      </c>
      <c r="O3607" s="33" t="str">
        <f t="shared" si="287"/>
        <v/>
      </c>
      <c r="P3607" s="33" t="str">
        <f t="shared" si="288"/>
        <v/>
      </c>
    </row>
    <row r="3608" spans="9:16">
      <c r="I3608" s="23" t="str">
        <f>_xlfn.IFNA(VLOOKUP(A3608,A$3524:$H3609,8,0),"")</f>
        <v/>
      </c>
      <c r="J3608" s="40" t="str">
        <f t="shared" si="289"/>
        <v/>
      </c>
      <c r="K3608" s="24" t="str">
        <f t="shared" si="290"/>
        <v/>
      </c>
      <c r="L3608" s="25" t="str">
        <f t="shared" si="286"/>
        <v/>
      </c>
      <c r="O3608" s="33" t="str">
        <f t="shared" si="287"/>
        <v/>
      </c>
      <c r="P3608" s="33" t="str">
        <f t="shared" si="288"/>
        <v/>
      </c>
    </row>
    <row r="3609" spans="9:16">
      <c r="I3609" s="23" t="str">
        <f>_xlfn.IFNA(VLOOKUP(A3609,A$3524:$H3610,8,0),"")</f>
        <v/>
      </c>
      <c r="J3609" s="40" t="str">
        <f t="shared" si="289"/>
        <v/>
      </c>
      <c r="K3609" s="24" t="str">
        <f t="shared" si="290"/>
        <v/>
      </c>
      <c r="L3609" s="25" t="str">
        <f t="shared" si="286"/>
        <v/>
      </c>
      <c r="O3609" s="33" t="str">
        <f t="shared" si="287"/>
        <v/>
      </c>
      <c r="P3609" s="33" t="str">
        <f t="shared" si="288"/>
        <v/>
      </c>
    </row>
    <row r="3610" spans="9:16">
      <c r="I3610" s="23" t="str">
        <f>_xlfn.IFNA(VLOOKUP(A3610,A$3524:$H3611,8,0),"")</f>
        <v/>
      </c>
      <c r="J3610" s="40" t="str">
        <f t="shared" si="289"/>
        <v/>
      </c>
      <c r="K3610" s="24" t="str">
        <f t="shared" si="290"/>
        <v/>
      </c>
      <c r="L3610" s="25" t="str">
        <f t="shared" si="286"/>
        <v/>
      </c>
      <c r="O3610" s="33" t="str">
        <f t="shared" si="287"/>
        <v/>
      </c>
      <c r="P3610" s="33" t="str">
        <f t="shared" si="288"/>
        <v/>
      </c>
    </row>
    <row r="3611" spans="9:16">
      <c r="I3611" s="23" t="str">
        <f>_xlfn.IFNA(VLOOKUP(A3611,A$3524:$H3612,8,0),"")</f>
        <v/>
      </c>
      <c r="J3611" s="40" t="str">
        <f t="shared" si="289"/>
        <v/>
      </c>
      <c r="K3611" s="24" t="str">
        <f t="shared" si="290"/>
        <v/>
      </c>
      <c r="L3611" s="25" t="str">
        <f t="shared" si="286"/>
        <v/>
      </c>
      <c r="O3611" s="33" t="str">
        <f t="shared" si="287"/>
        <v/>
      </c>
      <c r="P3611" s="33" t="str">
        <f t="shared" si="288"/>
        <v/>
      </c>
    </row>
    <row r="3612" spans="9:16">
      <c r="I3612" s="23" t="str">
        <f>_xlfn.IFNA(VLOOKUP(A3612,A$3524:$H3613,8,0),"")</f>
        <v/>
      </c>
      <c r="J3612" s="40" t="str">
        <f t="shared" si="289"/>
        <v/>
      </c>
      <c r="K3612" s="24" t="str">
        <f t="shared" si="290"/>
        <v/>
      </c>
      <c r="L3612" s="25" t="str">
        <f t="shared" si="286"/>
        <v/>
      </c>
      <c r="O3612" s="33" t="str">
        <f t="shared" si="287"/>
        <v/>
      </c>
      <c r="P3612" s="33" t="str">
        <f t="shared" si="288"/>
        <v/>
      </c>
    </row>
    <row r="3613" spans="9:16">
      <c r="I3613" s="23" t="str">
        <f>_xlfn.IFNA(VLOOKUP(A3613,A$3524:$H3614,8,0),"")</f>
        <v/>
      </c>
      <c r="J3613" s="40" t="str">
        <f t="shared" si="289"/>
        <v/>
      </c>
      <c r="K3613" s="24" t="str">
        <f t="shared" si="290"/>
        <v/>
      </c>
      <c r="L3613" s="25" t="str">
        <f t="shared" si="286"/>
        <v/>
      </c>
      <c r="O3613" s="33" t="str">
        <f t="shared" si="287"/>
        <v/>
      </c>
      <c r="P3613" s="33" t="str">
        <f t="shared" si="288"/>
        <v/>
      </c>
    </row>
    <row r="3614" spans="9:16">
      <c r="I3614" s="23" t="str">
        <f>_xlfn.IFNA(VLOOKUP(A3614,A$3524:$H3615,8,0),"")</f>
        <v/>
      </c>
      <c r="J3614" s="40" t="str">
        <f t="shared" si="289"/>
        <v/>
      </c>
      <c r="K3614" s="24" t="str">
        <f t="shared" si="290"/>
        <v/>
      </c>
      <c r="L3614" s="25" t="str">
        <f t="shared" si="286"/>
        <v/>
      </c>
      <c r="O3614" s="33" t="str">
        <f t="shared" si="287"/>
        <v/>
      </c>
      <c r="P3614" s="33" t="str">
        <f t="shared" si="288"/>
        <v/>
      </c>
    </row>
    <row r="3615" spans="9:16">
      <c r="I3615" s="23" t="str">
        <f>_xlfn.IFNA(VLOOKUP(A3615,A$3524:$H3616,8,0),"")</f>
        <v/>
      </c>
      <c r="J3615" s="40" t="str">
        <f t="shared" si="289"/>
        <v/>
      </c>
      <c r="K3615" s="24" t="str">
        <f t="shared" si="290"/>
        <v/>
      </c>
      <c r="L3615" s="25" t="str">
        <f t="shared" si="286"/>
        <v/>
      </c>
      <c r="O3615" s="33" t="str">
        <f t="shared" si="287"/>
        <v/>
      </c>
      <c r="P3615" s="33" t="str">
        <f t="shared" si="288"/>
        <v/>
      </c>
    </row>
    <row r="3616" spans="9:16">
      <c r="I3616" s="23" t="str">
        <f>_xlfn.IFNA(VLOOKUP(A3616,A$3524:$H3617,8,0),"")</f>
        <v/>
      </c>
      <c r="J3616" s="40" t="str">
        <f t="shared" si="289"/>
        <v/>
      </c>
      <c r="K3616" s="24" t="str">
        <f t="shared" si="290"/>
        <v/>
      </c>
      <c r="L3616" s="25" t="str">
        <f t="shared" si="286"/>
        <v/>
      </c>
      <c r="O3616" s="33" t="str">
        <f t="shared" si="287"/>
        <v/>
      </c>
      <c r="P3616" s="33" t="str">
        <f t="shared" si="288"/>
        <v/>
      </c>
    </row>
    <row r="3617" spans="9:16">
      <c r="I3617" s="23" t="str">
        <f>_xlfn.IFNA(VLOOKUP(A3617,A$3524:$H3618,8,0),"")</f>
        <v/>
      </c>
      <c r="J3617" s="40" t="str">
        <f t="shared" si="289"/>
        <v/>
      </c>
      <c r="K3617" s="24" t="str">
        <f t="shared" si="290"/>
        <v/>
      </c>
      <c r="L3617" s="25" t="str">
        <f t="shared" si="286"/>
        <v/>
      </c>
      <c r="O3617" s="33" t="str">
        <f t="shared" si="287"/>
        <v/>
      </c>
      <c r="P3617" s="33" t="str">
        <f t="shared" si="288"/>
        <v/>
      </c>
    </row>
    <row r="3618" spans="9:16">
      <c r="I3618" s="23" t="str">
        <f>_xlfn.IFNA(VLOOKUP(A3618,A$3524:$H3619,8,0),"")</f>
        <v/>
      </c>
      <c r="J3618" s="40" t="str">
        <f t="shared" si="289"/>
        <v/>
      </c>
      <c r="K3618" s="24" t="str">
        <f t="shared" si="290"/>
        <v/>
      </c>
      <c r="L3618" s="25" t="str">
        <f t="shared" si="286"/>
        <v/>
      </c>
      <c r="O3618" s="33" t="str">
        <f t="shared" si="287"/>
        <v/>
      </c>
      <c r="P3618" s="33" t="str">
        <f t="shared" si="288"/>
        <v/>
      </c>
    </row>
    <row r="3619" spans="9:16">
      <c r="I3619" s="23" t="str">
        <f>_xlfn.IFNA(VLOOKUP(A3619,A$3524:$H3620,8,0),"")</f>
        <v/>
      </c>
      <c r="J3619" s="40" t="str">
        <f t="shared" si="289"/>
        <v/>
      </c>
      <c r="K3619" s="24" t="str">
        <f t="shared" si="290"/>
        <v/>
      </c>
      <c r="L3619" s="25" t="str">
        <f t="shared" si="286"/>
        <v/>
      </c>
      <c r="O3619" s="33" t="str">
        <f t="shared" si="287"/>
        <v/>
      </c>
      <c r="P3619" s="33" t="str">
        <f t="shared" si="288"/>
        <v/>
      </c>
    </row>
    <row r="3620" spans="9:16">
      <c r="I3620" s="23" t="str">
        <f>_xlfn.IFNA(VLOOKUP(A3620,A$3524:$H3621,8,0),"")</f>
        <v/>
      </c>
      <c r="J3620" s="40" t="str">
        <f t="shared" si="289"/>
        <v/>
      </c>
      <c r="K3620" s="24" t="str">
        <f t="shared" si="290"/>
        <v/>
      </c>
      <c r="L3620" s="25" t="str">
        <f t="shared" si="286"/>
        <v/>
      </c>
      <c r="O3620" s="33" t="str">
        <f t="shared" si="287"/>
        <v/>
      </c>
      <c r="P3620" s="33" t="str">
        <f t="shared" si="288"/>
        <v/>
      </c>
    </row>
    <row r="3621" spans="9:16">
      <c r="I3621" s="23" t="str">
        <f>_xlfn.IFNA(VLOOKUP(A3621,A$3524:$H3622,8,0),"")</f>
        <v/>
      </c>
      <c r="J3621" s="40" t="str">
        <f t="shared" si="289"/>
        <v/>
      </c>
      <c r="K3621" s="24" t="str">
        <f t="shared" si="290"/>
        <v/>
      </c>
      <c r="L3621" s="25" t="str">
        <f t="shared" si="286"/>
        <v/>
      </c>
      <c r="O3621" s="33" t="str">
        <f t="shared" si="287"/>
        <v/>
      </c>
      <c r="P3621" s="33" t="str">
        <f t="shared" si="288"/>
        <v/>
      </c>
    </row>
    <row r="3622" spans="9:16">
      <c r="I3622" s="23" t="str">
        <f>_xlfn.IFNA(VLOOKUP(A3622,A$3524:$H3623,8,0),"")</f>
        <v/>
      </c>
      <c r="J3622" s="40" t="str">
        <f t="shared" si="289"/>
        <v/>
      </c>
      <c r="K3622" s="24" t="str">
        <f t="shared" si="290"/>
        <v/>
      </c>
      <c r="L3622" s="25" t="str">
        <f t="shared" si="286"/>
        <v/>
      </c>
      <c r="O3622" s="33" t="str">
        <f t="shared" si="287"/>
        <v/>
      </c>
      <c r="P3622" s="33" t="str">
        <f t="shared" si="288"/>
        <v/>
      </c>
    </row>
    <row r="3623" spans="9:16">
      <c r="I3623" s="23" t="str">
        <f>_xlfn.IFNA(VLOOKUP(A3623,A$3524:$H3624,8,0),"")</f>
        <v/>
      </c>
      <c r="J3623" s="40" t="str">
        <f t="shared" si="289"/>
        <v/>
      </c>
      <c r="K3623" s="24" t="str">
        <f t="shared" si="290"/>
        <v/>
      </c>
      <c r="L3623" s="25" t="str">
        <f t="shared" si="286"/>
        <v/>
      </c>
      <c r="O3623" s="33" t="str">
        <f t="shared" si="287"/>
        <v/>
      </c>
      <c r="P3623" s="33" t="str">
        <f t="shared" si="288"/>
        <v/>
      </c>
    </row>
    <row r="3624" spans="9:16">
      <c r="I3624" s="23" t="str">
        <f>_xlfn.IFNA(VLOOKUP(A3624,A$3524:$H3625,8,0),"")</f>
        <v/>
      </c>
      <c r="J3624" s="40" t="str">
        <f t="shared" si="289"/>
        <v/>
      </c>
      <c r="K3624" s="24" t="str">
        <f t="shared" si="290"/>
        <v/>
      </c>
      <c r="L3624" s="25" t="str">
        <f t="shared" si="286"/>
        <v/>
      </c>
      <c r="O3624" s="33" t="str">
        <f t="shared" si="287"/>
        <v/>
      </c>
      <c r="P3624" s="33" t="str">
        <f t="shared" si="288"/>
        <v/>
      </c>
    </row>
    <row r="3625" spans="9:16">
      <c r="I3625" s="23" t="str">
        <f>_xlfn.IFNA(VLOOKUP(A3625,A$3524:$H3626,8,0),"")</f>
        <v/>
      </c>
      <c r="J3625" s="40" t="str">
        <f t="shared" si="289"/>
        <v/>
      </c>
      <c r="K3625" s="24" t="str">
        <f t="shared" si="290"/>
        <v/>
      </c>
      <c r="L3625" s="25" t="str">
        <f t="shared" si="286"/>
        <v/>
      </c>
      <c r="O3625" s="33" t="str">
        <f t="shared" si="287"/>
        <v/>
      </c>
      <c r="P3625" s="33" t="str">
        <f t="shared" si="288"/>
        <v/>
      </c>
    </row>
    <row r="3626" spans="9:16">
      <c r="I3626" s="23" t="str">
        <f>_xlfn.IFNA(VLOOKUP(A3626,A$3524:$H3627,8,0),"")</f>
        <v/>
      </c>
      <c r="J3626" s="40" t="str">
        <f t="shared" si="289"/>
        <v/>
      </c>
      <c r="K3626" s="24" t="str">
        <f t="shared" si="290"/>
        <v/>
      </c>
      <c r="L3626" s="25" t="str">
        <f t="shared" si="286"/>
        <v/>
      </c>
      <c r="O3626" s="33" t="str">
        <f t="shared" si="287"/>
        <v/>
      </c>
      <c r="P3626" s="33" t="str">
        <f t="shared" si="288"/>
        <v/>
      </c>
    </row>
    <row r="3627" spans="9:16">
      <c r="I3627" s="23" t="str">
        <f>_xlfn.IFNA(VLOOKUP(A3627,A$3524:$H3628,8,0),"")</f>
        <v/>
      </c>
      <c r="J3627" s="40" t="str">
        <f t="shared" si="289"/>
        <v/>
      </c>
      <c r="K3627" s="24" t="str">
        <f t="shared" si="290"/>
        <v/>
      </c>
      <c r="L3627" s="25" t="str">
        <f t="shared" si="286"/>
        <v/>
      </c>
      <c r="O3627" s="33" t="str">
        <f t="shared" si="287"/>
        <v/>
      </c>
      <c r="P3627" s="33" t="str">
        <f t="shared" si="288"/>
        <v/>
      </c>
    </row>
    <row r="3628" spans="9:16">
      <c r="I3628" s="23" t="str">
        <f>_xlfn.IFNA(VLOOKUP(A3628,A$3524:$H3629,8,0),"")</f>
        <v/>
      </c>
      <c r="J3628" s="40" t="str">
        <f t="shared" si="289"/>
        <v/>
      </c>
      <c r="K3628" s="24" t="str">
        <f t="shared" si="290"/>
        <v/>
      </c>
      <c r="L3628" s="25" t="str">
        <f t="shared" si="286"/>
        <v/>
      </c>
      <c r="O3628" s="33" t="str">
        <f t="shared" si="287"/>
        <v/>
      </c>
      <c r="P3628" s="33" t="str">
        <f t="shared" si="288"/>
        <v/>
      </c>
    </row>
    <row r="3629" spans="9:16">
      <c r="I3629" s="23" t="str">
        <f>_xlfn.IFNA(VLOOKUP(A3629,A$3524:$H3630,8,0),"")</f>
        <v/>
      </c>
      <c r="J3629" s="40" t="str">
        <f t="shared" si="289"/>
        <v/>
      </c>
      <c r="K3629" s="24" t="str">
        <f t="shared" si="290"/>
        <v/>
      </c>
      <c r="L3629" s="25" t="str">
        <f t="shared" si="286"/>
        <v/>
      </c>
      <c r="O3629" s="33" t="str">
        <f t="shared" si="287"/>
        <v/>
      </c>
      <c r="P3629" s="33" t="str">
        <f t="shared" si="288"/>
        <v/>
      </c>
    </row>
    <row r="3630" spans="9:16">
      <c r="I3630" s="23" t="str">
        <f>_xlfn.IFNA(VLOOKUP(A3630,A$3524:$H3631,8,0),"")</f>
        <v/>
      </c>
      <c r="J3630" s="40" t="str">
        <f t="shared" si="289"/>
        <v/>
      </c>
      <c r="K3630" s="24" t="str">
        <f t="shared" si="290"/>
        <v/>
      </c>
      <c r="L3630" s="25" t="str">
        <f t="shared" si="286"/>
        <v/>
      </c>
      <c r="O3630" s="33" t="str">
        <f t="shared" si="287"/>
        <v/>
      </c>
      <c r="P3630" s="33" t="str">
        <f t="shared" si="288"/>
        <v/>
      </c>
    </row>
    <row r="3631" spans="9:16">
      <c r="I3631" s="23" t="str">
        <f>_xlfn.IFNA(VLOOKUP(A3631,A$3524:$H3632,8,0),"")</f>
        <v/>
      </c>
      <c r="J3631" s="40" t="str">
        <f t="shared" si="289"/>
        <v/>
      </c>
      <c r="K3631" s="24" t="str">
        <f t="shared" si="290"/>
        <v/>
      </c>
      <c r="L3631" s="25" t="str">
        <f t="shared" si="286"/>
        <v/>
      </c>
      <c r="O3631" s="33" t="str">
        <f t="shared" si="287"/>
        <v/>
      </c>
      <c r="P3631" s="33" t="str">
        <f t="shared" si="288"/>
        <v/>
      </c>
    </row>
    <row r="3632" spans="9:16">
      <c r="I3632" s="23" t="str">
        <f>_xlfn.IFNA(VLOOKUP(A3632,A$3524:$H3633,8,0),"")</f>
        <v/>
      </c>
      <c r="J3632" s="40" t="str">
        <f t="shared" si="289"/>
        <v/>
      </c>
      <c r="K3632" s="24" t="str">
        <f t="shared" si="290"/>
        <v/>
      </c>
      <c r="L3632" s="25" t="str">
        <f t="shared" si="286"/>
        <v/>
      </c>
      <c r="O3632" s="33" t="str">
        <f t="shared" si="287"/>
        <v/>
      </c>
      <c r="P3632" s="33" t="str">
        <f t="shared" si="288"/>
        <v/>
      </c>
    </row>
    <row r="3633" spans="9:16">
      <c r="I3633" s="23" t="str">
        <f>_xlfn.IFNA(VLOOKUP(A3633,A$3524:$H3634,8,0),"")</f>
        <v/>
      </c>
      <c r="J3633" s="40" t="str">
        <f t="shared" si="289"/>
        <v/>
      </c>
      <c r="K3633" s="24" t="str">
        <f t="shared" si="290"/>
        <v/>
      </c>
      <c r="L3633" s="25" t="str">
        <f t="shared" si="286"/>
        <v/>
      </c>
      <c r="O3633" s="33" t="str">
        <f t="shared" si="287"/>
        <v/>
      </c>
      <c r="P3633" s="33" t="str">
        <f t="shared" si="288"/>
        <v/>
      </c>
    </row>
    <row r="3634" spans="9:16">
      <c r="I3634" s="23" t="str">
        <f>_xlfn.IFNA(VLOOKUP(A3634,A$3524:$H3635,8,0),"")</f>
        <v/>
      </c>
      <c r="J3634" s="40" t="str">
        <f t="shared" si="289"/>
        <v/>
      </c>
      <c r="K3634" s="24" t="str">
        <f t="shared" si="290"/>
        <v/>
      </c>
      <c r="L3634" s="25" t="str">
        <f t="shared" si="286"/>
        <v/>
      </c>
      <c r="O3634" s="33" t="str">
        <f t="shared" si="287"/>
        <v/>
      </c>
      <c r="P3634" s="33" t="str">
        <f t="shared" si="288"/>
        <v/>
      </c>
    </row>
    <row r="3635" spans="9:16">
      <c r="I3635" s="23" t="str">
        <f>_xlfn.IFNA(VLOOKUP(A3635,A$3524:$H3636,8,0),"")</f>
        <v/>
      </c>
      <c r="J3635" s="40" t="str">
        <f t="shared" si="289"/>
        <v/>
      </c>
      <c r="K3635" s="24" t="str">
        <f t="shared" si="290"/>
        <v/>
      </c>
      <c r="L3635" s="25" t="str">
        <f t="shared" si="286"/>
        <v/>
      </c>
      <c r="O3635" s="33" t="str">
        <f t="shared" si="287"/>
        <v/>
      </c>
      <c r="P3635" s="33" t="str">
        <f t="shared" si="288"/>
        <v/>
      </c>
    </row>
    <row r="3636" spans="9:16">
      <c r="I3636" s="23" t="str">
        <f>_xlfn.IFNA(VLOOKUP(A3636,A$3524:$H3637,8,0),"")</f>
        <v/>
      </c>
      <c r="J3636" s="40" t="str">
        <f t="shared" si="289"/>
        <v/>
      </c>
      <c r="K3636" s="24" t="str">
        <f t="shared" si="290"/>
        <v/>
      </c>
      <c r="L3636" s="25" t="str">
        <f t="shared" si="286"/>
        <v/>
      </c>
      <c r="O3636" s="33" t="str">
        <f t="shared" si="287"/>
        <v/>
      </c>
      <c r="P3636" s="33" t="str">
        <f t="shared" si="288"/>
        <v/>
      </c>
    </row>
    <row r="3637" spans="9:16">
      <c r="I3637" s="23" t="str">
        <f>_xlfn.IFNA(VLOOKUP(A3637,A$3524:$H3638,8,0),"")</f>
        <v/>
      </c>
      <c r="J3637" s="40" t="str">
        <f t="shared" si="289"/>
        <v/>
      </c>
      <c r="K3637" s="24" t="str">
        <f t="shared" si="290"/>
        <v/>
      </c>
      <c r="L3637" s="25" t="str">
        <f t="shared" si="286"/>
        <v/>
      </c>
      <c r="O3637" s="33" t="str">
        <f t="shared" si="287"/>
        <v/>
      </c>
      <c r="P3637" s="33" t="str">
        <f t="shared" si="288"/>
        <v/>
      </c>
    </row>
    <row r="3638" spans="9:16">
      <c r="I3638" s="23" t="str">
        <f>_xlfn.IFNA(VLOOKUP(A3638,A$3524:$H3639,8,0),"")</f>
        <v/>
      </c>
      <c r="J3638" s="40" t="str">
        <f t="shared" si="289"/>
        <v/>
      </c>
      <c r="K3638" s="24" t="str">
        <f t="shared" si="290"/>
        <v/>
      </c>
      <c r="L3638" s="25" t="str">
        <f t="shared" si="286"/>
        <v/>
      </c>
      <c r="O3638" s="33" t="str">
        <f t="shared" si="287"/>
        <v/>
      </c>
      <c r="P3638" s="33" t="str">
        <f t="shared" si="288"/>
        <v/>
      </c>
    </row>
    <row r="3639" spans="9:16">
      <c r="I3639" s="23" t="str">
        <f>_xlfn.IFNA(VLOOKUP(A3639,A$3524:$H3640,8,0),"")</f>
        <v/>
      </c>
      <c r="J3639" s="40" t="str">
        <f t="shared" si="289"/>
        <v/>
      </c>
      <c r="K3639" s="24" t="str">
        <f t="shared" si="290"/>
        <v/>
      </c>
      <c r="L3639" s="25" t="str">
        <f t="shared" ref="L3639:L3702" si="291">IF(K3639="","",IF(B3639="Break","Break",IF(K3639&lt;&gt;0,"Work Finished",IF(B3639="OFF","Work Finished",IF(I3639="","Working","Work Finished")))))</f>
        <v/>
      </c>
      <c r="O3639" s="33" t="str">
        <f t="shared" ref="O3639:O3702" si="292">IF(AND(J3639="",M3639="",N3639=""),"",J3639-M3639-N3639)</f>
        <v/>
      </c>
      <c r="P3639" s="33" t="str">
        <f t="shared" ref="P3639:P3702" si="293">IF(HOUR(H3639)=0,"",HOUR(H3639))</f>
        <v/>
      </c>
    </row>
    <row r="3640" spans="9:16">
      <c r="I3640" s="23" t="str">
        <f>_xlfn.IFNA(VLOOKUP(A3640,A$3524:$H3641,8,0),"")</f>
        <v/>
      </c>
      <c r="J3640" s="40" t="str">
        <f t="shared" si="289"/>
        <v/>
      </c>
      <c r="K3640" s="24" t="str">
        <f t="shared" si="290"/>
        <v/>
      </c>
      <c r="L3640" s="25" t="str">
        <f t="shared" si="291"/>
        <v/>
      </c>
      <c r="O3640" s="33" t="str">
        <f t="shared" si="292"/>
        <v/>
      </c>
      <c r="P3640" s="33" t="str">
        <f t="shared" si="293"/>
        <v/>
      </c>
    </row>
    <row r="3641" spans="9:16">
      <c r="I3641" s="23" t="str">
        <f>_xlfn.IFNA(VLOOKUP(A3641,A$3524:$H3642,8,0),"")</f>
        <v/>
      </c>
      <c r="J3641" s="40" t="str">
        <f t="shared" si="289"/>
        <v/>
      </c>
      <c r="K3641" s="24" t="str">
        <f t="shared" si="290"/>
        <v/>
      </c>
      <c r="L3641" s="25" t="str">
        <f t="shared" si="291"/>
        <v/>
      </c>
      <c r="O3641" s="33" t="str">
        <f t="shared" si="292"/>
        <v/>
      </c>
      <c r="P3641" s="33" t="str">
        <f t="shared" si="293"/>
        <v/>
      </c>
    </row>
    <row r="3642" spans="9:16">
      <c r="I3642" s="23" t="str">
        <f>_xlfn.IFNA(VLOOKUP(A3642,A$3524:$H3643,8,0),"")</f>
        <v/>
      </c>
      <c r="J3642" s="40" t="str">
        <f t="shared" si="289"/>
        <v/>
      </c>
      <c r="K3642" s="24" t="str">
        <f t="shared" si="290"/>
        <v/>
      </c>
      <c r="L3642" s="25" t="str">
        <f t="shared" si="291"/>
        <v/>
      </c>
      <c r="O3642" s="33" t="str">
        <f t="shared" si="292"/>
        <v/>
      </c>
      <c r="P3642" s="33" t="str">
        <f t="shared" si="293"/>
        <v/>
      </c>
    </row>
    <row r="3643" spans="9:16">
      <c r="I3643" s="23" t="str">
        <f>_xlfn.IFNA(VLOOKUP(A3643,A$3524:$H3644,8,0),"")</f>
        <v/>
      </c>
      <c r="J3643" s="40" t="str">
        <f t="shared" si="289"/>
        <v/>
      </c>
      <c r="K3643" s="24" t="str">
        <f t="shared" si="290"/>
        <v/>
      </c>
      <c r="L3643" s="25" t="str">
        <f t="shared" si="291"/>
        <v/>
      </c>
      <c r="O3643" s="33" t="str">
        <f t="shared" si="292"/>
        <v/>
      </c>
      <c r="P3643" s="33" t="str">
        <f t="shared" si="293"/>
        <v/>
      </c>
    </row>
    <row r="3644" spans="9:16">
      <c r="I3644" s="23" t="str">
        <f>_xlfn.IFNA(VLOOKUP(A3644,A$3524:$H3645,8,0),"")</f>
        <v/>
      </c>
      <c r="J3644" s="40" t="str">
        <f t="shared" si="289"/>
        <v/>
      </c>
      <c r="K3644" s="24" t="str">
        <f t="shared" si="290"/>
        <v/>
      </c>
      <c r="L3644" s="25" t="str">
        <f t="shared" si="291"/>
        <v/>
      </c>
      <c r="O3644" s="33" t="str">
        <f t="shared" si="292"/>
        <v/>
      </c>
      <c r="P3644" s="33" t="str">
        <f t="shared" si="293"/>
        <v/>
      </c>
    </row>
    <row r="3645" spans="9:16">
      <c r="I3645" s="23" t="str">
        <f>_xlfn.IFNA(VLOOKUP(A3645,A$3524:$H3646,8,0),"")</f>
        <v/>
      </c>
      <c r="J3645" s="40" t="str">
        <f t="shared" si="289"/>
        <v/>
      </c>
      <c r="K3645" s="24" t="str">
        <f t="shared" si="290"/>
        <v/>
      </c>
      <c r="L3645" s="25" t="str">
        <f t="shared" si="291"/>
        <v/>
      </c>
      <c r="O3645" s="33" t="str">
        <f t="shared" si="292"/>
        <v/>
      </c>
      <c r="P3645" s="33" t="str">
        <f t="shared" si="293"/>
        <v/>
      </c>
    </row>
    <row r="3646" spans="9:16">
      <c r="I3646" s="23" t="str">
        <f>_xlfn.IFNA(VLOOKUP(A3646,A$3524:$H3647,8,0),"")</f>
        <v/>
      </c>
      <c r="J3646" s="40" t="str">
        <f t="shared" si="289"/>
        <v/>
      </c>
      <c r="K3646" s="24" t="str">
        <f t="shared" si="290"/>
        <v/>
      </c>
      <c r="L3646" s="25" t="str">
        <f t="shared" si="291"/>
        <v/>
      </c>
      <c r="O3646" s="33" t="str">
        <f t="shared" si="292"/>
        <v/>
      </c>
      <c r="P3646" s="33" t="str">
        <f t="shared" si="293"/>
        <v/>
      </c>
    </row>
    <row r="3647" spans="9:16">
      <c r="I3647" s="23" t="str">
        <f>_xlfn.IFNA(VLOOKUP(A3647,A$3524:$H3648,8,0),"")</f>
        <v/>
      </c>
      <c r="J3647" s="40" t="str">
        <f t="shared" si="289"/>
        <v/>
      </c>
      <c r="K3647" s="24" t="str">
        <f t="shared" si="290"/>
        <v/>
      </c>
      <c r="L3647" s="25" t="str">
        <f t="shared" si="291"/>
        <v/>
      </c>
      <c r="O3647" s="33" t="str">
        <f t="shared" si="292"/>
        <v/>
      </c>
      <c r="P3647" s="33" t="str">
        <f t="shared" si="293"/>
        <v/>
      </c>
    </row>
    <row r="3648" spans="9:16">
      <c r="I3648" s="23" t="str">
        <f>_xlfn.IFNA(VLOOKUP(A3648,A$3524:$H3649,8,0),"")</f>
        <v/>
      </c>
      <c r="J3648" s="40" t="str">
        <f t="shared" si="289"/>
        <v/>
      </c>
      <c r="K3648" s="24" t="str">
        <f t="shared" si="290"/>
        <v/>
      </c>
      <c r="L3648" s="25" t="str">
        <f t="shared" si="291"/>
        <v/>
      </c>
      <c r="O3648" s="33" t="str">
        <f t="shared" si="292"/>
        <v/>
      </c>
      <c r="P3648" s="33" t="str">
        <f t="shared" si="293"/>
        <v/>
      </c>
    </row>
    <row r="3649" spans="9:16">
      <c r="I3649" s="23" t="str">
        <f>_xlfn.IFNA(VLOOKUP(A3649,A$3524:$H3650,8,0),"")</f>
        <v/>
      </c>
      <c r="J3649" s="40" t="str">
        <f t="shared" si="289"/>
        <v/>
      </c>
      <c r="K3649" s="24" t="str">
        <f t="shared" si="290"/>
        <v/>
      </c>
      <c r="L3649" s="25" t="str">
        <f t="shared" si="291"/>
        <v/>
      </c>
      <c r="O3649" s="33" t="str">
        <f t="shared" si="292"/>
        <v/>
      </c>
      <c r="P3649" s="33" t="str">
        <f t="shared" si="293"/>
        <v/>
      </c>
    </row>
    <row r="3650" spans="9:16">
      <c r="I3650" s="23" t="str">
        <f>_xlfn.IFNA(VLOOKUP(A3650,A$3524:$H3651,8,0),"")</f>
        <v/>
      </c>
      <c r="J3650" s="40" t="str">
        <f t="shared" si="289"/>
        <v/>
      </c>
      <c r="K3650" s="24" t="str">
        <f t="shared" si="290"/>
        <v/>
      </c>
      <c r="L3650" s="25" t="str">
        <f t="shared" si="291"/>
        <v/>
      </c>
      <c r="O3650" s="33" t="str">
        <f t="shared" si="292"/>
        <v/>
      </c>
      <c r="P3650" s="33" t="str">
        <f t="shared" si="293"/>
        <v/>
      </c>
    </row>
    <row r="3651" spans="9:16">
      <c r="I3651" s="23" t="str">
        <f>_xlfn.IFNA(VLOOKUP(A3651,A$3524:$H3652,8,0),"")</f>
        <v/>
      </c>
      <c r="J3651" s="40" t="str">
        <f t="shared" si="289"/>
        <v/>
      </c>
      <c r="K3651" s="24" t="str">
        <f t="shared" si="290"/>
        <v/>
      </c>
      <c r="L3651" s="25" t="str">
        <f t="shared" si="291"/>
        <v/>
      </c>
      <c r="O3651" s="33" t="str">
        <f t="shared" si="292"/>
        <v/>
      </c>
      <c r="P3651" s="33" t="str">
        <f t="shared" si="293"/>
        <v/>
      </c>
    </row>
    <row r="3652" spans="9:16">
      <c r="I3652" s="23" t="str">
        <f>_xlfn.IFNA(VLOOKUP(A3652,A$3524:$H3653,8,0),"")</f>
        <v/>
      </c>
      <c r="J3652" s="40" t="str">
        <f t="shared" si="289"/>
        <v/>
      </c>
      <c r="K3652" s="24" t="str">
        <f t="shared" si="290"/>
        <v/>
      </c>
      <c r="L3652" s="25" t="str">
        <f t="shared" si="291"/>
        <v/>
      </c>
      <c r="O3652" s="33" t="str">
        <f t="shared" si="292"/>
        <v/>
      </c>
      <c r="P3652" s="33" t="str">
        <f t="shared" si="293"/>
        <v/>
      </c>
    </row>
    <row r="3653" spans="9:16">
      <c r="I3653" s="23" t="str">
        <f>_xlfn.IFNA(VLOOKUP(A3653,A$3524:$H3654,8,0),"")</f>
        <v/>
      </c>
      <c r="J3653" s="40" t="str">
        <f t="shared" si="289"/>
        <v/>
      </c>
      <c r="K3653" s="24" t="str">
        <f t="shared" si="290"/>
        <v/>
      </c>
      <c r="L3653" s="25" t="str">
        <f t="shared" si="291"/>
        <v/>
      </c>
      <c r="O3653" s="33" t="str">
        <f t="shared" si="292"/>
        <v/>
      </c>
      <c r="P3653" s="33" t="str">
        <f t="shared" si="293"/>
        <v/>
      </c>
    </row>
    <row r="3654" spans="9:16">
      <c r="I3654" s="23" t="str">
        <f>_xlfn.IFNA(VLOOKUP(A3654,A$3524:$H3655,8,0),"")</f>
        <v/>
      </c>
      <c r="J3654" s="40" t="str">
        <f t="shared" ref="J3654:J3717" si="294">IF(B3654="OFF",0,IF(AND(D3654&lt;&gt;"",E3654&lt;&gt;""),E3654-D3654+1,""))</f>
        <v/>
      </c>
      <c r="K3654" s="24" t="str">
        <f t="shared" si="290"/>
        <v/>
      </c>
      <c r="L3654" s="25" t="str">
        <f t="shared" si="291"/>
        <v/>
      </c>
      <c r="O3654" s="33" t="str">
        <f t="shared" si="292"/>
        <v/>
      </c>
      <c r="P3654" s="33" t="str">
        <f t="shared" si="293"/>
        <v/>
      </c>
    </row>
    <row r="3655" spans="9:16">
      <c r="I3655" s="23" t="str">
        <f>_xlfn.IFNA(VLOOKUP(A3655,A$3524:$H3656,8,0),"")</f>
        <v/>
      </c>
      <c r="J3655" s="40" t="str">
        <f t="shared" si="294"/>
        <v/>
      </c>
      <c r="K3655" s="24" t="str">
        <f t="shared" si="290"/>
        <v/>
      </c>
      <c r="L3655" s="25" t="str">
        <f t="shared" si="291"/>
        <v/>
      </c>
      <c r="O3655" s="33" t="str">
        <f t="shared" si="292"/>
        <v/>
      </c>
      <c r="P3655" s="33" t="str">
        <f t="shared" si="293"/>
        <v/>
      </c>
    </row>
    <row r="3656" spans="9:16">
      <c r="I3656" s="23" t="str">
        <f>_xlfn.IFNA(VLOOKUP(A3656,A$3524:$H3657,8,0),"")</f>
        <v/>
      </c>
      <c r="J3656" s="40" t="str">
        <f t="shared" si="294"/>
        <v/>
      </c>
      <c r="K3656" s="24" t="str">
        <f t="shared" si="290"/>
        <v/>
      </c>
      <c r="L3656" s="25" t="str">
        <f t="shared" si="291"/>
        <v/>
      </c>
      <c r="O3656" s="33" t="str">
        <f t="shared" si="292"/>
        <v/>
      </c>
      <c r="P3656" s="33" t="str">
        <f t="shared" si="293"/>
        <v/>
      </c>
    </row>
    <row r="3657" spans="9:16">
      <c r="I3657" s="23" t="str">
        <f>_xlfn.IFNA(VLOOKUP(A3657,A$3524:$H3658,8,0),"")</f>
        <v/>
      </c>
      <c r="J3657" s="40" t="str">
        <f t="shared" si="294"/>
        <v/>
      </c>
      <c r="K3657" s="24" t="str">
        <f t="shared" si="290"/>
        <v/>
      </c>
      <c r="L3657" s="25" t="str">
        <f t="shared" si="291"/>
        <v/>
      </c>
      <c r="O3657" s="33" t="str">
        <f t="shared" si="292"/>
        <v/>
      </c>
      <c r="P3657" s="33" t="str">
        <f t="shared" si="293"/>
        <v/>
      </c>
    </row>
    <row r="3658" spans="9:16">
      <c r="I3658" s="23" t="str">
        <f>_xlfn.IFNA(VLOOKUP(A3658,A$3524:$H3659,8,0),"")</f>
        <v/>
      </c>
      <c r="J3658" s="40" t="str">
        <f t="shared" si="294"/>
        <v/>
      </c>
      <c r="K3658" s="24" t="str">
        <f t="shared" si="290"/>
        <v/>
      </c>
      <c r="L3658" s="25" t="str">
        <f t="shared" si="291"/>
        <v/>
      </c>
      <c r="O3658" s="33" t="str">
        <f t="shared" si="292"/>
        <v/>
      </c>
      <c r="P3658" s="33" t="str">
        <f t="shared" si="293"/>
        <v/>
      </c>
    </row>
    <row r="3659" spans="9:16">
      <c r="I3659" s="23" t="str">
        <f>_xlfn.IFNA(VLOOKUP(A3659,A$3524:$H3660,8,0),"")</f>
        <v/>
      </c>
      <c r="J3659" s="40" t="str">
        <f t="shared" si="294"/>
        <v/>
      </c>
      <c r="K3659" s="24" t="str">
        <f t="shared" si="290"/>
        <v/>
      </c>
      <c r="L3659" s="25" t="str">
        <f t="shared" si="291"/>
        <v/>
      </c>
      <c r="O3659" s="33" t="str">
        <f t="shared" si="292"/>
        <v/>
      </c>
      <c r="P3659" s="33" t="str">
        <f t="shared" si="293"/>
        <v/>
      </c>
    </row>
    <row r="3660" spans="9:16">
      <c r="I3660" s="23" t="str">
        <f>_xlfn.IFNA(VLOOKUP(A3660,A$3524:$H3661,8,0),"")</f>
        <v/>
      </c>
      <c r="J3660" s="40" t="str">
        <f t="shared" si="294"/>
        <v/>
      </c>
      <c r="K3660" s="24" t="str">
        <f t="shared" si="290"/>
        <v/>
      </c>
      <c r="L3660" s="25" t="str">
        <f t="shared" si="291"/>
        <v/>
      </c>
      <c r="O3660" s="33" t="str">
        <f t="shared" si="292"/>
        <v/>
      </c>
      <c r="P3660" s="33" t="str">
        <f t="shared" si="293"/>
        <v/>
      </c>
    </row>
    <row r="3661" spans="9:16">
      <c r="I3661" s="23" t="str">
        <f>_xlfn.IFNA(VLOOKUP(A3661,A$3524:$H3662,8,0),"")</f>
        <v/>
      </c>
      <c r="J3661" s="40" t="str">
        <f t="shared" si="294"/>
        <v/>
      </c>
      <c r="K3661" s="24" t="str">
        <f t="shared" si="290"/>
        <v/>
      </c>
      <c r="L3661" s="25" t="str">
        <f t="shared" si="291"/>
        <v/>
      </c>
      <c r="O3661" s="33" t="str">
        <f t="shared" si="292"/>
        <v/>
      </c>
      <c r="P3661" s="33" t="str">
        <f t="shared" si="293"/>
        <v/>
      </c>
    </row>
    <row r="3662" spans="9:16">
      <c r="I3662" s="23" t="str">
        <f>_xlfn.IFNA(VLOOKUP(A3662,A$3524:$H3663,8,0),"")</f>
        <v/>
      </c>
      <c r="J3662" s="40" t="str">
        <f t="shared" si="294"/>
        <v/>
      </c>
      <c r="K3662" s="24" t="str">
        <f t="shared" si="290"/>
        <v/>
      </c>
      <c r="L3662" s="25" t="str">
        <f t="shared" si="291"/>
        <v/>
      </c>
      <c r="O3662" s="33" t="str">
        <f t="shared" si="292"/>
        <v/>
      </c>
      <c r="P3662" s="33" t="str">
        <f t="shared" si="293"/>
        <v/>
      </c>
    </row>
    <row r="3663" spans="9:16">
      <c r="I3663" s="23" t="str">
        <f>_xlfn.IFNA(VLOOKUP(A3663,A$3524:$H3664,8,0),"")</f>
        <v/>
      </c>
      <c r="J3663" s="40" t="str">
        <f t="shared" si="294"/>
        <v/>
      </c>
      <c r="K3663" s="24" t="str">
        <f t="shared" si="290"/>
        <v/>
      </c>
      <c r="L3663" s="25" t="str">
        <f t="shared" si="291"/>
        <v/>
      </c>
      <c r="O3663" s="33" t="str">
        <f t="shared" si="292"/>
        <v/>
      </c>
      <c r="P3663" s="33" t="str">
        <f t="shared" si="293"/>
        <v/>
      </c>
    </row>
    <row r="3664" spans="9:16">
      <c r="I3664" s="23" t="str">
        <f>_xlfn.IFNA(VLOOKUP(A3664,A$3524:$H3665,8,0),"")</f>
        <v/>
      </c>
      <c r="J3664" s="40" t="str">
        <f t="shared" si="294"/>
        <v/>
      </c>
      <c r="K3664" s="24" t="str">
        <f t="shared" si="290"/>
        <v/>
      </c>
      <c r="L3664" s="25" t="str">
        <f t="shared" si="291"/>
        <v/>
      </c>
      <c r="O3664" s="33" t="str">
        <f t="shared" si="292"/>
        <v/>
      </c>
      <c r="P3664" s="33" t="str">
        <f t="shared" si="293"/>
        <v/>
      </c>
    </row>
    <row r="3665" spans="9:16">
      <c r="I3665" s="23" t="str">
        <f>_xlfn.IFNA(VLOOKUP(A3665,A$3524:$H3666,8,0),"")</f>
        <v/>
      </c>
      <c r="J3665" s="40" t="str">
        <f t="shared" si="294"/>
        <v/>
      </c>
      <c r="K3665" s="24" t="str">
        <f t="shared" si="290"/>
        <v/>
      </c>
      <c r="L3665" s="25" t="str">
        <f t="shared" si="291"/>
        <v/>
      </c>
      <c r="O3665" s="33" t="str">
        <f t="shared" si="292"/>
        <v/>
      </c>
      <c r="P3665" s="33" t="str">
        <f t="shared" si="293"/>
        <v/>
      </c>
    </row>
    <row r="3666" spans="9:16">
      <c r="I3666" s="23" t="str">
        <f>_xlfn.IFNA(VLOOKUP(A3666,A$3524:$H3667,8,0),"")</f>
        <v/>
      </c>
      <c r="J3666" s="40" t="str">
        <f t="shared" si="294"/>
        <v/>
      </c>
      <c r="K3666" s="24" t="str">
        <f t="shared" si="290"/>
        <v/>
      </c>
      <c r="L3666" s="25" t="str">
        <f t="shared" si="291"/>
        <v/>
      </c>
      <c r="O3666" s="33" t="str">
        <f t="shared" si="292"/>
        <v/>
      </c>
      <c r="P3666" s="33" t="str">
        <f t="shared" si="293"/>
        <v/>
      </c>
    </row>
    <row r="3667" spans="9:16">
      <c r="I3667" s="23" t="str">
        <f>_xlfn.IFNA(VLOOKUP(A3667,A$3524:$H3668,8,0),"")</f>
        <v/>
      </c>
      <c r="J3667" s="40" t="str">
        <f t="shared" si="294"/>
        <v/>
      </c>
      <c r="K3667" s="24" t="str">
        <f t="shared" si="290"/>
        <v/>
      </c>
      <c r="L3667" s="25" t="str">
        <f t="shared" si="291"/>
        <v/>
      </c>
      <c r="O3667" s="33" t="str">
        <f t="shared" si="292"/>
        <v/>
      </c>
      <c r="P3667" s="33" t="str">
        <f t="shared" si="293"/>
        <v/>
      </c>
    </row>
    <row r="3668" spans="9:16">
      <c r="I3668" s="23" t="str">
        <f>_xlfn.IFNA(VLOOKUP(A3668,A$3524:$H3669,8,0),"")</f>
        <v/>
      </c>
      <c r="J3668" s="40" t="str">
        <f t="shared" si="294"/>
        <v/>
      </c>
      <c r="K3668" s="24" t="str">
        <f t="shared" si="290"/>
        <v/>
      </c>
      <c r="L3668" s="25" t="str">
        <f t="shared" si="291"/>
        <v/>
      </c>
      <c r="O3668" s="33" t="str">
        <f t="shared" si="292"/>
        <v/>
      </c>
      <c r="P3668" s="33" t="str">
        <f t="shared" si="293"/>
        <v/>
      </c>
    </row>
    <row r="3669" spans="9:16">
      <c r="I3669" s="23" t="str">
        <f>_xlfn.IFNA(VLOOKUP(A3669,A$3524:$H3670,8,0),"")</f>
        <v/>
      </c>
      <c r="J3669" s="40" t="str">
        <f t="shared" si="294"/>
        <v/>
      </c>
      <c r="K3669" s="24" t="str">
        <f t="shared" si="290"/>
        <v/>
      </c>
      <c r="L3669" s="25" t="str">
        <f t="shared" si="291"/>
        <v/>
      </c>
      <c r="O3669" s="33" t="str">
        <f t="shared" si="292"/>
        <v/>
      </c>
      <c r="P3669" s="33" t="str">
        <f t="shared" si="293"/>
        <v/>
      </c>
    </row>
    <row r="3670" spans="9:16">
      <c r="I3670" s="23" t="str">
        <f>_xlfn.IFNA(VLOOKUP(A3670,A$3524:$H3671,8,0),"")</f>
        <v/>
      </c>
      <c r="J3670" s="40" t="str">
        <f t="shared" si="294"/>
        <v/>
      </c>
      <c r="K3670" s="24" t="str">
        <f t="shared" ref="K3670:K3733" si="295">IF(H3670="","",IFERROR((I3670-H3670)*24,0))</f>
        <v/>
      </c>
      <c r="L3670" s="25" t="str">
        <f t="shared" si="291"/>
        <v/>
      </c>
      <c r="O3670" s="33" t="str">
        <f t="shared" si="292"/>
        <v/>
      </c>
      <c r="P3670" s="33" t="str">
        <f t="shared" si="293"/>
        <v/>
      </c>
    </row>
    <row r="3671" spans="9:16">
      <c r="I3671" s="23" t="str">
        <f>_xlfn.IFNA(VLOOKUP(A3671,A$3524:$H3672,8,0),"")</f>
        <v/>
      </c>
      <c r="J3671" s="40" t="str">
        <f t="shared" si="294"/>
        <v/>
      </c>
      <c r="K3671" s="24" t="str">
        <f t="shared" si="295"/>
        <v/>
      </c>
      <c r="L3671" s="25" t="str">
        <f t="shared" si="291"/>
        <v/>
      </c>
      <c r="O3671" s="33" t="str">
        <f t="shared" si="292"/>
        <v/>
      </c>
      <c r="P3671" s="33" t="str">
        <f t="shared" si="293"/>
        <v/>
      </c>
    </row>
    <row r="3672" spans="9:16">
      <c r="I3672" s="23" t="str">
        <f>_xlfn.IFNA(VLOOKUP(A3672,A$3524:$H3673,8,0),"")</f>
        <v/>
      </c>
      <c r="J3672" s="40" t="str">
        <f t="shared" si="294"/>
        <v/>
      </c>
      <c r="K3672" s="24" t="str">
        <f t="shared" si="295"/>
        <v/>
      </c>
      <c r="L3672" s="25" t="str">
        <f t="shared" si="291"/>
        <v/>
      </c>
      <c r="O3672" s="33" t="str">
        <f t="shared" si="292"/>
        <v/>
      </c>
      <c r="P3672" s="33" t="str">
        <f t="shared" si="293"/>
        <v/>
      </c>
    </row>
    <row r="3673" spans="9:16">
      <c r="I3673" s="23" t="str">
        <f>_xlfn.IFNA(VLOOKUP(A3673,A$3524:$H3674,8,0),"")</f>
        <v/>
      </c>
      <c r="J3673" s="40" t="str">
        <f t="shared" si="294"/>
        <v/>
      </c>
      <c r="K3673" s="24" t="str">
        <f t="shared" si="295"/>
        <v/>
      </c>
      <c r="L3673" s="25" t="str">
        <f t="shared" si="291"/>
        <v/>
      </c>
      <c r="O3673" s="33" t="str">
        <f t="shared" si="292"/>
        <v/>
      </c>
      <c r="P3673" s="33" t="str">
        <f t="shared" si="293"/>
        <v/>
      </c>
    </row>
    <row r="3674" spans="9:16">
      <c r="I3674" s="23" t="str">
        <f>_xlfn.IFNA(VLOOKUP(A3674,A$3524:$H3675,8,0),"")</f>
        <v/>
      </c>
      <c r="J3674" s="40" t="str">
        <f t="shared" si="294"/>
        <v/>
      </c>
      <c r="K3674" s="24" t="str">
        <f t="shared" si="295"/>
        <v/>
      </c>
      <c r="L3674" s="25" t="str">
        <f t="shared" si="291"/>
        <v/>
      </c>
      <c r="O3674" s="33" t="str">
        <f t="shared" si="292"/>
        <v/>
      </c>
      <c r="P3674" s="33" t="str">
        <f t="shared" si="293"/>
        <v/>
      </c>
    </row>
    <row r="3675" spans="9:16">
      <c r="I3675" s="23" t="str">
        <f>_xlfn.IFNA(VLOOKUP(A3675,A$3524:$H3676,8,0),"")</f>
        <v/>
      </c>
      <c r="J3675" s="40" t="str">
        <f t="shared" si="294"/>
        <v/>
      </c>
      <c r="K3675" s="24" t="str">
        <f t="shared" si="295"/>
        <v/>
      </c>
      <c r="L3675" s="25" t="str">
        <f t="shared" si="291"/>
        <v/>
      </c>
      <c r="O3675" s="33" t="str">
        <f t="shared" si="292"/>
        <v/>
      </c>
      <c r="P3675" s="33" t="str">
        <f t="shared" si="293"/>
        <v/>
      </c>
    </row>
    <row r="3676" spans="9:16">
      <c r="I3676" s="23" t="str">
        <f>_xlfn.IFNA(VLOOKUP(A3676,A$3524:$H3677,8,0),"")</f>
        <v/>
      </c>
      <c r="J3676" s="40" t="str">
        <f t="shared" si="294"/>
        <v/>
      </c>
      <c r="K3676" s="24" t="str">
        <f t="shared" si="295"/>
        <v/>
      </c>
      <c r="L3676" s="25" t="str">
        <f t="shared" si="291"/>
        <v/>
      </c>
      <c r="O3676" s="33" t="str">
        <f t="shared" si="292"/>
        <v/>
      </c>
      <c r="P3676" s="33" t="str">
        <f t="shared" si="293"/>
        <v/>
      </c>
    </row>
    <row r="3677" spans="9:16">
      <c r="I3677" s="23" t="str">
        <f>_xlfn.IFNA(VLOOKUP(A3677,A$3524:$H3678,8,0),"")</f>
        <v/>
      </c>
      <c r="J3677" s="40" t="str">
        <f t="shared" si="294"/>
        <v/>
      </c>
      <c r="K3677" s="24" t="str">
        <f t="shared" si="295"/>
        <v/>
      </c>
      <c r="L3677" s="25" t="str">
        <f t="shared" si="291"/>
        <v/>
      </c>
      <c r="O3677" s="33" t="str">
        <f t="shared" si="292"/>
        <v/>
      </c>
      <c r="P3677" s="33" t="str">
        <f t="shared" si="293"/>
        <v/>
      </c>
    </row>
    <row r="3678" spans="9:16">
      <c r="I3678" s="23" t="str">
        <f>_xlfn.IFNA(VLOOKUP(A3678,A$3524:$H3679,8,0),"")</f>
        <v/>
      </c>
      <c r="J3678" s="40" t="str">
        <f t="shared" si="294"/>
        <v/>
      </c>
      <c r="K3678" s="24" t="str">
        <f t="shared" si="295"/>
        <v/>
      </c>
      <c r="L3678" s="25" t="str">
        <f t="shared" si="291"/>
        <v/>
      </c>
      <c r="O3678" s="33" t="str">
        <f t="shared" si="292"/>
        <v/>
      </c>
      <c r="P3678" s="33" t="str">
        <f t="shared" si="293"/>
        <v/>
      </c>
    </row>
    <row r="3679" spans="9:16">
      <c r="I3679" s="23" t="str">
        <f>_xlfn.IFNA(VLOOKUP(A3679,A$3524:$H3680,8,0),"")</f>
        <v/>
      </c>
      <c r="J3679" s="40" t="str">
        <f t="shared" si="294"/>
        <v/>
      </c>
      <c r="K3679" s="24" t="str">
        <f t="shared" si="295"/>
        <v/>
      </c>
      <c r="L3679" s="25" t="str">
        <f t="shared" si="291"/>
        <v/>
      </c>
      <c r="O3679" s="33" t="str">
        <f t="shared" si="292"/>
        <v/>
      </c>
      <c r="P3679" s="33" t="str">
        <f t="shared" si="293"/>
        <v/>
      </c>
    </row>
    <row r="3680" spans="9:16">
      <c r="I3680" s="23" t="str">
        <f>_xlfn.IFNA(VLOOKUP(A3680,A$3524:$H3681,8,0),"")</f>
        <v/>
      </c>
      <c r="J3680" s="40" t="str">
        <f t="shared" si="294"/>
        <v/>
      </c>
      <c r="K3680" s="24" t="str">
        <f t="shared" si="295"/>
        <v/>
      </c>
      <c r="L3680" s="25" t="str">
        <f t="shared" si="291"/>
        <v/>
      </c>
      <c r="O3680" s="33" t="str">
        <f t="shared" si="292"/>
        <v/>
      </c>
      <c r="P3680" s="33" t="str">
        <f t="shared" si="293"/>
        <v/>
      </c>
    </row>
    <row r="3681" spans="9:16">
      <c r="I3681" s="23" t="str">
        <f>_xlfn.IFNA(VLOOKUP(A3681,A$3524:$H3682,8,0),"")</f>
        <v/>
      </c>
      <c r="J3681" s="40" t="str">
        <f t="shared" si="294"/>
        <v/>
      </c>
      <c r="K3681" s="24" t="str">
        <f t="shared" si="295"/>
        <v/>
      </c>
      <c r="L3681" s="25" t="str">
        <f t="shared" si="291"/>
        <v/>
      </c>
      <c r="O3681" s="33" t="str">
        <f t="shared" si="292"/>
        <v/>
      </c>
      <c r="P3681" s="33" t="str">
        <f t="shared" si="293"/>
        <v/>
      </c>
    </row>
    <row r="3682" spans="9:16">
      <c r="I3682" s="23" t="str">
        <f>_xlfn.IFNA(VLOOKUP(A3682,A$3524:$H3683,8,0),"")</f>
        <v/>
      </c>
      <c r="J3682" s="40" t="str">
        <f t="shared" si="294"/>
        <v/>
      </c>
      <c r="K3682" s="24" t="str">
        <f t="shared" si="295"/>
        <v/>
      </c>
      <c r="L3682" s="25" t="str">
        <f t="shared" si="291"/>
        <v/>
      </c>
      <c r="O3682" s="33" t="str">
        <f t="shared" si="292"/>
        <v/>
      </c>
      <c r="P3682" s="33" t="str">
        <f t="shared" si="293"/>
        <v/>
      </c>
    </row>
    <row r="3683" spans="9:16">
      <c r="I3683" s="23" t="str">
        <f>_xlfn.IFNA(VLOOKUP(A3683,A$3524:$H3684,8,0),"")</f>
        <v/>
      </c>
      <c r="J3683" s="40" t="str">
        <f t="shared" si="294"/>
        <v/>
      </c>
      <c r="K3683" s="24" t="str">
        <f t="shared" si="295"/>
        <v/>
      </c>
      <c r="L3683" s="25" t="str">
        <f t="shared" si="291"/>
        <v/>
      </c>
      <c r="O3683" s="33" t="str">
        <f t="shared" si="292"/>
        <v/>
      </c>
      <c r="P3683" s="33" t="str">
        <f t="shared" si="293"/>
        <v/>
      </c>
    </row>
    <row r="3684" spans="9:16">
      <c r="I3684" s="23" t="str">
        <f>_xlfn.IFNA(VLOOKUP(A3684,A$3524:$H3685,8,0),"")</f>
        <v/>
      </c>
      <c r="J3684" s="40" t="str">
        <f t="shared" si="294"/>
        <v/>
      </c>
      <c r="K3684" s="24" t="str">
        <f t="shared" si="295"/>
        <v/>
      </c>
      <c r="L3684" s="25" t="str">
        <f t="shared" si="291"/>
        <v/>
      </c>
      <c r="O3684" s="33" t="str">
        <f t="shared" si="292"/>
        <v/>
      </c>
      <c r="P3684" s="33" t="str">
        <f t="shared" si="293"/>
        <v/>
      </c>
    </row>
    <row r="3685" spans="9:16">
      <c r="I3685" s="23" t="str">
        <f>_xlfn.IFNA(VLOOKUP(A3685,A$3524:$H3686,8,0),"")</f>
        <v/>
      </c>
      <c r="J3685" s="40" t="str">
        <f t="shared" si="294"/>
        <v/>
      </c>
      <c r="K3685" s="24" t="str">
        <f t="shared" si="295"/>
        <v/>
      </c>
      <c r="L3685" s="25" t="str">
        <f t="shared" si="291"/>
        <v/>
      </c>
      <c r="O3685" s="33" t="str">
        <f t="shared" si="292"/>
        <v/>
      </c>
      <c r="P3685" s="33" t="str">
        <f t="shared" si="293"/>
        <v/>
      </c>
    </row>
    <row r="3686" spans="9:16">
      <c r="I3686" s="23" t="str">
        <f>_xlfn.IFNA(VLOOKUP(A3686,A$3524:$H3687,8,0),"")</f>
        <v/>
      </c>
      <c r="J3686" s="40" t="str">
        <f t="shared" si="294"/>
        <v/>
      </c>
      <c r="K3686" s="24" t="str">
        <f t="shared" si="295"/>
        <v/>
      </c>
      <c r="L3686" s="25" t="str">
        <f t="shared" si="291"/>
        <v/>
      </c>
      <c r="O3686" s="33" t="str">
        <f t="shared" si="292"/>
        <v/>
      </c>
      <c r="P3686" s="33" t="str">
        <f t="shared" si="293"/>
        <v/>
      </c>
    </row>
    <row r="3687" spans="9:16">
      <c r="I3687" s="23" t="str">
        <f>_xlfn.IFNA(VLOOKUP(A3687,A$3524:$H3688,8,0),"")</f>
        <v/>
      </c>
      <c r="J3687" s="40" t="str">
        <f t="shared" si="294"/>
        <v/>
      </c>
      <c r="K3687" s="24" t="str">
        <f t="shared" si="295"/>
        <v/>
      </c>
      <c r="L3687" s="25" t="str">
        <f t="shared" si="291"/>
        <v/>
      </c>
      <c r="O3687" s="33" t="str">
        <f t="shared" si="292"/>
        <v/>
      </c>
      <c r="P3687" s="33" t="str">
        <f t="shared" si="293"/>
        <v/>
      </c>
    </row>
    <row r="3688" spans="9:16">
      <c r="I3688" s="23" t="str">
        <f>_xlfn.IFNA(VLOOKUP(A3688,A$3524:$H3689,8,0),"")</f>
        <v/>
      </c>
      <c r="J3688" s="40" t="str">
        <f t="shared" si="294"/>
        <v/>
      </c>
      <c r="K3688" s="24" t="str">
        <f t="shared" si="295"/>
        <v/>
      </c>
      <c r="L3688" s="25" t="str">
        <f t="shared" si="291"/>
        <v/>
      </c>
      <c r="O3688" s="33" t="str">
        <f t="shared" si="292"/>
        <v/>
      </c>
      <c r="P3688" s="33" t="str">
        <f t="shared" si="293"/>
        <v/>
      </c>
    </row>
    <row r="3689" spans="9:16">
      <c r="I3689" s="23" t="str">
        <f>_xlfn.IFNA(VLOOKUP(A3689,A$3524:$H3690,8,0),"")</f>
        <v/>
      </c>
      <c r="J3689" s="40" t="str">
        <f t="shared" si="294"/>
        <v/>
      </c>
      <c r="K3689" s="24" t="str">
        <f t="shared" si="295"/>
        <v/>
      </c>
      <c r="L3689" s="25" t="str">
        <f t="shared" si="291"/>
        <v/>
      </c>
      <c r="O3689" s="33" t="str">
        <f t="shared" si="292"/>
        <v/>
      </c>
      <c r="P3689" s="33" t="str">
        <f t="shared" si="293"/>
        <v/>
      </c>
    </row>
    <row r="3690" spans="9:16">
      <c r="I3690" s="23" t="str">
        <f>_xlfn.IFNA(VLOOKUP(A3690,A$3524:$H3691,8,0),"")</f>
        <v/>
      </c>
      <c r="J3690" s="40" t="str">
        <f t="shared" si="294"/>
        <v/>
      </c>
      <c r="K3690" s="24" t="str">
        <f t="shared" si="295"/>
        <v/>
      </c>
      <c r="L3690" s="25" t="str">
        <f t="shared" si="291"/>
        <v/>
      </c>
      <c r="O3690" s="33" t="str">
        <f t="shared" si="292"/>
        <v/>
      </c>
      <c r="P3690" s="33" t="str">
        <f t="shared" si="293"/>
        <v/>
      </c>
    </row>
    <row r="3691" spans="9:16">
      <c r="I3691" s="23" t="str">
        <f>_xlfn.IFNA(VLOOKUP(A3691,A$3524:$H3692,8,0),"")</f>
        <v/>
      </c>
      <c r="J3691" s="40" t="str">
        <f t="shared" si="294"/>
        <v/>
      </c>
      <c r="K3691" s="24" t="str">
        <f t="shared" si="295"/>
        <v/>
      </c>
      <c r="L3691" s="25" t="str">
        <f t="shared" si="291"/>
        <v/>
      </c>
      <c r="O3691" s="33" t="str">
        <f t="shared" si="292"/>
        <v/>
      </c>
      <c r="P3691" s="33" t="str">
        <f t="shared" si="293"/>
        <v/>
      </c>
    </row>
    <row r="3692" spans="9:16">
      <c r="I3692" s="23" t="str">
        <f>_xlfn.IFNA(VLOOKUP(A3692,A$3524:$H3693,8,0),"")</f>
        <v/>
      </c>
      <c r="J3692" s="40" t="str">
        <f t="shared" si="294"/>
        <v/>
      </c>
      <c r="K3692" s="24" t="str">
        <f t="shared" si="295"/>
        <v/>
      </c>
      <c r="L3692" s="25" t="str">
        <f t="shared" si="291"/>
        <v/>
      </c>
      <c r="O3692" s="33" t="str">
        <f t="shared" si="292"/>
        <v/>
      </c>
      <c r="P3692" s="33" t="str">
        <f t="shared" si="293"/>
        <v/>
      </c>
    </row>
    <row r="3693" spans="9:16">
      <c r="I3693" s="23" t="str">
        <f>_xlfn.IFNA(VLOOKUP(A3693,A$3524:$H3694,8,0),"")</f>
        <v/>
      </c>
      <c r="J3693" s="40" t="str">
        <f t="shared" si="294"/>
        <v/>
      </c>
      <c r="K3693" s="24" t="str">
        <f t="shared" si="295"/>
        <v/>
      </c>
      <c r="L3693" s="25" t="str">
        <f t="shared" si="291"/>
        <v/>
      </c>
      <c r="O3693" s="33" t="str">
        <f t="shared" si="292"/>
        <v/>
      </c>
      <c r="P3693" s="33" t="str">
        <f t="shared" si="293"/>
        <v/>
      </c>
    </row>
    <row r="3694" spans="9:16">
      <c r="I3694" s="23" t="str">
        <f>_xlfn.IFNA(VLOOKUP(A3694,A$3524:$H3695,8,0),"")</f>
        <v/>
      </c>
      <c r="J3694" s="40" t="str">
        <f t="shared" si="294"/>
        <v/>
      </c>
      <c r="K3694" s="24" t="str">
        <f t="shared" si="295"/>
        <v/>
      </c>
      <c r="L3694" s="25" t="str">
        <f t="shared" si="291"/>
        <v/>
      </c>
      <c r="O3694" s="33" t="str">
        <f t="shared" si="292"/>
        <v/>
      </c>
      <c r="P3694" s="33" t="str">
        <f t="shared" si="293"/>
        <v/>
      </c>
    </row>
    <row r="3695" spans="9:16">
      <c r="I3695" s="23" t="str">
        <f>_xlfn.IFNA(VLOOKUP(A3695,A$3524:$H3696,8,0),"")</f>
        <v/>
      </c>
      <c r="J3695" s="40" t="str">
        <f t="shared" si="294"/>
        <v/>
      </c>
      <c r="K3695" s="24" t="str">
        <f t="shared" si="295"/>
        <v/>
      </c>
      <c r="L3695" s="25" t="str">
        <f t="shared" si="291"/>
        <v/>
      </c>
      <c r="O3695" s="33" t="str">
        <f t="shared" si="292"/>
        <v/>
      </c>
      <c r="P3695" s="33" t="str">
        <f t="shared" si="293"/>
        <v/>
      </c>
    </row>
    <row r="3696" spans="9:16">
      <c r="I3696" s="23" t="str">
        <f>_xlfn.IFNA(VLOOKUP(A3696,A$3524:$H3697,8,0),"")</f>
        <v/>
      </c>
      <c r="J3696" s="40" t="str">
        <f t="shared" si="294"/>
        <v/>
      </c>
      <c r="K3696" s="24" t="str">
        <f t="shared" si="295"/>
        <v/>
      </c>
      <c r="L3696" s="25" t="str">
        <f t="shared" si="291"/>
        <v/>
      </c>
      <c r="O3696" s="33" t="str">
        <f t="shared" si="292"/>
        <v/>
      </c>
      <c r="P3696" s="33" t="str">
        <f t="shared" si="293"/>
        <v/>
      </c>
    </row>
    <row r="3697" spans="9:16">
      <c r="I3697" s="23" t="str">
        <f>_xlfn.IFNA(VLOOKUP(A3697,A$3524:$H3698,8,0),"")</f>
        <v/>
      </c>
      <c r="J3697" s="40" t="str">
        <f t="shared" si="294"/>
        <v/>
      </c>
      <c r="K3697" s="24" t="str">
        <f t="shared" si="295"/>
        <v/>
      </c>
      <c r="L3697" s="25" t="str">
        <f t="shared" si="291"/>
        <v/>
      </c>
      <c r="O3697" s="33" t="str">
        <f t="shared" si="292"/>
        <v/>
      </c>
      <c r="P3697" s="33" t="str">
        <f t="shared" si="293"/>
        <v/>
      </c>
    </row>
    <row r="3698" spans="9:16">
      <c r="I3698" s="23" t="str">
        <f>_xlfn.IFNA(VLOOKUP(A3698,A$3524:$H3699,8,0),"")</f>
        <v/>
      </c>
      <c r="J3698" s="40" t="str">
        <f t="shared" si="294"/>
        <v/>
      </c>
      <c r="K3698" s="24" t="str">
        <f t="shared" si="295"/>
        <v/>
      </c>
      <c r="L3698" s="25" t="str">
        <f t="shared" si="291"/>
        <v/>
      </c>
      <c r="O3698" s="33" t="str">
        <f t="shared" si="292"/>
        <v/>
      </c>
      <c r="P3698" s="33" t="str">
        <f t="shared" si="293"/>
        <v/>
      </c>
    </row>
    <row r="3699" spans="9:16">
      <c r="I3699" s="23" t="str">
        <f>_xlfn.IFNA(VLOOKUP(A3699,A$3524:$H3700,8,0),"")</f>
        <v/>
      </c>
      <c r="J3699" s="40" t="str">
        <f t="shared" si="294"/>
        <v/>
      </c>
      <c r="K3699" s="24" t="str">
        <f t="shared" si="295"/>
        <v/>
      </c>
      <c r="L3699" s="25" t="str">
        <f t="shared" si="291"/>
        <v/>
      </c>
      <c r="O3699" s="33" t="str">
        <f t="shared" si="292"/>
        <v/>
      </c>
      <c r="P3699" s="33" t="str">
        <f t="shared" si="293"/>
        <v/>
      </c>
    </row>
    <row r="3700" spans="9:16">
      <c r="I3700" s="23" t="str">
        <f>_xlfn.IFNA(VLOOKUP(A3700,A$3524:$H3701,8,0),"")</f>
        <v/>
      </c>
      <c r="J3700" s="40" t="str">
        <f t="shared" si="294"/>
        <v/>
      </c>
      <c r="K3700" s="24" t="str">
        <f t="shared" si="295"/>
        <v/>
      </c>
      <c r="L3700" s="25" t="str">
        <f t="shared" si="291"/>
        <v/>
      </c>
      <c r="O3700" s="33" t="str">
        <f t="shared" si="292"/>
        <v/>
      </c>
      <c r="P3700" s="33" t="str">
        <f t="shared" si="293"/>
        <v/>
      </c>
    </row>
    <row r="3701" spans="9:16">
      <c r="I3701" s="23" t="str">
        <f>_xlfn.IFNA(VLOOKUP(A3701,A$3524:$H3702,8,0),"")</f>
        <v/>
      </c>
      <c r="J3701" s="40" t="str">
        <f t="shared" si="294"/>
        <v/>
      </c>
      <c r="K3701" s="24" t="str">
        <f t="shared" si="295"/>
        <v/>
      </c>
      <c r="L3701" s="25" t="str">
        <f t="shared" si="291"/>
        <v/>
      </c>
      <c r="O3701" s="33" t="str">
        <f t="shared" si="292"/>
        <v/>
      </c>
      <c r="P3701" s="33" t="str">
        <f t="shared" si="293"/>
        <v/>
      </c>
    </row>
    <row r="3702" spans="9:16">
      <c r="I3702" s="23" t="str">
        <f>_xlfn.IFNA(VLOOKUP(A3702,A$3524:$H3703,8,0),"")</f>
        <v/>
      </c>
      <c r="J3702" s="40" t="str">
        <f t="shared" si="294"/>
        <v/>
      </c>
      <c r="K3702" s="24" t="str">
        <f t="shared" si="295"/>
        <v/>
      </c>
      <c r="L3702" s="25" t="str">
        <f t="shared" si="291"/>
        <v/>
      </c>
      <c r="O3702" s="33" t="str">
        <f t="shared" si="292"/>
        <v/>
      </c>
      <c r="P3702" s="33" t="str">
        <f t="shared" si="293"/>
        <v/>
      </c>
    </row>
    <row r="3703" spans="9:16">
      <c r="I3703" s="23" t="str">
        <f>_xlfn.IFNA(VLOOKUP(A3703,A$3524:$H3704,8,0),"")</f>
        <v/>
      </c>
      <c r="J3703" s="40" t="str">
        <f t="shared" si="294"/>
        <v/>
      </c>
      <c r="K3703" s="24" t="str">
        <f t="shared" si="295"/>
        <v/>
      </c>
      <c r="L3703" s="25" t="str">
        <f t="shared" ref="L3703:L3766" si="296">IF(K3703="","",IF(B3703="Break","Break",IF(K3703&lt;&gt;0,"Work Finished",IF(B3703="OFF","Work Finished",IF(I3703="","Working","Work Finished")))))</f>
        <v/>
      </c>
      <c r="O3703" s="33" t="str">
        <f t="shared" ref="O3703:O3766" si="297">IF(AND(J3703="",M3703="",N3703=""),"",J3703-M3703-N3703)</f>
        <v/>
      </c>
      <c r="P3703" s="33" t="str">
        <f t="shared" ref="P3703:P3766" si="298">IF(HOUR(H3703)=0,"",HOUR(H3703))</f>
        <v/>
      </c>
    </row>
    <row r="3704" spans="9:16">
      <c r="I3704" s="23" t="str">
        <f>_xlfn.IFNA(VLOOKUP(A3704,A$3524:$H3705,8,0),"")</f>
        <v/>
      </c>
      <c r="J3704" s="40" t="str">
        <f t="shared" si="294"/>
        <v/>
      </c>
      <c r="K3704" s="24" t="str">
        <f t="shared" si="295"/>
        <v/>
      </c>
      <c r="L3704" s="25" t="str">
        <f t="shared" si="296"/>
        <v/>
      </c>
      <c r="O3704" s="33" t="str">
        <f t="shared" si="297"/>
        <v/>
      </c>
      <c r="P3704" s="33" t="str">
        <f t="shared" si="298"/>
        <v/>
      </c>
    </row>
    <row r="3705" spans="9:16">
      <c r="I3705" s="23" t="str">
        <f>_xlfn.IFNA(VLOOKUP(A3705,A$3524:$H3706,8,0),"")</f>
        <v/>
      </c>
      <c r="J3705" s="40" t="str">
        <f t="shared" si="294"/>
        <v/>
      </c>
      <c r="K3705" s="24" t="str">
        <f t="shared" si="295"/>
        <v/>
      </c>
      <c r="L3705" s="25" t="str">
        <f t="shared" si="296"/>
        <v/>
      </c>
      <c r="O3705" s="33" t="str">
        <f t="shared" si="297"/>
        <v/>
      </c>
      <c r="P3705" s="33" t="str">
        <f t="shared" si="298"/>
        <v/>
      </c>
    </row>
    <row r="3706" spans="9:16">
      <c r="I3706" s="23" t="str">
        <f>_xlfn.IFNA(VLOOKUP(A3706,A$3524:$H3707,8,0),"")</f>
        <v/>
      </c>
      <c r="J3706" s="40" t="str">
        <f t="shared" si="294"/>
        <v/>
      </c>
      <c r="K3706" s="24" t="str">
        <f t="shared" si="295"/>
        <v/>
      </c>
      <c r="L3706" s="25" t="str">
        <f t="shared" si="296"/>
        <v/>
      </c>
      <c r="O3706" s="33" t="str">
        <f t="shared" si="297"/>
        <v/>
      </c>
      <c r="P3706" s="33" t="str">
        <f t="shared" si="298"/>
        <v/>
      </c>
    </row>
    <row r="3707" spans="9:16">
      <c r="I3707" s="23" t="str">
        <f>_xlfn.IFNA(VLOOKUP(A3707,A$3524:$H3708,8,0),"")</f>
        <v/>
      </c>
      <c r="J3707" s="40" t="str">
        <f t="shared" si="294"/>
        <v/>
      </c>
      <c r="K3707" s="24" t="str">
        <f t="shared" si="295"/>
        <v/>
      </c>
      <c r="L3707" s="25" t="str">
        <f t="shared" si="296"/>
        <v/>
      </c>
      <c r="O3707" s="33" t="str">
        <f t="shared" si="297"/>
        <v/>
      </c>
      <c r="P3707" s="33" t="str">
        <f t="shared" si="298"/>
        <v/>
      </c>
    </row>
    <row r="3708" spans="9:16">
      <c r="I3708" s="23" t="str">
        <f>_xlfn.IFNA(VLOOKUP(A3708,A$3524:$H3709,8,0),"")</f>
        <v/>
      </c>
      <c r="J3708" s="40" t="str">
        <f t="shared" si="294"/>
        <v/>
      </c>
      <c r="K3708" s="24" t="str">
        <f t="shared" si="295"/>
        <v/>
      </c>
      <c r="L3708" s="25" t="str">
        <f t="shared" si="296"/>
        <v/>
      </c>
      <c r="O3708" s="33" t="str">
        <f t="shared" si="297"/>
        <v/>
      </c>
      <c r="P3708" s="33" t="str">
        <f t="shared" si="298"/>
        <v/>
      </c>
    </row>
    <row r="3709" spans="9:16">
      <c r="I3709" s="23" t="str">
        <f>_xlfn.IFNA(VLOOKUP(A3709,A$3524:$H3710,8,0),"")</f>
        <v/>
      </c>
      <c r="J3709" s="40" t="str">
        <f t="shared" si="294"/>
        <v/>
      </c>
      <c r="K3709" s="24" t="str">
        <f t="shared" si="295"/>
        <v/>
      </c>
      <c r="L3709" s="25" t="str">
        <f t="shared" si="296"/>
        <v/>
      </c>
      <c r="O3709" s="33" t="str">
        <f t="shared" si="297"/>
        <v/>
      </c>
      <c r="P3709" s="33" t="str">
        <f t="shared" si="298"/>
        <v/>
      </c>
    </row>
    <row r="3710" spans="9:16">
      <c r="I3710" s="23" t="str">
        <f>_xlfn.IFNA(VLOOKUP(A3710,A$3524:$H3711,8,0),"")</f>
        <v/>
      </c>
      <c r="J3710" s="40" t="str">
        <f t="shared" si="294"/>
        <v/>
      </c>
      <c r="K3710" s="24" t="str">
        <f t="shared" si="295"/>
        <v/>
      </c>
      <c r="L3710" s="25" t="str">
        <f t="shared" si="296"/>
        <v/>
      </c>
      <c r="O3710" s="33" t="str">
        <f t="shared" si="297"/>
        <v/>
      </c>
      <c r="P3710" s="33" t="str">
        <f t="shared" si="298"/>
        <v/>
      </c>
    </row>
    <row r="3711" spans="9:16">
      <c r="I3711" s="23" t="str">
        <f>_xlfn.IFNA(VLOOKUP(A3711,A$3524:$H3712,8,0),"")</f>
        <v/>
      </c>
      <c r="J3711" s="40" t="str">
        <f t="shared" si="294"/>
        <v/>
      </c>
      <c r="K3711" s="24" t="str">
        <f t="shared" si="295"/>
        <v/>
      </c>
      <c r="L3711" s="25" t="str">
        <f t="shared" si="296"/>
        <v/>
      </c>
      <c r="O3711" s="33" t="str">
        <f t="shared" si="297"/>
        <v/>
      </c>
      <c r="P3711" s="33" t="str">
        <f t="shared" si="298"/>
        <v/>
      </c>
    </row>
    <row r="3712" spans="9:16">
      <c r="I3712" s="23" t="str">
        <f>_xlfn.IFNA(VLOOKUP(A3712,A$3524:$H3713,8,0),"")</f>
        <v/>
      </c>
      <c r="J3712" s="40" t="str">
        <f t="shared" si="294"/>
        <v/>
      </c>
      <c r="K3712" s="24" t="str">
        <f t="shared" si="295"/>
        <v/>
      </c>
      <c r="L3712" s="25" t="str">
        <f t="shared" si="296"/>
        <v/>
      </c>
      <c r="O3712" s="33" t="str">
        <f t="shared" si="297"/>
        <v/>
      </c>
      <c r="P3712" s="33" t="str">
        <f t="shared" si="298"/>
        <v/>
      </c>
    </row>
    <row r="3713" spans="9:16">
      <c r="I3713" s="23" t="str">
        <f>_xlfn.IFNA(VLOOKUP(A3713,A$3524:$H3714,8,0),"")</f>
        <v/>
      </c>
      <c r="J3713" s="40" t="str">
        <f t="shared" si="294"/>
        <v/>
      </c>
      <c r="K3713" s="24" t="str">
        <f t="shared" si="295"/>
        <v/>
      </c>
      <c r="L3713" s="25" t="str">
        <f t="shared" si="296"/>
        <v/>
      </c>
      <c r="O3713" s="33" t="str">
        <f t="shared" si="297"/>
        <v/>
      </c>
      <c r="P3713" s="33" t="str">
        <f t="shared" si="298"/>
        <v/>
      </c>
    </row>
    <row r="3714" spans="9:16">
      <c r="I3714" s="23" t="str">
        <f>_xlfn.IFNA(VLOOKUP(A3714,A$3524:$H3715,8,0),"")</f>
        <v/>
      </c>
      <c r="J3714" s="40" t="str">
        <f t="shared" si="294"/>
        <v/>
      </c>
      <c r="K3714" s="24" t="str">
        <f t="shared" si="295"/>
        <v/>
      </c>
      <c r="L3714" s="25" t="str">
        <f t="shared" si="296"/>
        <v/>
      </c>
      <c r="O3714" s="33" t="str">
        <f t="shared" si="297"/>
        <v/>
      </c>
      <c r="P3714" s="33" t="str">
        <f t="shared" si="298"/>
        <v/>
      </c>
    </row>
    <row r="3715" spans="9:16">
      <c r="I3715" s="23" t="str">
        <f>_xlfn.IFNA(VLOOKUP(A3715,A$3524:$H3716,8,0),"")</f>
        <v/>
      </c>
      <c r="J3715" s="40" t="str">
        <f t="shared" si="294"/>
        <v/>
      </c>
      <c r="K3715" s="24" t="str">
        <f t="shared" si="295"/>
        <v/>
      </c>
      <c r="L3715" s="25" t="str">
        <f t="shared" si="296"/>
        <v/>
      </c>
      <c r="O3715" s="33" t="str">
        <f t="shared" si="297"/>
        <v/>
      </c>
      <c r="P3715" s="33" t="str">
        <f t="shared" si="298"/>
        <v/>
      </c>
    </row>
    <row r="3716" spans="9:16">
      <c r="I3716" s="23" t="str">
        <f>_xlfn.IFNA(VLOOKUP(A3716,A$3524:$H3717,8,0),"")</f>
        <v/>
      </c>
      <c r="J3716" s="40" t="str">
        <f t="shared" si="294"/>
        <v/>
      </c>
      <c r="K3716" s="24" t="str">
        <f t="shared" si="295"/>
        <v/>
      </c>
      <c r="L3716" s="25" t="str">
        <f t="shared" si="296"/>
        <v/>
      </c>
      <c r="O3716" s="33" t="str">
        <f t="shared" si="297"/>
        <v/>
      </c>
      <c r="P3716" s="33" t="str">
        <f t="shared" si="298"/>
        <v/>
      </c>
    </row>
    <row r="3717" spans="9:16">
      <c r="I3717" s="23" t="str">
        <f>_xlfn.IFNA(VLOOKUP(A3717,A$3524:$H3718,8,0),"")</f>
        <v/>
      </c>
      <c r="J3717" s="40" t="str">
        <f t="shared" si="294"/>
        <v/>
      </c>
      <c r="K3717" s="24" t="str">
        <f t="shared" si="295"/>
        <v/>
      </c>
      <c r="L3717" s="25" t="str">
        <f t="shared" si="296"/>
        <v/>
      </c>
      <c r="O3717" s="33" t="str">
        <f t="shared" si="297"/>
        <v/>
      </c>
      <c r="P3717" s="33" t="str">
        <f t="shared" si="298"/>
        <v/>
      </c>
    </row>
    <row r="3718" spans="9:16">
      <c r="I3718" s="23" t="str">
        <f>_xlfn.IFNA(VLOOKUP(A3718,A$3524:$H3719,8,0),"")</f>
        <v/>
      </c>
      <c r="J3718" s="40" t="str">
        <f t="shared" ref="J3718:J3781" si="299">IF(B3718="OFF",0,IF(AND(D3718&lt;&gt;"",E3718&lt;&gt;""),E3718-D3718+1,""))</f>
        <v/>
      </c>
      <c r="K3718" s="24" t="str">
        <f t="shared" si="295"/>
        <v/>
      </c>
      <c r="L3718" s="25" t="str">
        <f t="shared" si="296"/>
        <v/>
      </c>
      <c r="O3718" s="33" t="str">
        <f t="shared" si="297"/>
        <v/>
      </c>
      <c r="P3718" s="33" t="str">
        <f t="shared" si="298"/>
        <v/>
      </c>
    </row>
    <row r="3719" spans="9:16">
      <c r="I3719" s="23" t="str">
        <f>_xlfn.IFNA(VLOOKUP(A3719,A$3524:$H3720,8,0),"")</f>
        <v/>
      </c>
      <c r="J3719" s="40" t="str">
        <f t="shared" si="299"/>
        <v/>
      </c>
      <c r="K3719" s="24" t="str">
        <f t="shared" si="295"/>
        <v/>
      </c>
      <c r="L3719" s="25" t="str">
        <f t="shared" si="296"/>
        <v/>
      </c>
      <c r="O3719" s="33" t="str">
        <f t="shared" si="297"/>
        <v/>
      </c>
      <c r="P3719" s="33" t="str">
        <f t="shared" si="298"/>
        <v/>
      </c>
    </row>
    <row r="3720" spans="9:16">
      <c r="I3720" s="23" t="str">
        <f>_xlfn.IFNA(VLOOKUP(A3720,A$3524:$H3721,8,0),"")</f>
        <v/>
      </c>
      <c r="J3720" s="40" t="str">
        <f t="shared" si="299"/>
        <v/>
      </c>
      <c r="K3720" s="24" t="str">
        <f t="shared" si="295"/>
        <v/>
      </c>
      <c r="L3720" s="25" t="str">
        <f t="shared" si="296"/>
        <v/>
      </c>
      <c r="O3720" s="33" t="str">
        <f t="shared" si="297"/>
        <v/>
      </c>
      <c r="P3720" s="33" t="str">
        <f t="shared" si="298"/>
        <v/>
      </c>
    </row>
    <row r="3721" spans="9:16">
      <c r="I3721" s="23" t="str">
        <f>_xlfn.IFNA(VLOOKUP(A3721,A$3524:$H3722,8,0),"")</f>
        <v/>
      </c>
      <c r="J3721" s="40" t="str">
        <f t="shared" si="299"/>
        <v/>
      </c>
      <c r="K3721" s="24" t="str">
        <f t="shared" si="295"/>
        <v/>
      </c>
      <c r="L3721" s="25" t="str">
        <f t="shared" si="296"/>
        <v/>
      </c>
      <c r="O3721" s="33" t="str">
        <f t="shared" si="297"/>
        <v/>
      </c>
      <c r="P3721" s="33" t="str">
        <f t="shared" si="298"/>
        <v/>
      </c>
    </row>
    <row r="3722" spans="9:16">
      <c r="I3722" s="23" t="str">
        <f>_xlfn.IFNA(VLOOKUP(A3722,A$3524:$H3723,8,0),"")</f>
        <v/>
      </c>
      <c r="J3722" s="40" t="str">
        <f t="shared" si="299"/>
        <v/>
      </c>
      <c r="K3722" s="24" t="str">
        <f t="shared" si="295"/>
        <v/>
      </c>
      <c r="L3722" s="25" t="str">
        <f t="shared" si="296"/>
        <v/>
      </c>
      <c r="O3722" s="33" t="str">
        <f t="shared" si="297"/>
        <v/>
      </c>
      <c r="P3722" s="33" t="str">
        <f t="shared" si="298"/>
        <v/>
      </c>
    </row>
    <row r="3723" spans="9:16">
      <c r="I3723" s="23" t="str">
        <f>_xlfn.IFNA(VLOOKUP(A3723,A$3524:$H3724,8,0),"")</f>
        <v/>
      </c>
      <c r="J3723" s="40" t="str">
        <f t="shared" si="299"/>
        <v/>
      </c>
      <c r="K3723" s="24" t="str">
        <f t="shared" si="295"/>
        <v/>
      </c>
      <c r="L3723" s="25" t="str">
        <f t="shared" si="296"/>
        <v/>
      </c>
      <c r="O3723" s="33" t="str">
        <f t="shared" si="297"/>
        <v/>
      </c>
      <c r="P3723" s="33" t="str">
        <f t="shared" si="298"/>
        <v/>
      </c>
    </row>
    <row r="3724" spans="9:16">
      <c r="I3724" s="23" t="str">
        <f>_xlfn.IFNA(VLOOKUP(A3724,A$3524:$H3725,8,0),"")</f>
        <v/>
      </c>
      <c r="J3724" s="40" t="str">
        <f t="shared" si="299"/>
        <v/>
      </c>
      <c r="K3724" s="24" t="str">
        <f t="shared" si="295"/>
        <v/>
      </c>
      <c r="L3724" s="25" t="str">
        <f t="shared" si="296"/>
        <v/>
      </c>
      <c r="O3724" s="33" t="str">
        <f t="shared" si="297"/>
        <v/>
      </c>
      <c r="P3724" s="33" t="str">
        <f t="shared" si="298"/>
        <v/>
      </c>
    </row>
    <row r="3725" spans="9:16">
      <c r="I3725" s="23" t="str">
        <f>_xlfn.IFNA(VLOOKUP(A3725,A$3524:$H3726,8,0),"")</f>
        <v/>
      </c>
      <c r="J3725" s="40" t="str">
        <f t="shared" si="299"/>
        <v/>
      </c>
      <c r="K3725" s="24" t="str">
        <f t="shared" si="295"/>
        <v/>
      </c>
      <c r="L3725" s="25" t="str">
        <f t="shared" si="296"/>
        <v/>
      </c>
      <c r="O3725" s="33" t="str">
        <f t="shared" si="297"/>
        <v/>
      </c>
      <c r="P3725" s="33" t="str">
        <f t="shared" si="298"/>
        <v/>
      </c>
    </row>
    <row r="3726" spans="9:16">
      <c r="I3726" s="23" t="str">
        <f>_xlfn.IFNA(VLOOKUP(A3726,A$3524:$H3727,8,0),"")</f>
        <v/>
      </c>
      <c r="J3726" s="40" t="str">
        <f t="shared" si="299"/>
        <v/>
      </c>
      <c r="K3726" s="24" t="str">
        <f t="shared" si="295"/>
        <v/>
      </c>
      <c r="L3726" s="25" t="str">
        <f t="shared" si="296"/>
        <v/>
      </c>
      <c r="O3726" s="33" t="str">
        <f t="shared" si="297"/>
        <v/>
      </c>
      <c r="P3726" s="33" t="str">
        <f t="shared" si="298"/>
        <v/>
      </c>
    </row>
    <row r="3727" spans="9:16">
      <c r="I3727" s="23" t="str">
        <f>_xlfn.IFNA(VLOOKUP(A3727,A$3524:$H3728,8,0),"")</f>
        <v/>
      </c>
      <c r="J3727" s="40" t="str">
        <f t="shared" si="299"/>
        <v/>
      </c>
      <c r="K3727" s="24" t="str">
        <f t="shared" si="295"/>
        <v/>
      </c>
      <c r="L3727" s="25" t="str">
        <f t="shared" si="296"/>
        <v/>
      </c>
      <c r="O3727" s="33" t="str">
        <f t="shared" si="297"/>
        <v/>
      </c>
      <c r="P3727" s="33" t="str">
        <f t="shared" si="298"/>
        <v/>
      </c>
    </row>
    <row r="3728" spans="9:16">
      <c r="I3728" s="23" t="str">
        <f>_xlfn.IFNA(VLOOKUP(A3728,A$3524:$H3729,8,0),"")</f>
        <v/>
      </c>
      <c r="J3728" s="40" t="str">
        <f t="shared" si="299"/>
        <v/>
      </c>
      <c r="K3728" s="24" t="str">
        <f t="shared" si="295"/>
        <v/>
      </c>
      <c r="L3728" s="25" t="str">
        <f t="shared" si="296"/>
        <v/>
      </c>
      <c r="O3728" s="33" t="str">
        <f t="shared" si="297"/>
        <v/>
      </c>
      <c r="P3728" s="33" t="str">
        <f t="shared" si="298"/>
        <v/>
      </c>
    </row>
    <row r="3729" spans="9:16">
      <c r="I3729" s="23" t="str">
        <f>_xlfn.IFNA(VLOOKUP(A3729,A$3524:$H3730,8,0),"")</f>
        <v/>
      </c>
      <c r="J3729" s="40" t="str">
        <f t="shared" si="299"/>
        <v/>
      </c>
      <c r="K3729" s="24" t="str">
        <f t="shared" si="295"/>
        <v/>
      </c>
      <c r="L3729" s="25" t="str">
        <f t="shared" si="296"/>
        <v/>
      </c>
      <c r="O3729" s="33" t="str">
        <f t="shared" si="297"/>
        <v/>
      </c>
      <c r="P3729" s="33" t="str">
        <f t="shared" si="298"/>
        <v/>
      </c>
    </row>
    <row r="3730" spans="9:16">
      <c r="I3730" s="23" t="str">
        <f>_xlfn.IFNA(VLOOKUP(A3730,A$3524:$H3731,8,0),"")</f>
        <v/>
      </c>
      <c r="J3730" s="40" t="str">
        <f t="shared" si="299"/>
        <v/>
      </c>
      <c r="K3730" s="24" t="str">
        <f t="shared" si="295"/>
        <v/>
      </c>
      <c r="L3730" s="25" t="str">
        <f t="shared" si="296"/>
        <v/>
      </c>
      <c r="O3730" s="33" t="str">
        <f t="shared" si="297"/>
        <v/>
      </c>
      <c r="P3730" s="33" t="str">
        <f t="shared" si="298"/>
        <v/>
      </c>
    </row>
    <row r="3731" spans="9:16">
      <c r="I3731" s="23" t="str">
        <f>_xlfn.IFNA(VLOOKUP(A3731,A$3524:$H3732,8,0),"")</f>
        <v/>
      </c>
      <c r="J3731" s="40" t="str">
        <f t="shared" si="299"/>
        <v/>
      </c>
      <c r="K3731" s="24" t="str">
        <f t="shared" si="295"/>
        <v/>
      </c>
      <c r="L3731" s="25" t="str">
        <f t="shared" si="296"/>
        <v/>
      </c>
      <c r="O3731" s="33" t="str">
        <f t="shared" si="297"/>
        <v/>
      </c>
      <c r="P3731" s="33" t="str">
        <f t="shared" si="298"/>
        <v/>
      </c>
    </row>
    <row r="3732" spans="9:16">
      <c r="I3732" s="23" t="str">
        <f>_xlfn.IFNA(VLOOKUP(A3732,A$3524:$H3733,8,0),"")</f>
        <v/>
      </c>
      <c r="J3732" s="40" t="str">
        <f t="shared" si="299"/>
        <v/>
      </c>
      <c r="K3732" s="24" t="str">
        <f t="shared" si="295"/>
        <v/>
      </c>
      <c r="L3732" s="25" t="str">
        <f t="shared" si="296"/>
        <v/>
      </c>
      <c r="O3732" s="33" t="str">
        <f t="shared" si="297"/>
        <v/>
      </c>
      <c r="P3732" s="33" t="str">
        <f t="shared" si="298"/>
        <v/>
      </c>
    </row>
    <row r="3733" spans="9:16">
      <c r="I3733" s="23" t="str">
        <f>_xlfn.IFNA(VLOOKUP(A3733,A$3524:$H3734,8,0),"")</f>
        <v/>
      </c>
      <c r="J3733" s="40" t="str">
        <f t="shared" si="299"/>
        <v/>
      </c>
      <c r="K3733" s="24" t="str">
        <f t="shared" si="295"/>
        <v/>
      </c>
      <c r="L3733" s="25" t="str">
        <f t="shared" si="296"/>
        <v/>
      </c>
      <c r="O3733" s="33" t="str">
        <f t="shared" si="297"/>
        <v/>
      </c>
      <c r="P3733" s="33" t="str">
        <f t="shared" si="298"/>
        <v/>
      </c>
    </row>
    <row r="3734" spans="9:16">
      <c r="I3734" s="23" t="str">
        <f>_xlfn.IFNA(VLOOKUP(A3734,A$3524:$H3735,8,0),"")</f>
        <v/>
      </c>
      <c r="J3734" s="40" t="str">
        <f t="shared" si="299"/>
        <v/>
      </c>
      <c r="K3734" s="24" t="str">
        <f t="shared" ref="K3734:K3797" si="300">IF(H3734="","",IFERROR((I3734-H3734)*24,0))</f>
        <v/>
      </c>
      <c r="L3734" s="25" t="str">
        <f t="shared" si="296"/>
        <v/>
      </c>
      <c r="O3734" s="33" t="str">
        <f t="shared" si="297"/>
        <v/>
      </c>
      <c r="P3734" s="33" t="str">
        <f t="shared" si="298"/>
        <v/>
      </c>
    </row>
    <row r="3735" spans="9:16">
      <c r="I3735" s="23" t="str">
        <f>_xlfn.IFNA(VLOOKUP(A3735,A$3524:$H3736,8,0),"")</f>
        <v/>
      </c>
      <c r="J3735" s="40" t="str">
        <f t="shared" si="299"/>
        <v/>
      </c>
      <c r="K3735" s="24" t="str">
        <f t="shared" si="300"/>
        <v/>
      </c>
      <c r="L3735" s="25" t="str">
        <f t="shared" si="296"/>
        <v/>
      </c>
      <c r="O3735" s="33" t="str">
        <f t="shared" si="297"/>
        <v/>
      </c>
      <c r="P3735" s="33" t="str">
        <f t="shared" si="298"/>
        <v/>
      </c>
    </row>
    <row r="3736" spans="9:16">
      <c r="I3736" s="23" t="str">
        <f>_xlfn.IFNA(VLOOKUP(A3736,A$3524:$H3737,8,0),"")</f>
        <v/>
      </c>
      <c r="J3736" s="40" t="str">
        <f t="shared" si="299"/>
        <v/>
      </c>
      <c r="K3736" s="24" t="str">
        <f t="shared" si="300"/>
        <v/>
      </c>
      <c r="L3736" s="25" t="str">
        <f t="shared" si="296"/>
        <v/>
      </c>
      <c r="O3736" s="33" t="str">
        <f t="shared" si="297"/>
        <v/>
      </c>
      <c r="P3736" s="33" t="str">
        <f t="shared" si="298"/>
        <v/>
      </c>
    </row>
    <row r="3737" spans="9:16">
      <c r="I3737" s="23" t="str">
        <f>_xlfn.IFNA(VLOOKUP(A3737,A$3524:$H3738,8,0),"")</f>
        <v/>
      </c>
      <c r="J3737" s="40" t="str">
        <f t="shared" si="299"/>
        <v/>
      </c>
      <c r="K3737" s="24" t="str">
        <f t="shared" si="300"/>
        <v/>
      </c>
      <c r="L3737" s="25" t="str">
        <f t="shared" si="296"/>
        <v/>
      </c>
      <c r="O3737" s="33" t="str">
        <f t="shared" si="297"/>
        <v/>
      </c>
      <c r="P3737" s="33" t="str">
        <f t="shared" si="298"/>
        <v/>
      </c>
    </row>
    <row r="3738" spans="9:16">
      <c r="I3738" s="23" t="str">
        <f>_xlfn.IFNA(VLOOKUP(A3738,A$3524:$H3739,8,0),"")</f>
        <v/>
      </c>
      <c r="J3738" s="40" t="str">
        <f t="shared" si="299"/>
        <v/>
      </c>
      <c r="K3738" s="24" t="str">
        <f t="shared" si="300"/>
        <v/>
      </c>
      <c r="L3738" s="25" t="str">
        <f t="shared" si="296"/>
        <v/>
      </c>
      <c r="O3738" s="33" t="str">
        <f t="shared" si="297"/>
        <v/>
      </c>
      <c r="P3738" s="33" t="str">
        <f t="shared" si="298"/>
        <v/>
      </c>
    </row>
    <row r="3739" spans="9:16">
      <c r="I3739" s="23" t="str">
        <f>_xlfn.IFNA(VLOOKUP(A3739,A$3524:$H3740,8,0),"")</f>
        <v/>
      </c>
      <c r="J3739" s="40" t="str">
        <f t="shared" si="299"/>
        <v/>
      </c>
      <c r="K3739" s="24" t="str">
        <f t="shared" si="300"/>
        <v/>
      </c>
      <c r="L3739" s="25" t="str">
        <f t="shared" si="296"/>
        <v/>
      </c>
      <c r="O3739" s="33" t="str">
        <f t="shared" si="297"/>
        <v/>
      </c>
      <c r="P3739" s="33" t="str">
        <f t="shared" si="298"/>
        <v/>
      </c>
    </row>
    <row r="3740" spans="9:16">
      <c r="I3740" s="23" t="str">
        <f>_xlfn.IFNA(VLOOKUP(A3740,A$3524:$H3741,8,0),"")</f>
        <v/>
      </c>
      <c r="J3740" s="40" t="str">
        <f t="shared" si="299"/>
        <v/>
      </c>
      <c r="K3740" s="24" t="str">
        <f t="shared" si="300"/>
        <v/>
      </c>
      <c r="L3740" s="25" t="str">
        <f t="shared" si="296"/>
        <v/>
      </c>
      <c r="O3740" s="33" t="str">
        <f t="shared" si="297"/>
        <v/>
      </c>
      <c r="P3740" s="33" t="str">
        <f t="shared" si="298"/>
        <v/>
      </c>
    </row>
    <row r="3741" spans="9:16">
      <c r="I3741" s="23" t="str">
        <f>_xlfn.IFNA(VLOOKUP(A3741,A$3524:$H3742,8,0),"")</f>
        <v/>
      </c>
      <c r="J3741" s="40" t="str">
        <f t="shared" si="299"/>
        <v/>
      </c>
      <c r="K3741" s="24" t="str">
        <f t="shared" si="300"/>
        <v/>
      </c>
      <c r="L3741" s="25" t="str">
        <f t="shared" si="296"/>
        <v/>
      </c>
      <c r="O3741" s="33" t="str">
        <f t="shared" si="297"/>
        <v/>
      </c>
      <c r="P3741" s="33" t="str">
        <f t="shared" si="298"/>
        <v/>
      </c>
    </row>
    <row r="3742" spans="9:16">
      <c r="I3742" s="23" t="str">
        <f>_xlfn.IFNA(VLOOKUP(A3742,A$3524:$H3743,8,0),"")</f>
        <v/>
      </c>
      <c r="J3742" s="40" t="str">
        <f t="shared" si="299"/>
        <v/>
      </c>
      <c r="K3742" s="24" t="str">
        <f t="shared" si="300"/>
        <v/>
      </c>
      <c r="L3742" s="25" t="str">
        <f t="shared" si="296"/>
        <v/>
      </c>
      <c r="O3742" s="33" t="str">
        <f t="shared" si="297"/>
        <v/>
      </c>
      <c r="P3742" s="33" t="str">
        <f t="shared" si="298"/>
        <v/>
      </c>
    </row>
    <row r="3743" spans="9:16">
      <c r="I3743" s="23" t="str">
        <f>_xlfn.IFNA(VLOOKUP(A3743,A$3524:$H3744,8,0),"")</f>
        <v/>
      </c>
      <c r="J3743" s="40" t="str">
        <f t="shared" si="299"/>
        <v/>
      </c>
      <c r="K3743" s="24" t="str">
        <f t="shared" si="300"/>
        <v/>
      </c>
      <c r="L3743" s="25" t="str">
        <f t="shared" si="296"/>
        <v/>
      </c>
      <c r="O3743" s="33" t="str">
        <f t="shared" si="297"/>
        <v/>
      </c>
      <c r="P3743" s="33" t="str">
        <f t="shared" si="298"/>
        <v/>
      </c>
    </row>
    <row r="3744" spans="9:16">
      <c r="I3744" s="23" t="str">
        <f>_xlfn.IFNA(VLOOKUP(A3744,A$3524:$H3745,8,0),"")</f>
        <v/>
      </c>
      <c r="J3744" s="40" t="str">
        <f t="shared" si="299"/>
        <v/>
      </c>
      <c r="K3744" s="24" t="str">
        <f t="shared" si="300"/>
        <v/>
      </c>
      <c r="L3744" s="25" t="str">
        <f t="shared" si="296"/>
        <v/>
      </c>
      <c r="O3744" s="33" t="str">
        <f t="shared" si="297"/>
        <v/>
      </c>
      <c r="P3744" s="33" t="str">
        <f t="shared" si="298"/>
        <v/>
      </c>
    </row>
    <row r="3745" spans="9:16">
      <c r="I3745" s="23" t="str">
        <f>_xlfn.IFNA(VLOOKUP(A3745,A$3524:$H3746,8,0),"")</f>
        <v/>
      </c>
      <c r="J3745" s="40" t="str">
        <f t="shared" si="299"/>
        <v/>
      </c>
      <c r="K3745" s="24" t="str">
        <f t="shared" si="300"/>
        <v/>
      </c>
      <c r="L3745" s="25" t="str">
        <f t="shared" si="296"/>
        <v/>
      </c>
      <c r="O3745" s="33" t="str">
        <f t="shared" si="297"/>
        <v/>
      </c>
      <c r="P3745" s="33" t="str">
        <f t="shared" si="298"/>
        <v/>
      </c>
    </row>
    <row r="3746" spans="9:16">
      <c r="I3746" s="23" t="str">
        <f>_xlfn.IFNA(VLOOKUP(A3746,A$3524:$H3747,8,0),"")</f>
        <v/>
      </c>
      <c r="J3746" s="40" t="str">
        <f t="shared" si="299"/>
        <v/>
      </c>
      <c r="K3746" s="24" t="str">
        <f t="shared" si="300"/>
        <v/>
      </c>
      <c r="L3746" s="25" t="str">
        <f t="shared" si="296"/>
        <v/>
      </c>
      <c r="O3746" s="33" t="str">
        <f t="shared" si="297"/>
        <v/>
      </c>
      <c r="P3746" s="33" t="str">
        <f t="shared" si="298"/>
        <v/>
      </c>
    </row>
    <row r="3747" spans="9:16">
      <c r="I3747" s="23" t="str">
        <f>_xlfn.IFNA(VLOOKUP(A3747,A$3524:$H3748,8,0),"")</f>
        <v/>
      </c>
      <c r="J3747" s="40" t="str">
        <f t="shared" si="299"/>
        <v/>
      </c>
      <c r="K3747" s="24" t="str">
        <f t="shared" si="300"/>
        <v/>
      </c>
      <c r="L3747" s="25" t="str">
        <f t="shared" si="296"/>
        <v/>
      </c>
      <c r="O3747" s="33" t="str">
        <f t="shared" si="297"/>
        <v/>
      </c>
      <c r="P3747" s="33" t="str">
        <f t="shared" si="298"/>
        <v/>
      </c>
    </row>
    <row r="3748" spans="9:16">
      <c r="I3748" s="23" t="str">
        <f>_xlfn.IFNA(VLOOKUP(A3748,A$3524:$H3749,8,0),"")</f>
        <v/>
      </c>
      <c r="J3748" s="40" t="str">
        <f t="shared" si="299"/>
        <v/>
      </c>
      <c r="K3748" s="24" t="str">
        <f t="shared" si="300"/>
        <v/>
      </c>
      <c r="L3748" s="25" t="str">
        <f t="shared" si="296"/>
        <v/>
      </c>
      <c r="O3748" s="33" t="str">
        <f t="shared" si="297"/>
        <v/>
      </c>
      <c r="P3748" s="33" t="str">
        <f t="shared" si="298"/>
        <v/>
      </c>
    </row>
    <row r="3749" spans="9:16">
      <c r="I3749" s="23" t="str">
        <f>_xlfn.IFNA(VLOOKUP(A3749,A$3524:$H3750,8,0),"")</f>
        <v/>
      </c>
      <c r="J3749" s="40" t="str">
        <f t="shared" si="299"/>
        <v/>
      </c>
      <c r="K3749" s="24" t="str">
        <f t="shared" si="300"/>
        <v/>
      </c>
      <c r="L3749" s="25" t="str">
        <f t="shared" si="296"/>
        <v/>
      </c>
      <c r="O3749" s="33" t="str">
        <f t="shared" si="297"/>
        <v/>
      </c>
      <c r="P3749" s="33" t="str">
        <f t="shared" si="298"/>
        <v/>
      </c>
    </row>
    <row r="3750" spans="9:16">
      <c r="I3750" s="23" t="str">
        <f>_xlfn.IFNA(VLOOKUP(A3750,A$3524:$H3751,8,0),"")</f>
        <v/>
      </c>
      <c r="J3750" s="40" t="str">
        <f t="shared" si="299"/>
        <v/>
      </c>
      <c r="K3750" s="24" t="str">
        <f t="shared" si="300"/>
        <v/>
      </c>
      <c r="L3750" s="25" t="str">
        <f t="shared" si="296"/>
        <v/>
      </c>
      <c r="O3750" s="33" t="str">
        <f t="shared" si="297"/>
        <v/>
      </c>
      <c r="P3750" s="33" t="str">
        <f t="shared" si="298"/>
        <v/>
      </c>
    </row>
    <row r="3751" spans="9:16">
      <c r="I3751" s="23" t="str">
        <f>_xlfn.IFNA(VLOOKUP(A3751,A$3524:$H3752,8,0),"")</f>
        <v/>
      </c>
      <c r="J3751" s="40" t="str">
        <f t="shared" si="299"/>
        <v/>
      </c>
      <c r="K3751" s="24" t="str">
        <f t="shared" si="300"/>
        <v/>
      </c>
      <c r="L3751" s="25" t="str">
        <f t="shared" si="296"/>
        <v/>
      </c>
      <c r="O3751" s="33" t="str">
        <f t="shared" si="297"/>
        <v/>
      </c>
      <c r="P3751" s="33" t="str">
        <f t="shared" si="298"/>
        <v/>
      </c>
    </row>
    <row r="3752" spans="9:16">
      <c r="I3752" s="23" t="str">
        <f>_xlfn.IFNA(VLOOKUP(A3752,A$3524:$H3753,8,0),"")</f>
        <v/>
      </c>
      <c r="J3752" s="40" t="str">
        <f t="shared" si="299"/>
        <v/>
      </c>
      <c r="K3752" s="24" t="str">
        <f t="shared" si="300"/>
        <v/>
      </c>
      <c r="L3752" s="25" t="str">
        <f t="shared" si="296"/>
        <v/>
      </c>
      <c r="O3752" s="33" t="str">
        <f t="shared" si="297"/>
        <v/>
      </c>
      <c r="P3752" s="33" t="str">
        <f t="shared" si="298"/>
        <v/>
      </c>
    </row>
    <row r="3753" spans="9:16">
      <c r="I3753" s="23" t="str">
        <f>_xlfn.IFNA(VLOOKUP(A3753,A$3524:$H3754,8,0),"")</f>
        <v/>
      </c>
      <c r="J3753" s="40" t="str">
        <f t="shared" si="299"/>
        <v/>
      </c>
      <c r="K3753" s="24" t="str">
        <f t="shared" si="300"/>
        <v/>
      </c>
      <c r="L3753" s="25" t="str">
        <f t="shared" si="296"/>
        <v/>
      </c>
      <c r="O3753" s="33" t="str">
        <f t="shared" si="297"/>
        <v/>
      </c>
      <c r="P3753" s="33" t="str">
        <f t="shared" si="298"/>
        <v/>
      </c>
    </row>
    <row r="3754" spans="9:16">
      <c r="I3754" s="23" t="str">
        <f>_xlfn.IFNA(VLOOKUP(A3754,A$3524:$H3755,8,0),"")</f>
        <v/>
      </c>
      <c r="J3754" s="40" t="str">
        <f t="shared" si="299"/>
        <v/>
      </c>
      <c r="K3754" s="24" t="str">
        <f t="shared" si="300"/>
        <v/>
      </c>
      <c r="L3754" s="25" t="str">
        <f t="shared" si="296"/>
        <v/>
      </c>
      <c r="O3754" s="33" t="str">
        <f t="shared" si="297"/>
        <v/>
      </c>
      <c r="P3754" s="33" t="str">
        <f t="shared" si="298"/>
        <v/>
      </c>
    </row>
    <row r="3755" spans="9:16">
      <c r="I3755" s="23" t="str">
        <f>_xlfn.IFNA(VLOOKUP(A3755,A$3524:$H3756,8,0),"")</f>
        <v/>
      </c>
      <c r="J3755" s="40" t="str">
        <f t="shared" si="299"/>
        <v/>
      </c>
      <c r="K3755" s="24" t="str">
        <f t="shared" si="300"/>
        <v/>
      </c>
      <c r="L3755" s="25" t="str">
        <f t="shared" si="296"/>
        <v/>
      </c>
      <c r="O3755" s="33" t="str">
        <f t="shared" si="297"/>
        <v/>
      </c>
      <c r="P3755" s="33" t="str">
        <f t="shared" si="298"/>
        <v/>
      </c>
    </row>
    <row r="3756" spans="9:16">
      <c r="I3756" s="23" t="str">
        <f>_xlfn.IFNA(VLOOKUP(A3756,A$3524:$H3757,8,0),"")</f>
        <v/>
      </c>
      <c r="J3756" s="40" t="str">
        <f t="shared" si="299"/>
        <v/>
      </c>
      <c r="K3756" s="24" t="str">
        <f t="shared" si="300"/>
        <v/>
      </c>
      <c r="L3756" s="25" t="str">
        <f t="shared" si="296"/>
        <v/>
      </c>
      <c r="O3756" s="33" t="str">
        <f t="shared" si="297"/>
        <v/>
      </c>
      <c r="P3756" s="33" t="str">
        <f t="shared" si="298"/>
        <v/>
      </c>
    </row>
    <row r="3757" spans="9:16">
      <c r="I3757" s="23" t="str">
        <f>_xlfn.IFNA(VLOOKUP(A3757,A$3524:$H3758,8,0),"")</f>
        <v/>
      </c>
      <c r="J3757" s="40" t="str">
        <f t="shared" si="299"/>
        <v/>
      </c>
      <c r="K3757" s="24" t="str">
        <f t="shared" si="300"/>
        <v/>
      </c>
      <c r="L3757" s="25" t="str">
        <f t="shared" si="296"/>
        <v/>
      </c>
      <c r="O3757" s="33" t="str">
        <f t="shared" si="297"/>
        <v/>
      </c>
      <c r="P3757" s="33" t="str">
        <f t="shared" si="298"/>
        <v/>
      </c>
    </row>
    <row r="3758" spans="9:16">
      <c r="I3758" s="23" t="str">
        <f>_xlfn.IFNA(VLOOKUP(A3758,A$3524:$H3759,8,0),"")</f>
        <v/>
      </c>
      <c r="J3758" s="40" t="str">
        <f t="shared" si="299"/>
        <v/>
      </c>
      <c r="K3758" s="24" t="str">
        <f t="shared" si="300"/>
        <v/>
      </c>
      <c r="L3758" s="25" t="str">
        <f t="shared" si="296"/>
        <v/>
      </c>
      <c r="O3758" s="33" t="str">
        <f t="shared" si="297"/>
        <v/>
      </c>
      <c r="P3758" s="33" t="str">
        <f t="shared" si="298"/>
        <v/>
      </c>
    </row>
    <row r="3759" spans="9:16">
      <c r="I3759" s="23" t="str">
        <f>_xlfn.IFNA(VLOOKUP(A3759,A$3524:$H3760,8,0),"")</f>
        <v/>
      </c>
      <c r="J3759" s="40" t="str">
        <f t="shared" si="299"/>
        <v/>
      </c>
      <c r="K3759" s="24" t="str">
        <f t="shared" si="300"/>
        <v/>
      </c>
      <c r="L3759" s="25" t="str">
        <f t="shared" si="296"/>
        <v/>
      </c>
      <c r="O3759" s="33" t="str">
        <f t="shared" si="297"/>
        <v/>
      </c>
      <c r="P3759" s="33" t="str">
        <f t="shared" si="298"/>
        <v/>
      </c>
    </row>
    <row r="3760" spans="9:16">
      <c r="I3760" s="23" t="str">
        <f>_xlfn.IFNA(VLOOKUP(A3760,A$3524:$H3761,8,0),"")</f>
        <v/>
      </c>
      <c r="J3760" s="40" t="str">
        <f t="shared" si="299"/>
        <v/>
      </c>
      <c r="K3760" s="24" t="str">
        <f t="shared" si="300"/>
        <v/>
      </c>
      <c r="L3760" s="25" t="str">
        <f t="shared" si="296"/>
        <v/>
      </c>
      <c r="O3760" s="33" t="str">
        <f t="shared" si="297"/>
        <v/>
      </c>
      <c r="P3760" s="33" t="str">
        <f t="shared" si="298"/>
        <v/>
      </c>
    </row>
    <row r="3761" spans="9:16">
      <c r="I3761" s="23" t="str">
        <f>_xlfn.IFNA(VLOOKUP(A3761,A$3524:$H3762,8,0),"")</f>
        <v/>
      </c>
      <c r="J3761" s="40" t="str">
        <f t="shared" si="299"/>
        <v/>
      </c>
      <c r="K3761" s="24" t="str">
        <f t="shared" si="300"/>
        <v/>
      </c>
      <c r="L3761" s="25" t="str">
        <f t="shared" si="296"/>
        <v/>
      </c>
      <c r="O3761" s="33" t="str">
        <f t="shared" si="297"/>
        <v/>
      </c>
      <c r="P3761" s="33" t="str">
        <f t="shared" si="298"/>
        <v/>
      </c>
    </row>
    <row r="3762" spans="9:16">
      <c r="I3762" s="23" t="str">
        <f>_xlfn.IFNA(VLOOKUP(A3762,A$3524:$H3763,8,0),"")</f>
        <v/>
      </c>
      <c r="J3762" s="40" t="str">
        <f t="shared" si="299"/>
        <v/>
      </c>
      <c r="K3762" s="24" t="str">
        <f t="shared" si="300"/>
        <v/>
      </c>
      <c r="L3762" s="25" t="str">
        <f t="shared" si="296"/>
        <v/>
      </c>
      <c r="O3762" s="33" t="str">
        <f t="shared" si="297"/>
        <v/>
      </c>
      <c r="P3762" s="33" t="str">
        <f t="shared" si="298"/>
        <v/>
      </c>
    </row>
    <row r="3763" spans="9:16">
      <c r="I3763" s="23" t="str">
        <f>_xlfn.IFNA(VLOOKUP(A3763,A$3524:$H3764,8,0),"")</f>
        <v/>
      </c>
      <c r="J3763" s="40" t="str">
        <f t="shared" si="299"/>
        <v/>
      </c>
      <c r="K3763" s="24" t="str">
        <f t="shared" si="300"/>
        <v/>
      </c>
      <c r="L3763" s="25" t="str">
        <f t="shared" si="296"/>
        <v/>
      </c>
      <c r="O3763" s="33" t="str">
        <f t="shared" si="297"/>
        <v/>
      </c>
      <c r="P3763" s="33" t="str">
        <f t="shared" si="298"/>
        <v/>
      </c>
    </row>
    <row r="3764" spans="9:16">
      <c r="I3764" s="23" t="str">
        <f>_xlfn.IFNA(VLOOKUP(A3764,A$3524:$H3765,8,0),"")</f>
        <v/>
      </c>
      <c r="J3764" s="40" t="str">
        <f t="shared" si="299"/>
        <v/>
      </c>
      <c r="K3764" s="24" t="str">
        <f t="shared" si="300"/>
        <v/>
      </c>
      <c r="L3764" s="25" t="str">
        <f t="shared" si="296"/>
        <v/>
      </c>
      <c r="O3764" s="33" t="str">
        <f t="shared" si="297"/>
        <v/>
      </c>
      <c r="P3764" s="33" t="str">
        <f t="shared" si="298"/>
        <v/>
      </c>
    </row>
    <row r="3765" spans="9:16">
      <c r="I3765" s="23" t="str">
        <f>_xlfn.IFNA(VLOOKUP(A3765,A$3524:$H3766,8,0),"")</f>
        <v/>
      </c>
      <c r="J3765" s="40" t="str">
        <f t="shared" si="299"/>
        <v/>
      </c>
      <c r="K3765" s="24" t="str">
        <f t="shared" si="300"/>
        <v/>
      </c>
      <c r="L3765" s="25" t="str">
        <f t="shared" si="296"/>
        <v/>
      </c>
      <c r="O3765" s="33" t="str">
        <f t="shared" si="297"/>
        <v/>
      </c>
      <c r="P3765" s="33" t="str">
        <f t="shared" si="298"/>
        <v/>
      </c>
    </row>
    <row r="3766" spans="9:16">
      <c r="I3766" s="23" t="str">
        <f>_xlfn.IFNA(VLOOKUP(A3766,A$3524:$H3767,8,0),"")</f>
        <v/>
      </c>
      <c r="J3766" s="40" t="str">
        <f t="shared" si="299"/>
        <v/>
      </c>
      <c r="K3766" s="24" t="str">
        <f t="shared" si="300"/>
        <v/>
      </c>
      <c r="L3766" s="25" t="str">
        <f t="shared" si="296"/>
        <v/>
      </c>
      <c r="O3766" s="33" t="str">
        <f t="shared" si="297"/>
        <v/>
      </c>
      <c r="P3766" s="33" t="str">
        <f t="shared" si="298"/>
        <v/>
      </c>
    </row>
    <row r="3767" spans="9:16">
      <c r="I3767" s="23" t="str">
        <f>_xlfn.IFNA(VLOOKUP(A3767,A$3524:$H3768,8,0),"")</f>
        <v/>
      </c>
      <c r="J3767" s="40" t="str">
        <f t="shared" si="299"/>
        <v/>
      </c>
      <c r="K3767" s="24" t="str">
        <f t="shared" si="300"/>
        <v/>
      </c>
      <c r="L3767" s="25" t="str">
        <f t="shared" ref="L3767:L3830" si="301">IF(K3767="","",IF(B3767="Break","Break",IF(K3767&lt;&gt;0,"Work Finished",IF(B3767="OFF","Work Finished",IF(I3767="","Working","Work Finished")))))</f>
        <v/>
      </c>
      <c r="O3767" s="33" t="str">
        <f t="shared" ref="O3767:O3830" si="302">IF(AND(J3767="",M3767="",N3767=""),"",J3767-M3767-N3767)</f>
        <v/>
      </c>
      <c r="P3767" s="33" t="str">
        <f t="shared" ref="P3767:P3830" si="303">IF(HOUR(H3767)=0,"",HOUR(H3767))</f>
        <v/>
      </c>
    </row>
    <row r="3768" spans="9:16">
      <c r="I3768" s="23" t="str">
        <f>_xlfn.IFNA(VLOOKUP(A3768,A$3524:$H3769,8,0),"")</f>
        <v/>
      </c>
      <c r="J3768" s="40" t="str">
        <f t="shared" si="299"/>
        <v/>
      </c>
      <c r="K3768" s="24" t="str">
        <f t="shared" si="300"/>
        <v/>
      </c>
      <c r="L3768" s="25" t="str">
        <f t="shared" si="301"/>
        <v/>
      </c>
      <c r="O3768" s="33" t="str">
        <f t="shared" si="302"/>
        <v/>
      </c>
      <c r="P3768" s="33" t="str">
        <f t="shared" si="303"/>
        <v/>
      </c>
    </row>
    <row r="3769" spans="9:16">
      <c r="I3769" s="23" t="str">
        <f>_xlfn.IFNA(VLOOKUP(A3769,A$3524:$H3770,8,0),"")</f>
        <v/>
      </c>
      <c r="J3769" s="40" t="str">
        <f t="shared" si="299"/>
        <v/>
      </c>
      <c r="K3769" s="24" t="str">
        <f t="shared" si="300"/>
        <v/>
      </c>
      <c r="L3769" s="25" t="str">
        <f t="shared" si="301"/>
        <v/>
      </c>
      <c r="O3769" s="33" t="str">
        <f t="shared" si="302"/>
        <v/>
      </c>
      <c r="P3769" s="33" t="str">
        <f t="shared" si="303"/>
        <v/>
      </c>
    </row>
    <row r="3770" spans="9:16">
      <c r="I3770" s="23" t="str">
        <f>_xlfn.IFNA(VLOOKUP(A3770,A$3524:$H3771,8,0),"")</f>
        <v/>
      </c>
      <c r="J3770" s="40" t="str">
        <f t="shared" si="299"/>
        <v/>
      </c>
      <c r="K3770" s="24" t="str">
        <f t="shared" si="300"/>
        <v/>
      </c>
      <c r="L3770" s="25" t="str">
        <f t="shared" si="301"/>
        <v/>
      </c>
      <c r="O3770" s="33" t="str">
        <f t="shared" si="302"/>
        <v/>
      </c>
      <c r="P3770" s="33" t="str">
        <f t="shared" si="303"/>
        <v/>
      </c>
    </row>
    <row r="3771" spans="9:16">
      <c r="I3771" s="23" t="str">
        <f>_xlfn.IFNA(VLOOKUP(A3771,A$3524:$H3772,8,0),"")</f>
        <v/>
      </c>
      <c r="J3771" s="40" t="str">
        <f t="shared" si="299"/>
        <v/>
      </c>
      <c r="K3771" s="24" t="str">
        <f t="shared" si="300"/>
        <v/>
      </c>
      <c r="L3771" s="25" t="str">
        <f t="shared" si="301"/>
        <v/>
      </c>
      <c r="O3771" s="33" t="str">
        <f t="shared" si="302"/>
        <v/>
      </c>
      <c r="P3771" s="33" t="str">
        <f t="shared" si="303"/>
        <v/>
      </c>
    </row>
    <row r="3772" spans="9:16">
      <c r="I3772" s="23" t="str">
        <f>_xlfn.IFNA(VLOOKUP(A3772,A$3524:$H3773,8,0),"")</f>
        <v/>
      </c>
      <c r="J3772" s="40" t="str">
        <f t="shared" si="299"/>
        <v/>
      </c>
      <c r="K3772" s="24" t="str">
        <f t="shared" si="300"/>
        <v/>
      </c>
      <c r="L3772" s="25" t="str">
        <f t="shared" si="301"/>
        <v/>
      </c>
      <c r="O3772" s="33" t="str">
        <f t="shared" si="302"/>
        <v/>
      </c>
      <c r="P3772" s="33" t="str">
        <f t="shared" si="303"/>
        <v/>
      </c>
    </row>
    <row r="3773" spans="9:16">
      <c r="I3773" s="23" t="str">
        <f>_xlfn.IFNA(VLOOKUP(A3773,A$3524:$H3774,8,0),"")</f>
        <v/>
      </c>
      <c r="J3773" s="40" t="str">
        <f t="shared" si="299"/>
        <v/>
      </c>
      <c r="K3773" s="24" t="str">
        <f t="shared" si="300"/>
        <v/>
      </c>
      <c r="L3773" s="25" t="str">
        <f t="shared" si="301"/>
        <v/>
      </c>
      <c r="O3773" s="33" t="str">
        <f t="shared" si="302"/>
        <v/>
      </c>
      <c r="P3773" s="33" t="str">
        <f t="shared" si="303"/>
        <v/>
      </c>
    </row>
    <row r="3774" spans="9:16">
      <c r="I3774" s="23" t="str">
        <f>_xlfn.IFNA(VLOOKUP(A3774,A$3524:$H3775,8,0),"")</f>
        <v/>
      </c>
      <c r="J3774" s="40" t="str">
        <f t="shared" si="299"/>
        <v/>
      </c>
      <c r="K3774" s="24" t="str">
        <f t="shared" si="300"/>
        <v/>
      </c>
      <c r="L3774" s="25" t="str">
        <f t="shared" si="301"/>
        <v/>
      </c>
      <c r="O3774" s="33" t="str">
        <f t="shared" si="302"/>
        <v/>
      </c>
      <c r="P3774" s="33" t="str">
        <f t="shared" si="303"/>
        <v/>
      </c>
    </row>
    <row r="3775" spans="9:16">
      <c r="I3775" s="23" t="str">
        <f>_xlfn.IFNA(VLOOKUP(A3775,A$3524:$H3776,8,0),"")</f>
        <v/>
      </c>
      <c r="J3775" s="40" t="str">
        <f t="shared" si="299"/>
        <v/>
      </c>
      <c r="K3775" s="24" t="str">
        <f t="shared" si="300"/>
        <v/>
      </c>
      <c r="L3775" s="25" t="str">
        <f t="shared" si="301"/>
        <v/>
      </c>
      <c r="O3775" s="33" t="str">
        <f t="shared" si="302"/>
        <v/>
      </c>
      <c r="P3775" s="33" t="str">
        <f t="shared" si="303"/>
        <v/>
      </c>
    </row>
    <row r="3776" spans="9:16">
      <c r="I3776" s="23" t="str">
        <f>_xlfn.IFNA(VLOOKUP(A3776,A$3524:$H3777,8,0),"")</f>
        <v/>
      </c>
      <c r="J3776" s="40" t="str">
        <f t="shared" si="299"/>
        <v/>
      </c>
      <c r="K3776" s="24" t="str">
        <f t="shared" si="300"/>
        <v/>
      </c>
      <c r="L3776" s="25" t="str">
        <f t="shared" si="301"/>
        <v/>
      </c>
      <c r="O3776" s="33" t="str">
        <f t="shared" si="302"/>
        <v/>
      </c>
      <c r="P3776" s="33" t="str">
        <f t="shared" si="303"/>
        <v/>
      </c>
    </row>
    <row r="3777" spans="9:16">
      <c r="I3777" s="23" t="str">
        <f>_xlfn.IFNA(VLOOKUP(A3777,A$3524:$H3778,8,0),"")</f>
        <v/>
      </c>
      <c r="J3777" s="40" t="str">
        <f t="shared" si="299"/>
        <v/>
      </c>
      <c r="K3777" s="24" t="str">
        <f t="shared" si="300"/>
        <v/>
      </c>
      <c r="L3777" s="25" t="str">
        <f t="shared" si="301"/>
        <v/>
      </c>
      <c r="O3777" s="33" t="str">
        <f t="shared" si="302"/>
        <v/>
      </c>
      <c r="P3777" s="33" t="str">
        <f t="shared" si="303"/>
        <v/>
      </c>
    </row>
    <row r="3778" spans="9:16">
      <c r="I3778" s="23" t="str">
        <f>_xlfn.IFNA(VLOOKUP(A3778,A$3524:$H3779,8,0),"")</f>
        <v/>
      </c>
      <c r="J3778" s="40" t="str">
        <f t="shared" si="299"/>
        <v/>
      </c>
      <c r="K3778" s="24" t="str">
        <f t="shared" si="300"/>
        <v/>
      </c>
      <c r="L3778" s="25" t="str">
        <f t="shared" si="301"/>
        <v/>
      </c>
      <c r="O3778" s="33" t="str">
        <f t="shared" si="302"/>
        <v/>
      </c>
      <c r="P3778" s="33" t="str">
        <f t="shared" si="303"/>
        <v/>
      </c>
    </row>
    <row r="3779" spans="9:16">
      <c r="I3779" s="23" t="str">
        <f>_xlfn.IFNA(VLOOKUP(A3779,A$3524:$H3780,8,0),"")</f>
        <v/>
      </c>
      <c r="J3779" s="40" t="str">
        <f t="shared" si="299"/>
        <v/>
      </c>
      <c r="K3779" s="24" t="str">
        <f t="shared" si="300"/>
        <v/>
      </c>
      <c r="L3779" s="25" t="str">
        <f t="shared" si="301"/>
        <v/>
      </c>
      <c r="O3779" s="33" t="str">
        <f t="shared" si="302"/>
        <v/>
      </c>
      <c r="P3779" s="33" t="str">
        <f t="shared" si="303"/>
        <v/>
      </c>
    </row>
    <row r="3780" spans="9:16">
      <c r="I3780" s="23" t="str">
        <f>_xlfn.IFNA(VLOOKUP(A3780,A$3524:$H3781,8,0),"")</f>
        <v/>
      </c>
      <c r="J3780" s="40" t="str">
        <f t="shared" si="299"/>
        <v/>
      </c>
      <c r="K3780" s="24" t="str">
        <f t="shared" si="300"/>
        <v/>
      </c>
      <c r="L3780" s="25" t="str">
        <f t="shared" si="301"/>
        <v/>
      </c>
      <c r="O3780" s="33" t="str">
        <f t="shared" si="302"/>
        <v/>
      </c>
      <c r="P3780" s="33" t="str">
        <f t="shared" si="303"/>
        <v/>
      </c>
    </row>
    <row r="3781" spans="9:16">
      <c r="I3781" s="23" t="str">
        <f>_xlfn.IFNA(VLOOKUP(A3781,A$3524:$H3782,8,0),"")</f>
        <v/>
      </c>
      <c r="J3781" s="40" t="str">
        <f t="shared" si="299"/>
        <v/>
      </c>
      <c r="K3781" s="24" t="str">
        <f t="shared" si="300"/>
        <v/>
      </c>
      <c r="L3781" s="25" t="str">
        <f t="shared" si="301"/>
        <v/>
      </c>
      <c r="O3781" s="33" t="str">
        <f t="shared" si="302"/>
        <v/>
      </c>
      <c r="P3781" s="33" t="str">
        <f t="shared" si="303"/>
        <v/>
      </c>
    </row>
    <row r="3782" spans="9:16">
      <c r="I3782" s="23" t="str">
        <f>_xlfn.IFNA(VLOOKUP(A3782,A$3524:$H3783,8,0),"")</f>
        <v/>
      </c>
      <c r="J3782" s="40" t="str">
        <f t="shared" ref="J3782:J3845" si="304">IF(B3782="OFF",0,IF(AND(D3782&lt;&gt;"",E3782&lt;&gt;""),E3782-D3782+1,""))</f>
        <v/>
      </c>
      <c r="K3782" s="24" t="str">
        <f t="shared" si="300"/>
        <v/>
      </c>
      <c r="L3782" s="25" t="str">
        <f t="shared" si="301"/>
        <v/>
      </c>
      <c r="O3782" s="33" t="str">
        <f t="shared" si="302"/>
        <v/>
      </c>
      <c r="P3782" s="33" t="str">
        <f t="shared" si="303"/>
        <v/>
      </c>
    </row>
    <row r="3783" spans="9:16">
      <c r="I3783" s="23" t="str">
        <f>_xlfn.IFNA(VLOOKUP(A3783,A$3524:$H3784,8,0),"")</f>
        <v/>
      </c>
      <c r="J3783" s="40" t="str">
        <f t="shared" si="304"/>
        <v/>
      </c>
      <c r="K3783" s="24" t="str">
        <f t="shared" si="300"/>
        <v/>
      </c>
      <c r="L3783" s="25" t="str">
        <f t="shared" si="301"/>
        <v/>
      </c>
      <c r="O3783" s="33" t="str">
        <f t="shared" si="302"/>
        <v/>
      </c>
      <c r="P3783" s="33" t="str">
        <f t="shared" si="303"/>
        <v/>
      </c>
    </row>
    <row r="3784" spans="9:16">
      <c r="I3784" s="23" t="str">
        <f>_xlfn.IFNA(VLOOKUP(A3784,A$3524:$H3785,8,0),"")</f>
        <v/>
      </c>
      <c r="J3784" s="40" t="str">
        <f t="shared" si="304"/>
        <v/>
      </c>
      <c r="K3784" s="24" t="str">
        <f t="shared" si="300"/>
        <v/>
      </c>
      <c r="L3784" s="25" t="str">
        <f t="shared" si="301"/>
        <v/>
      </c>
      <c r="O3784" s="33" t="str">
        <f t="shared" si="302"/>
        <v/>
      </c>
      <c r="P3784" s="33" t="str">
        <f t="shared" si="303"/>
        <v/>
      </c>
    </row>
    <row r="3785" spans="9:16">
      <c r="I3785" s="23" t="str">
        <f>_xlfn.IFNA(VLOOKUP(A3785,A$3524:$H3786,8,0),"")</f>
        <v/>
      </c>
      <c r="J3785" s="40" t="str">
        <f t="shared" si="304"/>
        <v/>
      </c>
      <c r="K3785" s="24" t="str">
        <f t="shared" si="300"/>
        <v/>
      </c>
      <c r="L3785" s="25" t="str">
        <f t="shared" si="301"/>
        <v/>
      </c>
      <c r="O3785" s="33" t="str">
        <f t="shared" si="302"/>
        <v/>
      </c>
      <c r="P3785" s="33" t="str">
        <f t="shared" si="303"/>
        <v/>
      </c>
    </row>
    <row r="3786" spans="9:16">
      <c r="I3786" s="23" t="str">
        <f>_xlfn.IFNA(VLOOKUP(A3786,A$3524:$H3787,8,0),"")</f>
        <v/>
      </c>
      <c r="J3786" s="40" t="str">
        <f t="shared" si="304"/>
        <v/>
      </c>
      <c r="K3786" s="24" t="str">
        <f t="shared" si="300"/>
        <v/>
      </c>
      <c r="L3786" s="25" t="str">
        <f t="shared" si="301"/>
        <v/>
      </c>
      <c r="O3786" s="33" t="str">
        <f t="shared" si="302"/>
        <v/>
      </c>
      <c r="P3786" s="33" t="str">
        <f t="shared" si="303"/>
        <v/>
      </c>
    </row>
    <row r="3787" spans="9:16">
      <c r="I3787" s="23" t="str">
        <f>_xlfn.IFNA(VLOOKUP(A3787,A$3524:$H3788,8,0),"")</f>
        <v/>
      </c>
      <c r="J3787" s="40" t="str">
        <f t="shared" si="304"/>
        <v/>
      </c>
      <c r="K3787" s="24" t="str">
        <f t="shared" si="300"/>
        <v/>
      </c>
      <c r="L3787" s="25" t="str">
        <f t="shared" si="301"/>
        <v/>
      </c>
      <c r="O3787" s="33" t="str">
        <f t="shared" si="302"/>
        <v/>
      </c>
      <c r="P3787" s="33" t="str">
        <f t="shared" si="303"/>
        <v/>
      </c>
    </row>
    <row r="3788" spans="9:16">
      <c r="I3788" s="23" t="str">
        <f>_xlfn.IFNA(VLOOKUP(A3788,A$3524:$H3789,8,0),"")</f>
        <v/>
      </c>
      <c r="J3788" s="40" t="str">
        <f t="shared" si="304"/>
        <v/>
      </c>
      <c r="K3788" s="24" t="str">
        <f t="shared" si="300"/>
        <v/>
      </c>
      <c r="L3788" s="25" t="str">
        <f t="shared" si="301"/>
        <v/>
      </c>
      <c r="O3788" s="33" t="str">
        <f t="shared" si="302"/>
        <v/>
      </c>
      <c r="P3788" s="33" t="str">
        <f t="shared" si="303"/>
        <v/>
      </c>
    </row>
    <row r="3789" spans="9:16">
      <c r="I3789" s="23" t="str">
        <f>_xlfn.IFNA(VLOOKUP(A3789,A$3524:$H3790,8,0),"")</f>
        <v/>
      </c>
      <c r="J3789" s="40" t="str">
        <f t="shared" si="304"/>
        <v/>
      </c>
      <c r="K3789" s="24" t="str">
        <f t="shared" si="300"/>
        <v/>
      </c>
      <c r="L3789" s="25" t="str">
        <f t="shared" si="301"/>
        <v/>
      </c>
      <c r="O3789" s="33" t="str">
        <f t="shared" si="302"/>
        <v/>
      </c>
      <c r="P3789" s="33" t="str">
        <f t="shared" si="303"/>
        <v/>
      </c>
    </row>
    <row r="3790" spans="9:16">
      <c r="I3790" s="23" t="str">
        <f>_xlfn.IFNA(VLOOKUP(A3790,A$3524:$H3791,8,0),"")</f>
        <v/>
      </c>
      <c r="J3790" s="40" t="str">
        <f t="shared" si="304"/>
        <v/>
      </c>
      <c r="K3790" s="24" t="str">
        <f t="shared" si="300"/>
        <v/>
      </c>
      <c r="L3790" s="25" t="str">
        <f t="shared" si="301"/>
        <v/>
      </c>
      <c r="O3790" s="33" t="str">
        <f t="shared" si="302"/>
        <v/>
      </c>
      <c r="P3790" s="33" t="str">
        <f t="shared" si="303"/>
        <v/>
      </c>
    </row>
    <row r="3791" spans="9:16">
      <c r="I3791" s="23" t="str">
        <f>_xlfn.IFNA(VLOOKUP(A3791,A$3524:$H3792,8,0),"")</f>
        <v/>
      </c>
      <c r="J3791" s="40" t="str">
        <f t="shared" si="304"/>
        <v/>
      </c>
      <c r="K3791" s="24" t="str">
        <f t="shared" si="300"/>
        <v/>
      </c>
      <c r="L3791" s="25" t="str">
        <f t="shared" si="301"/>
        <v/>
      </c>
      <c r="O3791" s="33" t="str">
        <f t="shared" si="302"/>
        <v/>
      </c>
      <c r="P3791" s="33" t="str">
        <f t="shared" si="303"/>
        <v/>
      </c>
    </row>
    <row r="3792" spans="9:16">
      <c r="I3792" s="23" t="str">
        <f>_xlfn.IFNA(VLOOKUP(A3792,A$3524:$H3793,8,0),"")</f>
        <v/>
      </c>
      <c r="J3792" s="40" t="str">
        <f t="shared" si="304"/>
        <v/>
      </c>
      <c r="K3792" s="24" t="str">
        <f t="shared" si="300"/>
        <v/>
      </c>
      <c r="L3792" s="25" t="str">
        <f t="shared" si="301"/>
        <v/>
      </c>
      <c r="O3792" s="33" t="str">
        <f t="shared" si="302"/>
        <v/>
      </c>
      <c r="P3792" s="33" t="str">
        <f t="shared" si="303"/>
        <v/>
      </c>
    </row>
    <row r="3793" spans="9:16">
      <c r="I3793" s="23" t="str">
        <f>_xlfn.IFNA(VLOOKUP(A3793,A$3524:$H3794,8,0),"")</f>
        <v/>
      </c>
      <c r="J3793" s="40" t="str">
        <f t="shared" si="304"/>
        <v/>
      </c>
      <c r="K3793" s="24" t="str">
        <f t="shared" si="300"/>
        <v/>
      </c>
      <c r="L3793" s="25" t="str">
        <f t="shared" si="301"/>
        <v/>
      </c>
      <c r="O3793" s="33" t="str">
        <f t="shared" si="302"/>
        <v/>
      </c>
      <c r="P3793" s="33" t="str">
        <f t="shared" si="303"/>
        <v/>
      </c>
    </row>
    <row r="3794" spans="9:16">
      <c r="I3794" s="23" t="str">
        <f>_xlfn.IFNA(VLOOKUP(A3794,A$3524:$H3795,8,0),"")</f>
        <v/>
      </c>
      <c r="J3794" s="40" t="str">
        <f t="shared" si="304"/>
        <v/>
      </c>
      <c r="K3794" s="24" t="str">
        <f t="shared" si="300"/>
        <v/>
      </c>
      <c r="L3794" s="25" t="str">
        <f t="shared" si="301"/>
        <v/>
      </c>
      <c r="O3794" s="33" t="str">
        <f t="shared" si="302"/>
        <v/>
      </c>
      <c r="P3794" s="33" t="str">
        <f t="shared" si="303"/>
        <v/>
      </c>
    </row>
    <row r="3795" spans="9:16">
      <c r="I3795" s="23" t="str">
        <f>_xlfn.IFNA(VLOOKUP(A3795,A$3524:$H3796,8,0),"")</f>
        <v/>
      </c>
      <c r="J3795" s="40" t="str">
        <f t="shared" si="304"/>
        <v/>
      </c>
      <c r="K3795" s="24" t="str">
        <f t="shared" si="300"/>
        <v/>
      </c>
      <c r="L3795" s="25" t="str">
        <f t="shared" si="301"/>
        <v/>
      </c>
      <c r="O3795" s="33" t="str">
        <f t="shared" si="302"/>
        <v/>
      </c>
      <c r="P3795" s="33" t="str">
        <f t="shared" si="303"/>
        <v/>
      </c>
    </row>
    <row r="3796" spans="9:16">
      <c r="I3796" s="23" t="str">
        <f>_xlfn.IFNA(VLOOKUP(A3796,A$3524:$H3797,8,0),"")</f>
        <v/>
      </c>
      <c r="J3796" s="40" t="str">
        <f t="shared" si="304"/>
        <v/>
      </c>
      <c r="K3796" s="24" t="str">
        <f t="shared" si="300"/>
        <v/>
      </c>
      <c r="L3796" s="25" t="str">
        <f t="shared" si="301"/>
        <v/>
      </c>
      <c r="O3796" s="33" t="str">
        <f t="shared" si="302"/>
        <v/>
      </c>
      <c r="P3796" s="33" t="str">
        <f t="shared" si="303"/>
        <v/>
      </c>
    </row>
    <row r="3797" spans="9:16">
      <c r="I3797" s="23" t="str">
        <f>_xlfn.IFNA(VLOOKUP(A3797,A$3524:$H3798,8,0),"")</f>
        <v/>
      </c>
      <c r="J3797" s="40" t="str">
        <f t="shared" si="304"/>
        <v/>
      </c>
      <c r="K3797" s="24" t="str">
        <f t="shared" si="300"/>
        <v/>
      </c>
      <c r="L3797" s="25" t="str">
        <f t="shared" si="301"/>
        <v/>
      </c>
      <c r="O3797" s="33" t="str">
        <f t="shared" si="302"/>
        <v/>
      </c>
      <c r="P3797" s="33" t="str">
        <f t="shared" si="303"/>
        <v/>
      </c>
    </row>
    <row r="3798" spans="9:16">
      <c r="I3798" s="23" t="str">
        <f>_xlfn.IFNA(VLOOKUP(A3798,A$3524:$H3799,8,0),"")</f>
        <v/>
      </c>
      <c r="J3798" s="40" t="str">
        <f t="shared" si="304"/>
        <v/>
      </c>
      <c r="K3798" s="24" t="str">
        <f t="shared" ref="K3798:K3861" si="305">IF(H3798="","",IFERROR((I3798-H3798)*24,0))</f>
        <v/>
      </c>
      <c r="L3798" s="25" t="str">
        <f t="shared" si="301"/>
        <v/>
      </c>
      <c r="O3798" s="33" t="str">
        <f t="shared" si="302"/>
        <v/>
      </c>
      <c r="P3798" s="33" t="str">
        <f t="shared" si="303"/>
        <v/>
      </c>
    </row>
    <row r="3799" spans="9:16">
      <c r="I3799" s="23" t="str">
        <f>_xlfn.IFNA(VLOOKUP(A3799,A$3524:$H3800,8,0),"")</f>
        <v/>
      </c>
      <c r="J3799" s="40" t="str">
        <f t="shared" si="304"/>
        <v/>
      </c>
      <c r="K3799" s="24" t="str">
        <f t="shared" si="305"/>
        <v/>
      </c>
      <c r="L3799" s="25" t="str">
        <f t="shared" si="301"/>
        <v/>
      </c>
      <c r="O3799" s="33" t="str">
        <f t="shared" si="302"/>
        <v/>
      </c>
      <c r="P3799" s="33" t="str">
        <f t="shared" si="303"/>
        <v/>
      </c>
    </row>
    <row r="3800" spans="9:16">
      <c r="I3800" s="23" t="str">
        <f>_xlfn.IFNA(VLOOKUP(A3800,A$3524:$H3801,8,0),"")</f>
        <v/>
      </c>
      <c r="J3800" s="40" t="str">
        <f t="shared" si="304"/>
        <v/>
      </c>
      <c r="K3800" s="24" t="str">
        <f t="shared" si="305"/>
        <v/>
      </c>
      <c r="L3800" s="25" t="str">
        <f t="shared" si="301"/>
        <v/>
      </c>
      <c r="O3800" s="33" t="str">
        <f t="shared" si="302"/>
        <v/>
      </c>
      <c r="P3800" s="33" t="str">
        <f t="shared" si="303"/>
        <v/>
      </c>
    </row>
    <row r="3801" spans="9:16">
      <c r="I3801" s="23" t="str">
        <f>_xlfn.IFNA(VLOOKUP(A3801,A$3524:$H3802,8,0),"")</f>
        <v/>
      </c>
      <c r="J3801" s="40" t="str">
        <f t="shared" si="304"/>
        <v/>
      </c>
      <c r="K3801" s="24" t="str">
        <f t="shared" si="305"/>
        <v/>
      </c>
      <c r="L3801" s="25" t="str">
        <f t="shared" si="301"/>
        <v/>
      </c>
      <c r="O3801" s="33" t="str">
        <f t="shared" si="302"/>
        <v/>
      </c>
      <c r="P3801" s="33" t="str">
        <f t="shared" si="303"/>
        <v/>
      </c>
    </row>
    <row r="3802" spans="9:16">
      <c r="I3802" s="23" t="str">
        <f>_xlfn.IFNA(VLOOKUP(A3802,A$3524:$H3803,8,0),"")</f>
        <v/>
      </c>
      <c r="J3802" s="40" t="str">
        <f t="shared" si="304"/>
        <v/>
      </c>
      <c r="K3802" s="24" t="str">
        <f t="shared" si="305"/>
        <v/>
      </c>
      <c r="L3802" s="25" t="str">
        <f t="shared" si="301"/>
        <v/>
      </c>
      <c r="O3802" s="33" t="str">
        <f t="shared" si="302"/>
        <v/>
      </c>
      <c r="P3802" s="33" t="str">
        <f t="shared" si="303"/>
        <v/>
      </c>
    </row>
    <row r="3803" spans="9:16">
      <c r="I3803" s="23" t="str">
        <f>_xlfn.IFNA(VLOOKUP(A3803,A$3524:$H3804,8,0),"")</f>
        <v/>
      </c>
      <c r="J3803" s="40" t="str">
        <f t="shared" si="304"/>
        <v/>
      </c>
      <c r="K3803" s="24" t="str">
        <f t="shared" si="305"/>
        <v/>
      </c>
      <c r="L3803" s="25" t="str">
        <f t="shared" si="301"/>
        <v/>
      </c>
      <c r="O3803" s="33" t="str">
        <f t="shared" si="302"/>
        <v/>
      </c>
      <c r="P3803" s="33" t="str">
        <f t="shared" si="303"/>
        <v/>
      </c>
    </row>
    <row r="3804" spans="9:16">
      <c r="I3804" s="23" t="str">
        <f>_xlfn.IFNA(VLOOKUP(A3804,A$3524:$H3805,8,0),"")</f>
        <v/>
      </c>
      <c r="J3804" s="40" t="str">
        <f t="shared" si="304"/>
        <v/>
      </c>
      <c r="K3804" s="24" t="str">
        <f t="shared" si="305"/>
        <v/>
      </c>
      <c r="L3804" s="25" t="str">
        <f t="shared" si="301"/>
        <v/>
      </c>
      <c r="O3804" s="33" t="str">
        <f t="shared" si="302"/>
        <v/>
      </c>
      <c r="P3804" s="33" t="str">
        <f t="shared" si="303"/>
        <v/>
      </c>
    </row>
    <row r="3805" spans="9:16">
      <c r="I3805" s="23" t="str">
        <f>_xlfn.IFNA(VLOOKUP(A3805,A$3524:$H3806,8,0),"")</f>
        <v/>
      </c>
      <c r="J3805" s="40" t="str">
        <f t="shared" si="304"/>
        <v/>
      </c>
      <c r="K3805" s="24" t="str">
        <f t="shared" si="305"/>
        <v/>
      </c>
      <c r="L3805" s="25" t="str">
        <f t="shared" si="301"/>
        <v/>
      </c>
      <c r="O3805" s="33" t="str">
        <f t="shared" si="302"/>
        <v/>
      </c>
      <c r="P3805" s="33" t="str">
        <f t="shared" si="303"/>
        <v/>
      </c>
    </row>
    <row r="3806" spans="9:16">
      <c r="I3806" s="23" t="str">
        <f>_xlfn.IFNA(VLOOKUP(A3806,A$3524:$H3807,8,0),"")</f>
        <v/>
      </c>
      <c r="J3806" s="40" t="str">
        <f t="shared" si="304"/>
        <v/>
      </c>
      <c r="K3806" s="24" t="str">
        <f t="shared" si="305"/>
        <v/>
      </c>
      <c r="L3806" s="25" t="str">
        <f t="shared" si="301"/>
        <v/>
      </c>
      <c r="O3806" s="33" t="str">
        <f t="shared" si="302"/>
        <v/>
      </c>
      <c r="P3806" s="33" t="str">
        <f t="shared" si="303"/>
        <v/>
      </c>
    </row>
    <row r="3807" spans="9:16">
      <c r="I3807" s="23" t="str">
        <f>_xlfn.IFNA(VLOOKUP(A3807,A$3524:$H3808,8,0),"")</f>
        <v/>
      </c>
      <c r="J3807" s="40" t="str">
        <f t="shared" si="304"/>
        <v/>
      </c>
      <c r="K3807" s="24" t="str">
        <f t="shared" si="305"/>
        <v/>
      </c>
      <c r="L3807" s="25" t="str">
        <f t="shared" si="301"/>
        <v/>
      </c>
      <c r="O3807" s="33" t="str">
        <f t="shared" si="302"/>
        <v/>
      </c>
      <c r="P3807" s="33" t="str">
        <f t="shared" si="303"/>
        <v/>
      </c>
    </row>
    <row r="3808" spans="9:16">
      <c r="I3808" s="23" t="str">
        <f>_xlfn.IFNA(VLOOKUP(A3808,A$3524:$H3809,8,0),"")</f>
        <v/>
      </c>
      <c r="J3808" s="40" t="str">
        <f t="shared" si="304"/>
        <v/>
      </c>
      <c r="K3808" s="24" t="str">
        <f t="shared" si="305"/>
        <v/>
      </c>
      <c r="L3808" s="25" t="str">
        <f t="shared" si="301"/>
        <v/>
      </c>
      <c r="O3808" s="33" t="str">
        <f t="shared" si="302"/>
        <v/>
      </c>
      <c r="P3808" s="33" t="str">
        <f t="shared" si="303"/>
        <v/>
      </c>
    </row>
    <row r="3809" spans="9:16">
      <c r="I3809" s="23" t="str">
        <f>_xlfn.IFNA(VLOOKUP(A3809,A$3524:$H3810,8,0),"")</f>
        <v/>
      </c>
      <c r="J3809" s="40" t="str">
        <f t="shared" si="304"/>
        <v/>
      </c>
      <c r="K3809" s="24" t="str">
        <f t="shared" si="305"/>
        <v/>
      </c>
      <c r="L3809" s="25" t="str">
        <f t="shared" si="301"/>
        <v/>
      </c>
      <c r="O3809" s="33" t="str">
        <f t="shared" si="302"/>
        <v/>
      </c>
      <c r="P3809" s="33" t="str">
        <f t="shared" si="303"/>
        <v/>
      </c>
    </row>
    <row r="3810" spans="9:16">
      <c r="I3810" s="23" t="str">
        <f>_xlfn.IFNA(VLOOKUP(A3810,A$3524:$H3811,8,0),"")</f>
        <v/>
      </c>
      <c r="J3810" s="40" t="str">
        <f t="shared" si="304"/>
        <v/>
      </c>
      <c r="K3810" s="24" t="str">
        <f t="shared" si="305"/>
        <v/>
      </c>
      <c r="L3810" s="25" t="str">
        <f t="shared" si="301"/>
        <v/>
      </c>
      <c r="O3810" s="33" t="str">
        <f t="shared" si="302"/>
        <v/>
      </c>
      <c r="P3810" s="33" t="str">
        <f t="shared" si="303"/>
        <v/>
      </c>
    </row>
    <row r="3811" spans="9:16">
      <c r="I3811" s="23" t="str">
        <f>_xlfn.IFNA(VLOOKUP(A3811,A$3524:$H3812,8,0),"")</f>
        <v/>
      </c>
      <c r="J3811" s="40" t="str">
        <f t="shared" si="304"/>
        <v/>
      </c>
      <c r="K3811" s="24" t="str">
        <f t="shared" si="305"/>
        <v/>
      </c>
      <c r="L3811" s="25" t="str">
        <f t="shared" si="301"/>
        <v/>
      </c>
      <c r="O3811" s="33" t="str">
        <f t="shared" si="302"/>
        <v/>
      </c>
      <c r="P3811" s="33" t="str">
        <f t="shared" si="303"/>
        <v/>
      </c>
    </row>
    <row r="3812" spans="9:16">
      <c r="I3812" s="23" t="str">
        <f>_xlfn.IFNA(VLOOKUP(A3812,A$3524:$H3813,8,0),"")</f>
        <v/>
      </c>
      <c r="J3812" s="40" t="str">
        <f t="shared" si="304"/>
        <v/>
      </c>
      <c r="K3812" s="24" t="str">
        <f t="shared" si="305"/>
        <v/>
      </c>
      <c r="L3812" s="25" t="str">
        <f t="shared" si="301"/>
        <v/>
      </c>
      <c r="O3812" s="33" t="str">
        <f t="shared" si="302"/>
        <v/>
      </c>
      <c r="P3812" s="33" t="str">
        <f t="shared" si="303"/>
        <v/>
      </c>
    </row>
    <row r="3813" spans="9:16">
      <c r="I3813" s="23" t="str">
        <f>_xlfn.IFNA(VLOOKUP(A3813,A$3524:$H3814,8,0),"")</f>
        <v/>
      </c>
      <c r="J3813" s="40" t="str">
        <f t="shared" si="304"/>
        <v/>
      </c>
      <c r="K3813" s="24" t="str">
        <f t="shared" si="305"/>
        <v/>
      </c>
      <c r="L3813" s="25" t="str">
        <f t="shared" si="301"/>
        <v/>
      </c>
      <c r="O3813" s="33" t="str">
        <f t="shared" si="302"/>
        <v/>
      </c>
      <c r="P3813" s="33" t="str">
        <f t="shared" si="303"/>
        <v/>
      </c>
    </row>
    <row r="3814" spans="9:16">
      <c r="I3814" s="23" t="str">
        <f>_xlfn.IFNA(VLOOKUP(A3814,A$3524:$H3815,8,0),"")</f>
        <v/>
      </c>
      <c r="J3814" s="40" t="str">
        <f t="shared" si="304"/>
        <v/>
      </c>
      <c r="K3814" s="24" t="str">
        <f t="shared" si="305"/>
        <v/>
      </c>
      <c r="L3814" s="25" t="str">
        <f t="shared" si="301"/>
        <v/>
      </c>
      <c r="O3814" s="33" t="str">
        <f t="shared" si="302"/>
        <v/>
      </c>
      <c r="P3814" s="33" t="str">
        <f t="shared" si="303"/>
        <v/>
      </c>
    </row>
    <row r="3815" spans="9:16">
      <c r="I3815" s="23" t="str">
        <f>_xlfn.IFNA(VLOOKUP(A3815,A$3524:$H3816,8,0),"")</f>
        <v/>
      </c>
      <c r="J3815" s="40" t="str">
        <f t="shared" si="304"/>
        <v/>
      </c>
      <c r="K3815" s="24" t="str">
        <f t="shared" si="305"/>
        <v/>
      </c>
      <c r="L3815" s="25" t="str">
        <f t="shared" si="301"/>
        <v/>
      </c>
      <c r="O3815" s="33" t="str">
        <f t="shared" si="302"/>
        <v/>
      </c>
      <c r="P3815" s="33" t="str">
        <f t="shared" si="303"/>
        <v/>
      </c>
    </row>
    <row r="3816" spans="9:16">
      <c r="I3816" s="23" t="str">
        <f>_xlfn.IFNA(VLOOKUP(A3816,A$3524:$H3817,8,0),"")</f>
        <v/>
      </c>
      <c r="J3816" s="40" t="str">
        <f t="shared" si="304"/>
        <v/>
      </c>
      <c r="K3816" s="24" t="str">
        <f t="shared" si="305"/>
        <v/>
      </c>
      <c r="L3816" s="25" t="str">
        <f t="shared" si="301"/>
        <v/>
      </c>
      <c r="O3816" s="33" t="str">
        <f t="shared" si="302"/>
        <v/>
      </c>
      <c r="P3816" s="33" t="str">
        <f t="shared" si="303"/>
        <v/>
      </c>
    </row>
    <row r="3817" spans="9:16">
      <c r="I3817" s="23" t="str">
        <f>_xlfn.IFNA(VLOOKUP(A3817,A$3524:$H3818,8,0),"")</f>
        <v/>
      </c>
      <c r="J3817" s="40" t="str">
        <f t="shared" si="304"/>
        <v/>
      </c>
      <c r="K3817" s="24" t="str">
        <f t="shared" si="305"/>
        <v/>
      </c>
      <c r="L3817" s="25" t="str">
        <f t="shared" si="301"/>
        <v/>
      </c>
      <c r="O3817" s="33" t="str">
        <f t="shared" si="302"/>
        <v/>
      </c>
      <c r="P3817" s="33" t="str">
        <f t="shared" si="303"/>
        <v/>
      </c>
    </row>
    <row r="3818" spans="9:16">
      <c r="I3818" s="23" t="str">
        <f>_xlfn.IFNA(VLOOKUP(A3818,A$3524:$H3819,8,0),"")</f>
        <v/>
      </c>
      <c r="J3818" s="40" t="str">
        <f t="shared" si="304"/>
        <v/>
      </c>
      <c r="K3818" s="24" t="str">
        <f t="shared" si="305"/>
        <v/>
      </c>
      <c r="L3818" s="25" t="str">
        <f t="shared" si="301"/>
        <v/>
      </c>
      <c r="O3818" s="33" t="str">
        <f t="shared" si="302"/>
        <v/>
      </c>
      <c r="P3818" s="33" t="str">
        <f t="shared" si="303"/>
        <v/>
      </c>
    </row>
    <row r="3819" spans="9:16">
      <c r="I3819" s="23" t="str">
        <f>_xlfn.IFNA(VLOOKUP(A3819,A$3524:$H3820,8,0),"")</f>
        <v/>
      </c>
      <c r="J3819" s="40" t="str">
        <f t="shared" si="304"/>
        <v/>
      </c>
      <c r="K3819" s="24" t="str">
        <f t="shared" si="305"/>
        <v/>
      </c>
      <c r="L3819" s="25" t="str">
        <f t="shared" si="301"/>
        <v/>
      </c>
      <c r="O3819" s="33" t="str">
        <f t="shared" si="302"/>
        <v/>
      </c>
      <c r="P3819" s="33" t="str">
        <f t="shared" si="303"/>
        <v/>
      </c>
    </row>
    <row r="3820" spans="9:16">
      <c r="I3820" s="23" t="str">
        <f>_xlfn.IFNA(VLOOKUP(A3820,A$3524:$H3821,8,0),"")</f>
        <v/>
      </c>
      <c r="J3820" s="40" t="str">
        <f t="shared" si="304"/>
        <v/>
      </c>
      <c r="K3820" s="24" t="str">
        <f t="shared" si="305"/>
        <v/>
      </c>
      <c r="L3820" s="25" t="str">
        <f t="shared" si="301"/>
        <v/>
      </c>
      <c r="O3820" s="33" t="str">
        <f t="shared" si="302"/>
        <v/>
      </c>
      <c r="P3820" s="33" t="str">
        <f t="shared" si="303"/>
        <v/>
      </c>
    </row>
    <row r="3821" spans="9:16">
      <c r="I3821" s="23" t="str">
        <f>_xlfn.IFNA(VLOOKUP(A3821,A$3524:$H3822,8,0),"")</f>
        <v/>
      </c>
      <c r="J3821" s="40" t="str">
        <f t="shared" si="304"/>
        <v/>
      </c>
      <c r="K3821" s="24" t="str">
        <f t="shared" si="305"/>
        <v/>
      </c>
      <c r="L3821" s="25" t="str">
        <f t="shared" si="301"/>
        <v/>
      </c>
      <c r="O3821" s="33" t="str">
        <f t="shared" si="302"/>
        <v/>
      </c>
      <c r="P3821" s="33" t="str">
        <f t="shared" si="303"/>
        <v/>
      </c>
    </row>
    <row r="3822" spans="9:16">
      <c r="I3822" s="23" t="str">
        <f>_xlfn.IFNA(VLOOKUP(A3822,A$3524:$H3823,8,0),"")</f>
        <v/>
      </c>
      <c r="J3822" s="40" t="str">
        <f t="shared" si="304"/>
        <v/>
      </c>
      <c r="K3822" s="24" t="str">
        <f t="shared" si="305"/>
        <v/>
      </c>
      <c r="L3822" s="25" t="str">
        <f t="shared" si="301"/>
        <v/>
      </c>
      <c r="O3822" s="33" t="str">
        <f t="shared" si="302"/>
        <v/>
      </c>
      <c r="P3822" s="33" t="str">
        <f t="shared" si="303"/>
        <v/>
      </c>
    </row>
    <row r="3823" spans="9:16">
      <c r="I3823" s="23" t="str">
        <f>_xlfn.IFNA(VLOOKUP(A3823,A$3524:$H3824,8,0),"")</f>
        <v/>
      </c>
      <c r="J3823" s="40" t="str">
        <f t="shared" si="304"/>
        <v/>
      </c>
      <c r="K3823" s="24" t="str">
        <f t="shared" si="305"/>
        <v/>
      </c>
      <c r="L3823" s="25" t="str">
        <f t="shared" si="301"/>
        <v/>
      </c>
      <c r="O3823" s="33" t="str">
        <f t="shared" si="302"/>
        <v/>
      </c>
      <c r="P3823" s="33" t="str">
        <f t="shared" si="303"/>
        <v/>
      </c>
    </row>
    <row r="3824" spans="9:16">
      <c r="I3824" s="23" t="str">
        <f>_xlfn.IFNA(VLOOKUP(A3824,A$3524:$H3825,8,0),"")</f>
        <v/>
      </c>
      <c r="J3824" s="40" t="str">
        <f t="shared" si="304"/>
        <v/>
      </c>
      <c r="K3824" s="24" t="str">
        <f t="shared" si="305"/>
        <v/>
      </c>
      <c r="L3824" s="25" t="str">
        <f t="shared" si="301"/>
        <v/>
      </c>
      <c r="O3824" s="33" t="str">
        <f t="shared" si="302"/>
        <v/>
      </c>
      <c r="P3824" s="33" t="str">
        <f t="shared" si="303"/>
        <v/>
      </c>
    </row>
    <row r="3825" spans="9:16">
      <c r="I3825" s="23" t="str">
        <f>_xlfn.IFNA(VLOOKUP(A3825,A$3524:$H3826,8,0),"")</f>
        <v/>
      </c>
      <c r="J3825" s="40" t="str">
        <f t="shared" si="304"/>
        <v/>
      </c>
      <c r="K3825" s="24" t="str">
        <f t="shared" si="305"/>
        <v/>
      </c>
      <c r="L3825" s="25" t="str">
        <f t="shared" si="301"/>
        <v/>
      </c>
      <c r="O3825" s="33" t="str">
        <f t="shared" si="302"/>
        <v/>
      </c>
      <c r="P3825" s="33" t="str">
        <f t="shared" si="303"/>
        <v/>
      </c>
    </row>
    <row r="3826" spans="9:16">
      <c r="I3826" s="23" t="str">
        <f>_xlfn.IFNA(VLOOKUP(A3826,A$3524:$H3827,8,0),"")</f>
        <v/>
      </c>
      <c r="J3826" s="40" t="str">
        <f t="shared" si="304"/>
        <v/>
      </c>
      <c r="K3826" s="24" t="str">
        <f t="shared" si="305"/>
        <v/>
      </c>
      <c r="L3826" s="25" t="str">
        <f t="shared" si="301"/>
        <v/>
      </c>
      <c r="O3826" s="33" t="str">
        <f t="shared" si="302"/>
        <v/>
      </c>
      <c r="P3826" s="33" t="str">
        <f t="shared" si="303"/>
        <v/>
      </c>
    </row>
    <row r="3827" spans="9:16">
      <c r="I3827" s="23" t="str">
        <f>_xlfn.IFNA(VLOOKUP(A3827,A$3524:$H3828,8,0),"")</f>
        <v/>
      </c>
      <c r="J3827" s="40" t="str">
        <f t="shared" si="304"/>
        <v/>
      </c>
      <c r="K3827" s="24" t="str">
        <f t="shared" si="305"/>
        <v/>
      </c>
      <c r="L3827" s="25" t="str">
        <f t="shared" si="301"/>
        <v/>
      </c>
      <c r="O3827" s="33" t="str">
        <f t="shared" si="302"/>
        <v/>
      </c>
      <c r="P3827" s="33" t="str">
        <f t="shared" si="303"/>
        <v/>
      </c>
    </row>
    <row r="3828" spans="9:16">
      <c r="I3828" s="23" t="str">
        <f>_xlfn.IFNA(VLOOKUP(A3828,A$3524:$H3829,8,0),"")</f>
        <v/>
      </c>
      <c r="J3828" s="40" t="str">
        <f t="shared" si="304"/>
        <v/>
      </c>
      <c r="K3828" s="24" t="str">
        <f t="shared" si="305"/>
        <v/>
      </c>
      <c r="L3828" s="25" t="str">
        <f t="shared" si="301"/>
        <v/>
      </c>
      <c r="O3828" s="33" t="str">
        <f t="shared" si="302"/>
        <v/>
      </c>
      <c r="P3828" s="33" t="str">
        <f t="shared" si="303"/>
        <v/>
      </c>
    </row>
    <row r="3829" spans="9:16">
      <c r="I3829" s="23" t="str">
        <f>_xlfn.IFNA(VLOOKUP(A3829,A$3524:$H3830,8,0),"")</f>
        <v/>
      </c>
      <c r="J3829" s="40" t="str">
        <f t="shared" si="304"/>
        <v/>
      </c>
      <c r="K3829" s="24" t="str">
        <f t="shared" si="305"/>
        <v/>
      </c>
      <c r="L3829" s="25" t="str">
        <f t="shared" si="301"/>
        <v/>
      </c>
      <c r="O3829" s="33" t="str">
        <f t="shared" si="302"/>
        <v/>
      </c>
      <c r="P3829" s="33" t="str">
        <f t="shared" si="303"/>
        <v/>
      </c>
    </row>
    <row r="3830" spans="9:16">
      <c r="I3830" s="23" t="str">
        <f>_xlfn.IFNA(VLOOKUP(A3830,A$3524:$H3831,8,0),"")</f>
        <v/>
      </c>
      <c r="J3830" s="40" t="str">
        <f t="shared" si="304"/>
        <v/>
      </c>
      <c r="K3830" s="24" t="str">
        <f t="shared" si="305"/>
        <v/>
      </c>
      <c r="L3830" s="25" t="str">
        <f t="shared" si="301"/>
        <v/>
      </c>
      <c r="O3830" s="33" t="str">
        <f t="shared" si="302"/>
        <v/>
      </c>
      <c r="P3830" s="33" t="str">
        <f t="shared" si="303"/>
        <v/>
      </c>
    </row>
    <row r="3831" spans="9:16">
      <c r="I3831" s="23" t="str">
        <f>_xlfn.IFNA(VLOOKUP(A3831,A$3524:$H3832,8,0),"")</f>
        <v/>
      </c>
      <c r="J3831" s="40" t="str">
        <f t="shared" si="304"/>
        <v/>
      </c>
      <c r="K3831" s="24" t="str">
        <f t="shared" si="305"/>
        <v/>
      </c>
      <c r="L3831" s="25" t="str">
        <f t="shared" ref="L3831:L3894" si="306">IF(K3831="","",IF(B3831="Break","Break",IF(K3831&lt;&gt;0,"Work Finished",IF(B3831="OFF","Work Finished",IF(I3831="","Working","Work Finished")))))</f>
        <v/>
      </c>
      <c r="O3831" s="33" t="str">
        <f t="shared" ref="O3831:O3894" si="307">IF(AND(J3831="",M3831="",N3831=""),"",J3831-M3831-N3831)</f>
        <v/>
      </c>
      <c r="P3831" s="33" t="str">
        <f t="shared" ref="P3831:P3894" si="308">IF(HOUR(H3831)=0,"",HOUR(H3831))</f>
        <v/>
      </c>
    </row>
    <row r="3832" spans="9:16">
      <c r="I3832" s="23" t="str">
        <f>_xlfn.IFNA(VLOOKUP(A3832,A$3524:$H3833,8,0),"")</f>
        <v/>
      </c>
      <c r="J3832" s="40" t="str">
        <f t="shared" si="304"/>
        <v/>
      </c>
      <c r="K3832" s="24" t="str">
        <f t="shared" si="305"/>
        <v/>
      </c>
      <c r="L3832" s="25" t="str">
        <f t="shared" si="306"/>
        <v/>
      </c>
      <c r="O3832" s="33" t="str">
        <f t="shared" si="307"/>
        <v/>
      </c>
      <c r="P3832" s="33" t="str">
        <f t="shared" si="308"/>
        <v/>
      </c>
    </row>
    <row r="3833" spans="9:16">
      <c r="I3833" s="23" t="str">
        <f>_xlfn.IFNA(VLOOKUP(A3833,A$3524:$H3834,8,0),"")</f>
        <v/>
      </c>
      <c r="J3833" s="40" t="str">
        <f t="shared" si="304"/>
        <v/>
      </c>
      <c r="K3833" s="24" t="str">
        <f t="shared" si="305"/>
        <v/>
      </c>
      <c r="L3833" s="25" t="str">
        <f t="shared" si="306"/>
        <v/>
      </c>
      <c r="O3833" s="33" t="str">
        <f t="shared" si="307"/>
        <v/>
      </c>
      <c r="P3833" s="33" t="str">
        <f t="shared" si="308"/>
        <v/>
      </c>
    </row>
    <row r="3834" spans="9:16">
      <c r="I3834" s="23" t="str">
        <f>_xlfn.IFNA(VLOOKUP(A3834,A$3524:$H3835,8,0),"")</f>
        <v/>
      </c>
      <c r="J3834" s="40" t="str">
        <f t="shared" si="304"/>
        <v/>
      </c>
      <c r="K3834" s="24" t="str">
        <f t="shared" si="305"/>
        <v/>
      </c>
      <c r="L3834" s="25" t="str">
        <f t="shared" si="306"/>
        <v/>
      </c>
      <c r="O3834" s="33" t="str">
        <f t="shared" si="307"/>
        <v/>
      </c>
      <c r="P3834" s="33" t="str">
        <f t="shared" si="308"/>
        <v/>
      </c>
    </row>
    <row r="3835" spans="9:16">
      <c r="I3835" s="23" t="str">
        <f>_xlfn.IFNA(VLOOKUP(A3835,A$3524:$H3836,8,0),"")</f>
        <v/>
      </c>
      <c r="J3835" s="40" t="str">
        <f t="shared" si="304"/>
        <v/>
      </c>
      <c r="K3835" s="24" t="str">
        <f t="shared" si="305"/>
        <v/>
      </c>
      <c r="L3835" s="25" t="str">
        <f t="shared" si="306"/>
        <v/>
      </c>
      <c r="O3835" s="33" t="str">
        <f t="shared" si="307"/>
        <v/>
      </c>
      <c r="P3835" s="33" t="str">
        <f t="shared" si="308"/>
        <v/>
      </c>
    </row>
    <row r="3836" spans="9:16">
      <c r="I3836" s="23" t="str">
        <f>_xlfn.IFNA(VLOOKUP(A3836,A$3524:$H3837,8,0),"")</f>
        <v/>
      </c>
      <c r="J3836" s="40" t="str">
        <f t="shared" si="304"/>
        <v/>
      </c>
      <c r="K3836" s="24" t="str">
        <f t="shared" si="305"/>
        <v/>
      </c>
      <c r="L3836" s="25" t="str">
        <f t="shared" si="306"/>
        <v/>
      </c>
      <c r="O3836" s="33" t="str">
        <f t="shared" si="307"/>
        <v/>
      </c>
      <c r="P3836" s="33" t="str">
        <f t="shared" si="308"/>
        <v/>
      </c>
    </row>
    <row r="3837" spans="9:16">
      <c r="I3837" s="23" t="str">
        <f>_xlfn.IFNA(VLOOKUP(A3837,A$3524:$H3838,8,0),"")</f>
        <v/>
      </c>
      <c r="J3837" s="40" t="str">
        <f t="shared" si="304"/>
        <v/>
      </c>
      <c r="K3837" s="24" t="str">
        <f t="shared" si="305"/>
        <v/>
      </c>
      <c r="L3837" s="25" t="str">
        <f t="shared" si="306"/>
        <v/>
      </c>
      <c r="O3837" s="33" t="str">
        <f t="shared" si="307"/>
        <v/>
      </c>
      <c r="P3837" s="33" t="str">
        <f t="shared" si="308"/>
        <v/>
      </c>
    </row>
    <row r="3838" spans="9:16">
      <c r="I3838" s="23" t="str">
        <f>_xlfn.IFNA(VLOOKUP(A3838,A$3524:$H3839,8,0),"")</f>
        <v/>
      </c>
      <c r="J3838" s="40" t="str">
        <f t="shared" si="304"/>
        <v/>
      </c>
      <c r="K3838" s="24" t="str">
        <f t="shared" si="305"/>
        <v/>
      </c>
      <c r="L3838" s="25" t="str">
        <f t="shared" si="306"/>
        <v/>
      </c>
      <c r="O3838" s="33" t="str">
        <f t="shared" si="307"/>
        <v/>
      </c>
      <c r="P3838" s="33" t="str">
        <f t="shared" si="308"/>
        <v/>
      </c>
    </row>
    <row r="3839" spans="9:16">
      <c r="I3839" s="23" t="str">
        <f>_xlfn.IFNA(VLOOKUP(A3839,A$3524:$H3840,8,0),"")</f>
        <v/>
      </c>
      <c r="J3839" s="40" t="str">
        <f t="shared" si="304"/>
        <v/>
      </c>
      <c r="K3839" s="24" t="str">
        <f t="shared" si="305"/>
        <v/>
      </c>
      <c r="L3839" s="25" t="str">
        <f t="shared" si="306"/>
        <v/>
      </c>
      <c r="O3839" s="33" t="str">
        <f t="shared" si="307"/>
        <v/>
      </c>
      <c r="P3839" s="33" t="str">
        <f t="shared" si="308"/>
        <v/>
      </c>
    </row>
    <row r="3840" spans="9:16">
      <c r="I3840" s="23" t="str">
        <f>_xlfn.IFNA(VLOOKUP(A3840,A$3524:$H3841,8,0),"")</f>
        <v/>
      </c>
      <c r="J3840" s="40" t="str">
        <f t="shared" si="304"/>
        <v/>
      </c>
      <c r="K3840" s="24" t="str">
        <f t="shared" si="305"/>
        <v/>
      </c>
      <c r="L3840" s="25" t="str">
        <f t="shared" si="306"/>
        <v/>
      </c>
      <c r="O3840" s="33" t="str">
        <f t="shared" si="307"/>
        <v/>
      </c>
      <c r="P3840" s="33" t="str">
        <f t="shared" si="308"/>
        <v/>
      </c>
    </row>
    <row r="3841" spans="9:16">
      <c r="I3841" s="23" t="str">
        <f>_xlfn.IFNA(VLOOKUP(A3841,A$3524:$H3842,8,0),"")</f>
        <v/>
      </c>
      <c r="J3841" s="40" t="str">
        <f t="shared" si="304"/>
        <v/>
      </c>
      <c r="K3841" s="24" t="str">
        <f t="shared" si="305"/>
        <v/>
      </c>
      <c r="L3841" s="25" t="str">
        <f t="shared" si="306"/>
        <v/>
      </c>
      <c r="O3841" s="33" t="str">
        <f t="shared" si="307"/>
        <v/>
      </c>
      <c r="P3841" s="33" t="str">
        <f t="shared" si="308"/>
        <v/>
      </c>
    </row>
    <row r="3842" spans="9:16">
      <c r="I3842" s="23" t="str">
        <f>_xlfn.IFNA(VLOOKUP(A3842,A$3524:$H3843,8,0),"")</f>
        <v/>
      </c>
      <c r="J3842" s="40" t="str">
        <f t="shared" si="304"/>
        <v/>
      </c>
      <c r="K3842" s="24" t="str">
        <f t="shared" si="305"/>
        <v/>
      </c>
      <c r="L3842" s="25" t="str">
        <f t="shared" si="306"/>
        <v/>
      </c>
      <c r="O3842" s="33" t="str">
        <f t="shared" si="307"/>
        <v/>
      </c>
      <c r="P3842" s="33" t="str">
        <f t="shared" si="308"/>
        <v/>
      </c>
    </row>
    <row r="3843" spans="9:16">
      <c r="I3843" s="23" t="str">
        <f>_xlfn.IFNA(VLOOKUP(A3843,A$3524:$H3844,8,0),"")</f>
        <v/>
      </c>
      <c r="J3843" s="40" t="str">
        <f t="shared" si="304"/>
        <v/>
      </c>
      <c r="K3843" s="24" t="str">
        <f t="shared" si="305"/>
        <v/>
      </c>
      <c r="L3843" s="25" t="str">
        <f t="shared" si="306"/>
        <v/>
      </c>
      <c r="O3843" s="33" t="str">
        <f t="shared" si="307"/>
        <v/>
      </c>
      <c r="P3843" s="33" t="str">
        <f t="shared" si="308"/>
        <v/>
      </c>
    </row>
    <row r="3844" spans="9:16">
      <c r="I3844" s="23" t="str">
        <f>_xlfn.IFNA(VLOOKUP(A3844,A$3524:$H3845,8,0),"")</f>
        <v/>
      </c>
      <c r="J3844" s="40" t="str">
        <f t="shared" si="304"/>
        <v/>
      </c>
      <c r="K3844" s="24" t="str">
        <f t="shared" si="305"/>
        <v/>
      </c>
      <c r="L3844" s="25" t="str">
        <f t="shared" si="306"/>
        <v/>
      </c>
      <c r="O3844" s="33" t="str">
        <f t="shared" si="307"/>
        <v/>
      </c>
      <c r="P3844" s="33" t="str">
        <f t="shared" si="308"/>
        <v/>
      </c>
    </row>
    <row r="3845" spans="9:16">
      <c r="I3845" s="23" t="str">
        <f>_xlfn.IFNA(VLOOKUP(A3845,A$3524:$H3846,8,0),"")</f>
        <v/>
      </c>
      <c r="J3845" s="40" t="str">
        <f t="shared" si="304"/>
        <v/>
      </c>
      <c r="K3845" s="24" t="str">
        <f t="shared" si="305"/>
        <v/>
      </c>
      <c r="L3845" s="25" t="str">
        <f t="shared" si="306"/>
        <v/>
      </c>
      <c r="O3845" s="33" t="str">
        <f t="shared" si="307"/>
        <v/>
      </c>
      <c r="P3845" s="33" t="str">
        <f t="shared" si="308"/>
        <v/>
      </c>
    </row>
    <row r="3846" spans="9:16">
      <c r="I3846" s="23" t="str">
        <f>_xlfn.IFNA(VLOOKUP(A3846,A$3524:$H3847,8,0),"")</f>
        <v/>
      </c>
      <c r="J3846" s="40" t="str">
        <f t="shared" ref="J3846:J3909" si="309">IF(B3846="OFF",0,IF(AND(D3846&lt;&gt;"",E3846&lt;&gt;""),E3846-D3846+1,""))</f>
        <v/>
      </c>
      <c r="K3846" s="24" t="str">
        <f t="shared" si="305"/>
        <v/>
      </c>
      <c r="L3846" s="25" t="str">
        <f t="shared" si="306"/>
        <v/>
      </c>
      <c r="O3846" s="33" t="str">
        <f t="shared" si="307"/>
        <v/>
      </c>
      <c r="P3846" s="33" t="str">
        <f t="shared" si="308"/>
        <v/>
      </c>
    </row>
    <row r="3847" spans="9:16">
      <c r="I3847" s="23" t="str">
        <f>_xlfn.IFNA(VLOOKUP(A3847,A$3524:$H3848,8,0),"")</f>
        <v/>
      </c>
      <c r="J3847" s="40" t="str">
        <f t="shared" si="309"/>
        <v/>
      </c>
      <c r="K3847" s="24" t="str">
        <f t="shared" si="305"/>
        <v/>
      </c>
      <c r="L3847" s="25" t="str">
        <f t="shared" si="306"/>
        <v/>
      </c>
      <c r="O3847" s="33" t="str">
        <f t="shared" si="307"/>
        <v/>
      </c>
      <c r="P3847" s="33" t="str">
        <f t="shared" si="308"/>
        <v/>
      </c>
    </row>
    <row r="3848" spans="9:16">
      <c r="I3848" s="23" t="str">
        <f>_xlfn.IFNA(VLOOKUP(A3848,A$3524:$H3849,8,0),"")</f>
        <v/>
      </c>
      <c r="J3848" s="40" t="str">
        <f t="shared" si="309"/>
        <v/>
      </c>
      <c r="K3848" s="24" t="str">
        <f t="shared" si="305"/>
        <v/>
      </c>
      <c r="L3848" s="25" t="str">
        <f t="shared" si="306"/>
        <v/>
      </c>
      <c r="O3848" s="33" t="str">
        <f t="shared" si="307"/>
        <v/>
      </c>
      <c r="P3848" s="33" t="str">
        <f t="shared" si="308"/>
        <v/>
      </c>
    </row>
    <row r="3849" spans="9:16">
      <c r="I3849" s="23" t="str">
        <f>_xlfn.IFNA(VLOOKUP(A3849,A$3524:$H3850,8,0),"")</f>
        <v/>
      </c>
      <c r="J3849" s="40" t="str">
        <f t="shared" si="309"/>
        <v/>
      </c>
      <c r="K3849" s="24" t="str">
        <f t="shared" si="305"/>
        <v/>
      </c>
      <c r="L3849" s="25" t="str">
        <f t="shared" si="306"/>
        <v/>
      </c>
      <c r="O3849" s="33" t="str">
        <f t="shared" si="307"/>
        <v/>
      </c>
      <c r="P3849" s="33" t="str">
        <f t="shared" si="308"/>
        <v/>
      </c>
    </row>
    <row r="3850" spans="9:16">
      <c r="I3850" s="23" t="str">
        <f>_xlfn.IFNA(VLOOKUP(A3850,A$3524:$H3851,8,0),"")</f>
        <v/>
      </c>
      <c r="J3850" s="40" t="str">
        <f t="shared" si="309"/>
        <v/>
      </c>
      <c r="K3850" s="24" t="str">
        <f t="shared" si="305"/>
        <v/>
      </c>
      <c r="L3850" s="25" t="str">
        <f t="shared" si="306"/>
        <v/>
      </c>
      <c r="O3850" s="33" t="str">
        <f t="shared" si="307"/>
        <v/>
      </c>
      <c r="P3850" s="33" t="str">
        <f t="shared" si="308"/>
        <v/>
      </c>
    </row>
    <row r="3851" spans="9:16">
      <c r="I3851" s="23" t="str">
        <f>_xlfn.IFNA(VLOOKUP(A3851,A$3524:$H3852,8,0),"")</f>
        <v/>
      </c>
      <c r="J3851" s="40" t="str">
        <f t="shared" si="309"/>
        <v/>
      </c>
      <c r="K3851" s="24" t="str">
        <f t="shared" si="305"/>
        <v/>
      </c>
      <c r="L3851" s="25" t="str">
        <f t="shared" si="306"/>
        <v/>
      </c>
      <c r="O3851" s="33" t="str">
        <f t="shared" si="307"/>
        <v/>
      </c>
      <c r="P3851" s="33" t="str">
        <f t="shared" si="308"/>
        <v/>
      </c>
    </row>
    <row r="3852" spans="9:16">
      <c r="I3852" s="23" t="str">
        <f>_xlfn.IFNA(VLOOKUP(A3852,A$3524:$H3853,8,0),"")</f>
        <v/>
      </c>
      <c r="J3852" s="40" t="str">
        <f t="shared" si="309"/>
        <v/>
      </c>
      <c r="K3852" s="24" t="str">
        <f t="shared" si="305"/>
        <v/>
      </c>
      <c r="L3852" s="25" t="str">
        <f t="shared" si="306"/>
        <v/>
      </c>
      <c r="O3852" s="33" t="str">
        <f t="shared" si="307"/>
        <v/>
      </c>
      <c r="P3852" s="33" t="str">
        <f t="shared" si="308"/>
        <v/>
      </c>
    </row>
    <row r="3853" spans="9:16">
      <c r="I3853" s="23" t="str">
        <f>_xlfn.IFNA(VLOOKUP(A3853,A$3524:$H3854,8,0),"")</f>
        <v/>
      </c>
      <c r="J3853" s="40" t="str">
        <f t="shared" si="309"/>
        <v/>
      </c>
      <c r="K3853" s="24" t="str">
        <f t="shared" si="305"/>
        <v/>
      </c>
      <c r="L3853" s="25" t="str">
        <f t="shared" si="306"/>
        <v/>
      </c>
      <c r="O3853" s="33" t="str">
        <f t="shared" si="307"/>
        <v/>
      </c>
      <c r="P3853" s="33" t="str">
        <f t="shared" si="308"/>
        <v/>
      </c>
    </row>
    <row r="3854" spans="9:16">
      <c r="I3854" s="23" t="str">
        <f>_xlfn.IFNA(VLOOKUP(A3854,A$3524:$H3855,8,0),"")</f>
        <v/>
      </c>
      <c r="J3854" s="40" t="str">
        <f t="shared" si="309"/>
        <v/>
      </c>
      <c r="K3854" s="24" t="str">
        <f t="shared" si="305"/>
        <v/>
      </c>
      <c r="L3854" s="25" t="str">
        <f t="shared" si="306"/>
        <v/>
      </c>
      <c r="O3854" s="33" t="str">
        <f t="shared" si="307"/>
        <v/>
      </c>
      <c r="P3854" s="33" t="str">
        <f t="shared" si="308"/>
        <v/>
      </c>
    </row>
    <row r="3855" spans="9:16">
      <c r="I3855" s="23" t="str">
        <f>_xlfn.IFNA(VLOOKUP(A3855,A$3524:$H3856,8,0),"")</f>
        <v/>
      </c>
      <c r="J3855" s="40" t="str">
        <f t="shared" si="309"/>
        <v/>
      </c>
      <c r="K3855" s="24" t="str">
        <f t="shared" si="305"/>
        <v/>
      </c>
      <c r="L3855" s="25" t="str">
        <f t="shared" si="306"/>
        <v/>
      </c>
      <c r="O3855" s="33" t="str">
        <f t="shared" si="307"/>
        <v/>
      </c>
      <c r="P3855" s="33" t="str">
        <f t="shared" si="308"/>
        <v/>
      </c>
    </row>
    <row r="3856" spans="9:16">
      <c r="I3856" s="23" t="str">
        <f>_xlfn.IFNA(VLOOKUP(A3856,A$3524:$H3857,8,0),"")</f>
        <v/>
      </c>
      <c r="J3856" s="40" t="str">
        <f t="shared" si="309"/>
        <v/>
      </c>
      <c r="K3856" s="24" t="str">
        <f t="shared" si="305"/>
        <v/>
      </c>
      <c r="L3856" s="25" t="str">
        <f t="shared" si="306"/>
        <v/>
      </c>
      <c r="O3856" s="33" t="str">
        <f t="shared" si="307"/>
        <v/>
      </c>
      <c r="P3856" s="33" t="str">
        <f t="shared" si="308"/>
        <v/>
      </c>
    </row>
    <row r="3857" spans="9:16">
      <c r="I3857" s="23" t="str">
        <f>_xlfn.IFNA(VLOOKUP(A3857,A$3524:$H3858,8,0),"")</f>
        <v/>
      </c>
      <c r="J3857" s="40" t="str">
        <f t="shared" si="309"/>
        <v/>
      </c>
      <c r="K3857" s="24" t="str">
        <f t="shared" si="305"/>
        <v/>
      </c>
      <c r="L3857" s="25" t="str">
        <f t="shared" si="306"/>
        <v/>
      </c>
      <c r="O3857" s="33" t="str">
        <f t="shared" si="307"/>
        <v/>
      </c>
      <c r="P3857" s="33" t="str">
        <f t="shared" si="308"/>
        <v/>
      </c>
    </row>
    <row r="3858" spans="9:16">
      <c r="I3858" s="23" t="str">
        <f>_xlfn.IFNA(VLOOKUP(A3858,A$3524:$H3859,8,0),"")</f>
        <v/>
      </c>
      <c r="J3858" s="40" t="str">
        <f t="shared" si="309"/>
        <v/>
      </c>
      <c r="K3858" s="24" t="str">
        <f t="shared" si="305"/>
        <v/>
      </c>
      <c r="L3858" s="25" t="str">
        <f t="shared" si="306"/>
        <v/>
      </c>
      <c r="O3858" s="33" t="str">
        <f t="shared" si="307"/>
        <v/>
      </c>
      <c r="P3858" s="33" t="str">
        <f t="shared" si="308"/>
        <v/>
      </c>
    </row>
    <row r="3859" spans="9:16">
      <c r="I3859" s="23" t="str">
        <f>_xlfn.IFNA(VLOOKUP(A3859,A$3524:$H3860,8,0),"")</f>
        <v/>
      </c>
      <c r="J3859" s="40" t="str">
        <f t="shared" si="309"/>
        <v/>
      </c>
      <c r="K3859" s="24" t="str">
        <f t="shared" si="305"/>
        <v/>
      </c>
      <c r="L3859" s="25" t="str">
        <f t="shared" si="306"/>
        <v/>
      </c>
      <c r="O3859" s="33" t="str">
        <f t="shared" si="307"/>
        <v/>
      </c>
      <c r="P3859" s="33" t="str">
        <f t="shared" si="308"/>
        <v/>
      </c>
    </row>
    <row r="3860" spans="9:16">
      <c r="I3860" s="23" t="str">
        <f>_xlfn.IFNA(VLOOKUP(A3860,A$3524:$H3861,8,0),"")</f>
        <v/>
      </c>
      <c r="J3860" s="40" t="str">
        <f t="shared" si="309"/>
        <v/>
      </c>
      <c r="K3860" s="24" t="str">
        <f t="shared" si="305"/>
        <v/>
      </c>
      <c r="L3860" s="25" t="str">
        <f t="shared" si="306"/>
        <v/>
      </c>
      <c r="O3860" s="33" t="str">
        <f t="shared" si="307"/>
        <v/>
      </c>
      <c r="P3860" s="33" t="str">
        <f t="shared" si="308"/>
        <v/>
      </c>
    </row>
    <row r="3861" spans="9:16">
      <c r="I3861" s="23" t="str">
        <f>_xlfn.IFNA(VLOOKUP(A3861,A$3524:$H3862,8,0),"")</f>
        <v/>
      </c>
      <c r="J3861" s="40" t="str">
        <f t="shared" si="309"/>
        <v/>
      </c>
      <c r="K3861" s="24" t="str">
        <f t="shared" si="305"/>
        <v/>
      </c>
      <c r="L3861" s="25" t="str">
        <f t="shared" si="306"/>
        <v/>
      </c>
      <c r="O3861" s="33" t="str">
        <f t="shared" si="307"/>
        <v/>
      </c>
      <c r="P3861" s="33" t="str">
        <f t="shared" si="308"/>
        <v/>
      </c>
    </row>
    <row r="3862" spans="9:16">
      <c r="I3862" s="23" t="str">
        <f>_xlfn.IFNA(VLOOKUP(A3862,A$3524:$H3863,8,0),"")</f>
        <v/>
      </c>
      <c r="J3862" s="40" t="str">
        <f t="shared" si="309"/>
        <v/>
      </c>
      <c r="K3862" s="24" t="str">
        <f t="shared" ref="K3862:K3925" si="310">IF(H3862="","",IFERROR((I3862-H3862)*24,0))</f>
        <v/>
      </c>
      <c r="L3862" s="25" t="str">
        <f t="shared" si="306"/>
        <v/>
      </c>
      <c r="O3862" s="33" t="str">
        <f t="shared" si="307"/>
        <v/>
      </c>
      <c r="P3862" s="33" t="str">
        <f t="shared" si="308"/>
        <v/>
      </c>
    </row>
    <row r="3863" spans="9:16">
      <c r="I3863" s="23" t="str">
        <f>_xlfn.IFNA(VLOOKUP(A3863,A$3524:$H3864,8,0),"")</f>
        <v/>
      </c>
      <c r="J3863" s="40" t="str">
        <f t="shared" si="309"/>
        <v/>
      </c>
      <c r="K3863" s="24" t="str">
        <f t="shared" si="310"/>
        <v/>
      </c>
      <c r="L3863" s="25" t="str">
        <f t="shared" si="306"/>
        <v/>
      </c>
      <c r="O3863" s="33" t="str">
        <f t="shared" si="307"/>
        <v/>
      </c>
      <c r="P3863" s="33" t="str">
        <f t="shared" si="308"/>
        <v/>
      </c>
    </row>
    <row r="3864" spans="9:16">
      <c r="I3864" s="23" t="str">
        <f>_xlfn.IFNA(VLOOKUP(A3864,A$3524:$H3865,8,0),"")</f>
        <v/>
      </c>
      <c r="J3864" s="40" t="str">
        <f t="shared" si="309"/>
        <v/>
      </c>
      <c r="K3864" s="24" t="str">
        <f t="shared" si="310"/>
        <v/>
      </c>
      <c r="L3864" s="25" t="str">
        <f t="shared" si="306"/>
        <v/>
      </c>
      <c r="O3864" s="33" t="str">
        <f t="shared" si="307"/>
        <v/>
      </c>
      <c r="P3864" s="33" t="str">
        <f t="shared" si="308"/>
        <v/>
      </c>
    </row>
    <row r="3865" spans="9:16">
      <c r="I3865" s="23" t="str">
        <f>_xlfn.IFNA(VLOOKUP(A3865,A$3524:$H3866,8,0),"")</f>
        <v/>
      </c>
      <c r="J3865" s="40" t="str">
        <f t="shared" si="309"/>
        <v/>
      </c>
      <c r="K3865" s="24" t="str">
        <f t="shared" si="310"/>
        <v/>
      </c>
      <c r="L3865" s="25" t="str">
        <f t="shared" si="306"/>
        <v/>
      </c>
      <c r="O3865" s="33" t="str">
        <f t="shared" si="307"/>
        <v/>
      </c>
      <c r="P3865" s="33" t="str">
        <f t="shared" si="308"/>
        <v/>
      </c>
    </row>
    <row r="3866" spans="9:16">
      <c r="I3866" s="23" t="str">
        <f>_xlfn.IFNA(VLOOKUP(A3866,A$3524:$H3867,8,0),"")</f>
        <v/>
      </c>
      <c r="J3866" s="40" t="str">
        <f t="shared" si="309"/>
        <v/>
      </c>
      <c r="K3866" s="24" t="str">
        <f t="shared" si="310"/>
        <v/>
      </c>
      <c r="L3866" s="25" t="str">
        <f t="shared" si="306"/>
        <v/>
      </c>
      <c r="O3866" s="33" t="str">
        <f t="shared" si="307"/>
        <v/>
      </c>
      <c r="P3866" s="33" t="str">
        <f t="shared" si="308"/>
        <v/>
      </c>
    </row>
    <row r="3867" spans="9:16">
      <c r="I3867" s="23" t="str">
        <f>_xlfn.IFNA(VLOOKUP(A3867,A$3524:$H3868,8,0),"")</f>
        <v/>
      </c>
      <c r="J3867" s="40" t="str">
        <f t="shared" si="309"/>
        <v/>
      </c>
      <c r="K3867" s="24" t="str">
        <f t="shared" si="310"/>
        <v/>
      </c>
      <c r="L3867" s="25" t="str">
        <f t="shared" si="306"/>
        <v/>
      </c>
      <c r="O3867" s="33" t="str">
        <f t="shared" si="307"/>
        <v/>
      </c>
      <c r="P3867" s="33" t="str">
        <f t="shared" si="308"/>
        <v/>
      </c>
    </row>
    <row r="3868" spans="9:16">
      <c r="I3868" s="23" t="str">
        <f>_xlfn.IFNA(VLOOKUP(A3868,A$3524:$H3869,8,0),"")</f>
        <v/>
      </c>
      <c r="J3868" s="40" t="str">
        <f t="shared" si="309"/>
        <v/>
      </c>
      <c r="K3868" s="24" t="str">
        <f t="shared" si="310"/>
        <v/>
      </c>
      <c r="L3868" s="25" t="str">
        <f t="shared" si="306"/>
        <v/>
      </c>
      <c r="O3868" s="33" t="str">
        <f t="shared" si="307"/>
        <v/>
      </c>
      <c r="P3868" s="33" t="str">
        <f t="shared" si="308"/>
        <v/>
      </c>
    </row>
    <row r="3869" spans="9:16">
      <c r="I3869" s="23" t="str">
        <f>_xlfn.IFNA(VLOOKUP(A3869,A$3524:$H3870,8,0),"")</f>
        <v/>
      </c>
      <c r="J3869" s="40" t="str">
        <f t="shared" si="309"/>
        <v/>
      </c>
      <c r="K3869" s="24" t="str">
        <f t="shared" si="310"/>
        <v/>
      </c>
      <c r="L3869" s="25" t="str">
        <f t="shared" si="306"/>
        <v/>
      </c>
      <c r="O3869" s="33" t="str">
        <f t="shared" si="307"/>
        <v/>
      </c>
      <c r="P3869" s="33" t="str">
        <f t="shared" si="308"/>
        <v/>
      </c>
    </row>
    <row r="3870" spans="9:16">
      <c r="I3870" s="23" t="str">
        <f>_xlfn.IFNA(VLOOKUP(A3870,A$3524:$H3871,8,0),"")</f>
        <v/>
      </c>
      <c r="J3870" s="40" t="str">
        <f t="shared" si="309"/>
        <v/>
      </c>
      <c r="K3870" s="24" t="str">
        <f t="shared" si="310"/>
        <v/>
      </c>
      <c r="L3870" s="25" t="str">
        <f t="shared" si="306"/>
        <v/>
      </c>
      <c r="O3870" s="33" t="str">
        <f t="shared" si="307"/>
        <v/>
      </c>
      <c r="P3870" s="33" t="str">
        <f t="shared" si="308"/>
        <v/>
      </c>
    </row>
    <row r="3871" spans="9:16">
      <c r="I3871" s="23" t="str">
        <f>_xlfn.IFNA(VLOOKUP(A3871,A$3524:$H3872,8,0),"")</f>
        <v/>
      </c>
      <c r="J3871" s="40" t="str">
        <f t="shared" si="309"/>
        <v/>
      </c>
      <c r="K3871" s="24" t="str">
        <f t="shared" si="310"/>
        <v/>
      </c>
      <c r="L3871" s="25" t="str">
        <f t="shared" si="306"/>
        <v/>
      </c>
      <c r="O3871" s="33" t="str">
        <f t="shared" si="307"/>
        <v/>
      </c>
      <c r="P3871" s="33" t="str">
        <f t="shared" si="308"/>
        <v/>
      </c>
    </row>
    <row r="3872" spans="9:16">
      <c r="I3872" s="23" t="str">
        <f>_xlfn.IFNA(VLOOKUP(A3872,A$3524:$H3873,8,0),"")</f>
        <v/>
      </c>
      <c r="J3872" s="40" t="str">
        <f t="shared" si="309"/>
        <v/>
      </c>
      <c r="K3872" s="24" t="str">
        <f t="shared" si="310"/>
        <v/>
      </c>
      <c r="L3872" s="25" t="str">
        <f t="shared" si="306"/>
        <v/>
      </c>
      <c r="O3872" s="33" t="str">
        <f t="shared" si="307"/>
        <v/>
      </c>
      <c r="P3872" s="33" t="str">
        <f t="shared" si="308"/>
        <v/>
      </c>
    </row>
    <row r="3873" spans="9:16">
      <c r="I3873" s="23" t="str">
        <f>_xlfn.IFNA(VLOOKUP(A3873,A$3524:$H3874,8,0),"")</f>
        <v/>
      </c>
      <c r="J3873" s="40" t="str">
        <f t="shared" si="309"/>
        <v/>
      </c>
      <c r="K3873" s="24" t="str">
        <f t="shared" si="310"/>
        <v/>
      </c>
      <c r="L3873" s="25" t="str">
        <f t="shared" si="306"/>
        <v/>
      </c>
      <c r="O3873" s="33" t="str">
        <f t="shared" si="307"/>
        <v/>
      </c>
      <c r="P3873" s="33" t="str">
        <f t="shared" si="308"/>
        <v/>
      </c>
    </row>
    <row r="3874" spans="9:16">
      <c r="I3874" s="23" t="str">
        <f>_xlfn.IFNA(VLOOKUP(A3874,A$3524:$H3875,8,0),"")</f>
        <v/>
      </c>
      <c r="J3874" s="40" t="str">
        <f t="shared" si="309"/>
        <v/>
      </c>
      <c r="K3874" s="24" t="str">
        <f t="shared" si="310"/>
        <v/>
      </c>
      <c r="L3874" s="25" t="str">
        <f t="shared" si="306"/>
        <v/>
      </c>
      <c r="O3874" s="33" t="str">
        <f t="shared" si="307"/>
        <v/>
      </c>
      <c r="P3874" s="33" t="str">
        <f t="shared" si="308"/>
        <v/>
      </c>
    </row>
    <row r="3875" spans="9:16">
      <c r="I3875" s="23" t="str">
        <f>_xlfn.IFNA(VLOOKUP(A3875,A$3524:$H3876,8,0),"")</f>
        <v/>
      </c>
      <c r="J3875" s="40" t="str">
        <f t="shared" si="309"/>
        <v/>
      </c>
      <c r="K3875" s="24" t="str">
        <f t="shared" si="310"/>
        <v/>
      </c>
      <c r="L3875" s="25" t="str">
        <f t="shared" si="306"/>
        <v/>
      </c>
      <c r="O3875" s="33" t="str">
        <f t="shared" si="307"/>
        <v/>
      </c>
      <c r="P3875" s="33" t="str">
        <f t="shared" si="308"/>
        <v/>
      </c>
    </row>
    <row r="3876" spans="9:16">
      <c r="I3876" s="23" t="str">
        <f>_xlfn.IFNA(VLOOKUP(A3876,A$3524:$H3877,8,0),"")</f>
        <v/>
      </c>
      <c r="J3876" s="40" t="str">
        <f t="shared" si="309"/>
        <v/>
      </c>
      <c r="K3876" s="24" t="str">
        <f t="shared" si="310"/>
        <v/>
      </c>
      <c r="L3876" s="25" t="str">
        <f t="shared" si="306"/>
        <v/>
      </c>
      <c r="O3876" s="33" t="str">
        <f t="shared" si="307"/>
        <v/>
      </c>
      <c r="P3876" s="33" t="str">
        <f t="shared" si="308"/>
        <v/>
      </c>
    </row>
    <row r="3877" spans="9:16">
      <c r="I3877" s="23" t="str">
        <f>_xlfn.IFNA(VLOOKUP(A3877,A$3524:$H3878,8,0),"")</f>
        <v/>
      </c>
      <c r="J3877" s="40" t="str">
        <f t="shared" si="309"/>
        <v/>
      </c>
      <c r="K3877" s="24" t="str">
        <f t="shared" si="310"/>
        <v/>
      </c>
      <c r="L3877" s="25" t="str">
        <f t="shared" si="306"/>
        <v/>
      </c>
      <c r="O3877" s="33" t="str">
        <f t="shared" si="307"/>
        <v/>
      </c>
      <c r="P3877" s="33" t="str">
        <f t="shared" si="308"/>
        <v/>
      </c>
    </row>
    <row r="3878" spans="9:16">
      <c r="I3878" s="23" t="str">
        <f>_xlfn.IFNA(VLOOKUP(A3878,A$3524:$H3879,8,0),"")</f>
        <v/>
      </c>
      <c r="J3878" s="40" t="str">
        <f t="shared" si="309"/>
        <v/>
      </c>
      <c r="K3878" s="24" t="str">
        <f t="shared" si="310"/>
        <v/>
      </c>
      <c r="L3878" s="25" t="str">
        <f t="shared" si="306"/>
        <v/>
      </c>
      <c r="O3878" s="33" t="str">
        <f t="shared" si="307"/>
        <v/>
      </c>
      <c r="P3878" s="33" t="str">
        <f t="shared" si="308"/>
        <v/>
      </c>
    </row>
    <row r="3879" spans="9:16">
      <c r="I3879" s="23" t="str">
        <f>_xlfn.IFNA(VLOOKUP(A3879,A$3524:$H3880,8,0),"")</f>
        <v/>
      </c>
      <c r="J3879" s="40" t="str">
        <f t="shared" si="309"/>
        <v/>
      </c>
      <c r="K3879" s="24" t="str">
        <f t="shared" si="310"/>
        <v/>
      </c>
      <c r="L3879" s="25" t="str">
        <f t="shared" si="306"/>
        <v/>
      </c>
      <c r="O3879" s="33" t="str">
        <f t="shared" si="307"/>
        <v/>
      </c>
      <c r="P3879" s="33" t="str">
        <f t="shared" si="308"/>
        <v/>
      </c>
    </row>
    <row r="3880" spans="9:16">
      <c r="I3880" s="23" t="str">
        <f>_xlfn.IFNA(VLOOKUP(A3880,A$3524:$H3881,8,0),"")</f>
        <v/>
      </c>
      <c r="J3880" s="40" t="str">
        <f t="shared" si="309"/>
        <v/>
      </c>
      <c r="K3880" s="24" t="str">
        <f t="shared" si="310"/>
        <v/>
      </c>
      <c r="L3880" s="25" t="str">
        <f t="shared" si="306"/>
        <v/>
      </c>
      <c r="O3880" s="33" t="str">
        <f t="shared" si="307"/>
        <v/>
      </c>
      <c r="P3880" s="33" t="str">
        <f t="shared" si="308"/>
        <v/>
      </c>
    </row>
    <row r="3881" spans="9:16">
      <c r="I3881" s="23" t="str">
        <f>_xlfn.IFNA(VLOOKUP(A3881,A$3524:$H3882,8,0),"")</f>
        <v/>
      </c>
      <c r="J3881" s="40" t="str">
        <f t="shared" si="309"/>
        <v/>
      </c>
      <c r="K3881" s="24" t="str">
        <f t="shared" si="310"/>
        <v/>
      </c>
      <c r="L3881" s="25" t="str">
        <f t="shared" si="306"/>
        <v/>
      </c>
      <c r="O3881" s="33" t="str">
        <f t="shared" si="307"/>
        <v/>
      </c>
      <c r="P3881" s="33" t="str">
        <f t="shared" si="308"/>
        <v/>
      </c>
    </row>
    <row r="3882" spans="9:16">
      <c r="I3882" s="23" t="str">
        <f>_xlfn.IFNA(VLOOKUP(A3882,A$3524:$H3883,8,0),"")</f>
        <v/>
      </c>
      <c r="J3882" s="40" t="str">
        <f t="shared" si="309"/>
        <v/>
      </c>
      <c r="K3882" s="24" t="str">
        <f t="shared" si="310"/>
        <v/>
      </c>
      <c r="L3882" s="25" t="str">
        <f t="shared" si="306"/>
        <v/>
      </c>
      <c r="O3882" s="33" t="str">
        <f t="shared" si="307"/>
        <v/>
      </c>
      <c r="P3882" s="33" t="str">
        <f t="shared" si="308"/>
        <v/>
      </c>
    </row>
    <row r="3883" spans="9:16">
      <c r="I3883" s="23" t="str">
        <f>_xlfn.IFNA(VLOOKUP(A3883,A$3524:$H3884,8,0),"")</f>
        <v/>
      </c>
      <c r="J3883" s="40" t="str">
        <f t="shared" si="309"/>
        <v/>
      </c>
      <c r="K3883" s="24" t="str">
        <f t="shared" si="310"/>
        <v/>
      </c>
      <c r="L3883" s="25" t="str">
        <f t="shared" si="306"/>
        <v/>
      </c>
      <c r="O3883" s="33" t="str">
        <f t="shared" si="307"/>
        <v/>
      </c>
      <c r="P3883" s="33" t="str">
        <f t="shared" si="308"/>
        <v/>
      </c>
    </row>
    <row r="3884" spans="9:16">
      <c r="I3884" s="23" t="str">
        <f>_xlfn.IFNA(VLOOKUP(A3884,A$3524:$H3885,8,0),"")</f>
        <v/>
      </c>
      <c r="J3884" s="40" t="str">
        <f t="shared" si="309"/>
        <v/>
      </c>
      <c r="K3884" s="24" t="str">
        <f t="shared" si="310"/>
        <v/>
      </c>
      <c r="L3884" s="25" t="str">
        <f t="shared" si="306"/>
        <v/>
      </c>
      <c r="O3884" s="33" t="str">
        <f t="shared" si="307"/>
        <v/>
      </c>
      <c r="P3884" s="33" t="str">
        <f t="shared" si="308"/>
        <v/>
      </c>
    </row>
    <row r="3885" spans="9:16">
      <c r="I3885" s="23" t="str">
        <f>_xlfn.IFNA(VLOOKUP(A3885,A$3524:$H3886,8,0),"")</f>
        <v/>
      </c>
      <c r="J3885" s="40" t="str">
        <f t="shared" si="309"/>
        <v/>
      </c>
      <c r="K3885" s="24" t="str">
        <f t="shared" si="310"/>
        <v/>
      </c>
      <c r="L3885" s="25" t="str">
        <f t="shared" si="306"/>
        <v/>
      </c>
      <c r="O3885" s="33" t="str">
        <f t="shared" si="307"/>
        <v/>
      </c>
      <c r="P3885" s="33" t="str">
        <f t="shared" si="308"/>
        <v/>
      </c>
    </row>
    <row r="3886" spans="9:16">
      <c r="I3886" s="23" t="str">
        <f>_xlfn.IFNA(VLOOKUP(A3886,A$3524:$H3887,8,0),"")</f>
        <v/>
      </c>
      <c r="J3886" s="40" t="str">
        <f t="shared" si="309"/>
        <v/>
      </c>
      <c r="K3886" s="24" t="str">
        <f t="shared" si="310"/>
        <v/>
      </c>
      <c r="L3886" s="25" t="str">
        <f t="shared" si="306"/>
        <v/>
      </c>
      <c r="O3886" s="33" t="str">
        <f t="shared" si="307"/>
        <v/>
      </c>
      <c r="P3886" s="33" t="str">
        <f t="shared" si="308"/>
        <v/>
      </c>
    </row>
    <row r="3887" spans="9:16">
      <c r="I3887" s="23" t="str">
        <f>_xlfn.IFNA(VLOOKUP(A3887,A$3524:$H3888,8,0),"")</f>
        <v/>
      </c>
      <c r="J3887" s="40" t="str">
        <f t="shared" si="309"/>
        <v/>
      </c>
      <c r="K3887" s="24" t="str">
        <f t="shared" si="310"/>
        <v/>
      </c>
      <c r="L3887" s="25" t="str">
        <f t="shared" si="306"/>
        <v/>
      </c>
      <c r="O3887" s="33" t="str">
        <f t="shared" si="307"/>
        <v/>
      </c>
      <c r="P3887" s="33" t="str">
        <f t="shared" si="308"/>
        <v/>
      </c>
    </row>
    <row r="3888" spans="9:16">
      <c r="I3888" s="23" t="str">
        <f>_xlfn.IFNA(VLOOKUP(A3888,A$3524:$H3889,8,0),"")</f>
        <v/>
      </c>
      <c r="J3888" s="40" t="str">
        <f t="shared" si="309"/>
        <v/>
      </c>
      <c r="K3888" s="24" t="str">
        <f t="shared" si="310"/>
        <v/>
      </c>
      <c r="L3888" s="25" t="str">
        <f t="shared" si="306"/>
        <v/>
      </c>
      <c r="O3888" s="33" t="str">
        <f t="shared" si="307"/>
        <v/>
      </c>
      <c r="P3888" s="33" t="str">
        <f t="shared" si="308"/>
        <v/>
      </c>
    </row>
    <row r="3889" spans="9:16">
      <c r="I3889" s="23" t="str">
        <f>_xlfn.IFNA(VLOOKUP(A3889,A$3524:$H3890,8,0),"")</f>
        <v/>
      </c>
      <c r="J3889" s="40" t="str">
        <f t="shared" si="309"/>
        <v/>
      </c>
      <c r="K3889" s="24" t="str">
        <f t="shared" si="310"/>
        <v/>
      </c>
      <c r="L3889" s="25" t="str">
        <f t="shared" si="306"/>
        <v/>
      </c>
      <c r="O3889" s="33" t="str">
        <f t="shared" si="307"/>
        <v/>
      </c>
      <c r="P3889" s="33" t="str">
        <f t="shared" si="308"/>
        <v/>
      </c>
    </row>
    <row r="3890" spans="9:16">
      <c r="I3890" s="23" t="str">
        <f>_xlfn.IFNA(VLOOKUP(A3890,A$3524:$H3891,8,0),"")</f>
        <v/>
      </c>
      <c r="J3890" s="40" t="str">
        <f t="shared" si="309"/>
        <v/>
      </c>
      <c r="K3890" s="24" t="str">
        <f t="shared" si="310"/>
        <v/>
      </c>
      <c r="L3890" s="25" t="str">
        <f t="shared" si="306"/>
        <v/>
      </c>
      <c r="O3890" s="33" t="str">
        <f t="shared" si="307"/>
        <v/>
      </c>
      <c r="P3890" s="33" t="str">
        <f t="shared" si="308"/>
        <v/>
      </c>
    </row>
    <row r="3891" spans="9:16">
      <c r="I3891" s="23" t="str">
        <f>_xlfn.IFNA(VLOOKUP(A3891,A$3524:$H3892,8,0),"")</f>
        <v/>
      </c>
      <c r="J3891" s="40" t="str">
        <f t="shared" si="309"/>
        <v/>
      </c>
      <c r="K3891" s="24" t="str">
        <f t="shared" si="310"/>
        <v/>
      </c>
      <c r="L3891" s="25" t="str">
        <f t="shared" si="306"/>
        <v/>
      </c>
      <c r="O3891" s="33" t="str">
        <f t="shared" si="307"/>
        <v/>
      </c>
      <c r="P3891" s="33" t="str">
        <f t="shared" si="308"/>
        <v/>
      </c>
    </row>
    <row r="3892" spans="9:16">
      <c r="I3892" s="23" t="str">
        <f>_xlfn.IFNA(VLOOKUP(A3892,A$3524:$H3893,8,0),"")</f>
        <v/>
      </c>
      <c r="J3892" s="40" t="str">
        <f t="shared" si="309"/>
        <v/>
      </c>
      <c r="K3892" s="24" t="str">
        <f t="shared" si="310"/>
        <v/>
      </c>
      <c r="L3892" s="25" t="str">
        <f t="shared" si="306"/>
        <v/>
      </c>
      <c r="O3892" s="33" t="str">
        <f t="shared" si="307"/>
        <v/>
      </c>
      <c r="P3892" s="33" t="str">
        <f t="shared" si="308"/>
        <v/>
      </c>
    </row>
    <row r="3893" spans="9:16">
      <c r="I3893" s="23" t="str">
        <f>_xlfn.IFNA(VLOOKUP(A3893,A$3524:$H3894,8,0),"")</f>
        <v/>
      </c>
      <c r="J3893" s="40" t="str">
        <f t="shared" si="309"/>
        <v/>
      </c>
      <c r="K3893" s="24" t="str">
        <f t="shared" si="310"/>
        <v/>
      </c>
      <c r="L3893" s="25" t="str">
        <f t="shared" si="306"/>
        <v/>
      </c>
      <c r="O3893" s="33" t="str">
        <f t="shared" si="307"/>
        <v/>
      </c>
      <c r="P3893" s="33" t="str">
        <f t="shared" si="308"/>
        <v/>
      </c>
    </row>
    <row r="3894" spans="9:16">
      <c r="I3894" s="23" t="str">
        <f>_xlfn.IFNA(VLOOKUP(A3894,A$3524:$H3895,8,0),"")</f>
        <v/>
      </c>
      <c r="J3894" s="40" t="str">
        <f t="shared" si="309"/>
        <v/>
      </c>
      <c r="K3894" s="24" t="str">
        <f t="shared" si="310"/>
        <v/>
      </c>
      <c r="L3894" s="25" t="str">
        <f t="shared" si="306"/>
        <v/>
      </c>
      <c r="O3894" s="33" t="str">
        <f t="shared" si="307"/>
        <v/>
      </c>
      <c r="P3894" s="33" t="str">
        <f t="shared" si="308"/>
        <v/>
      </c>
    </row>
    <row r="3895" spans="9:16">
      <c r="I3895" s="23" t="str">
        <f>_xlfn.IFNA(VLOOKUP(A3895,A$3524:$H3896,8,0),"")</f>
        <v/>
      </c>
      <c r="J3895" s="40" t="str">
        <f t="shared" si="309"/>
        <v/>
      </c>
      <c r="K3895" s="24" t="str">
        <f t="shared" si="310"/>
        <v/>
      </c>
      <c r="L3895" s="25" t="str">
        <f t="shared" ref="L3895:L3958" si="311">IF(K3895="","",IF(B3895="Break","Break",IF(K3895&lt;&gt;0,"Work Finished",IF(B3895="OFF","Work Finished",IF(I3895="","Working","Work Finished")))))</f>
        <v/>
      </c>
      <c r="O3895" s="33" t="str">
        <f t="shared" ref="O3895:O3958" si="312">IF(AND(J3895="",M3895="",N3895=""),"",J3895-M3895-N3895)</f>
        <v/>
      </c>
      <c r="P3895" s="33" t="str">
        <f t="shared" ref="P3895:P3958" si="313">IF(HOUR(H3895)=0,"",HOUR(H3895))</f>
        <v/>
      </c>
    </row>
    <row r="3896" spans="9:16">
      <c r="I3896" s="23" t="str">
        <f>_xlfn.IFNA(VLOOKUP(A3896,A$3524:$H3897,8,0),"")</f>
        <v/>
      </c>
      <c r="J3896" s="40" t="str">
        <f t="shared" si="309"/>
        <v/>
      </c>
      <c r="K3896" s="24" t="str">
        <f t="shared" si="310"/>
        <v/>
      </c>
      <c r="L3896" s="25" t="str">
        <f t="shared" si="311"/>
        <v/>
      </c>
      <c r="O3896" s="33" t="str">
        <f t="shared" si="312"/>
        <v/>
      </c>
      <c r="P3896" s="33" t="str">
        <f t="shared" si="313"/>
        <v/>
      </c>
    </row>
    <row r="3897" spans="9:16">
      <c r="I3897" s="23" t="str">
        <f>_xlfn.IFNA(VLOOKUP(A3897,A$3524:$H3898,8,0),"")</f>
        <v/>
      </c>
      <c r="J3897" s="40" t="str">
        <f t="shared" si="309"/>
        <v/>
      </c>
      <c r="K3897" s="24" t="str">
        <f t="shared" si="310"/>
        <v/>
      </c>
      <c r="L3897" s="25" t="str">
        <f t="shared" si="311"/>
        <v/>
      </c>
      <c r="O3897" s="33" t="str">
        <f t="shared" si="312"/>
        <v/>
      </c>
      <c r="P3897" s="33" t="str">
        <f t="shared" si="313"/>
        <v/>
      </c>
    </row>
    <row r="3898" spans="9:16">
      <c r="I3898" s="23" t="str">
        <f>_xlfn.IFNA(VLOOKUP(A3898,A$3524:$H3899,8,0),"")</f>
        <v/>
      </c>
      <c r="J3898" s="40" t="str">
        <f t="shared" si="309"/>
        <v/>
      </c>
      <c r="K3898" s="24" t="str">
        <f t="shared" si="310"/>
        <v/>
      </c>
      <c r="L3898" s="25" t="str">
        <f t="shared" si="311"/>
        <v/>
      </c>
      <c r="O3898" s="33" t="str">
        <f t="shared" si="312"/>
        <v/>
      </c>
      <c r="P3898" s="33" t="str">
        <f t="shared" si="313"/>
        <v/>
      </c>
    </row>
    <row r="3899" spans="9:16">
      <c r="I3899" s="23" t="str">
        <f>_xlfn.IFNA(VLOOKUP(A3899,A$3524:$H3900,8,0),"")</f>
        <v/>
      </c>
      <c r="J3899" s="40" t="str">
        <f t="shared" si="309"/>
        <v/>
      </c>
      <c r="K3899" s="24" t="str">
        <f t="shared" si="310"/>
        <v/>
      </c>
      <c r="L3899" s="25" t="str">
        <f t="shared" si="311"/>
        <v/>
      </c>
      <c r="O3899" s="33" t="str">
        <f t="shared" si="312"/>
        <v/>
      </c>
      <c r="P3899" s="33" t="str">
        <f t="shared" si="313"/>
        <v/>
      </c>
    </row>
    <row r="3900" spans="9:16">
      <c r="I3900" s="23" t="str">
        <f>_xlfn.IFNA(VLOOKUP(A3900,A$3524:$H3901,8,0),"")</f>
        <v/>
      </c>
      <c r="J3900" s="40" t="str">
        <f t="shared" si="309"/>
        <v/>
      </c>
      <c r="K3900" s="24" t="str">
        <f t="shared" si="310"/>
        <v/>
      </c>
      <c r="L3900" s="25" t="str">
        <f t="shared" si="311"/>
        <v/>
      </c>
      <c r="O3900" s="33" t="str">
        <f t="shared" si="312"/>
        <v/>
      </c>
      <c r="P3900" s="33" t="str">
        <f t="shared" si="313"/>
        <v/>
      </c>
    </row>
    <row r="3901" spans="9:16">
      <c r="I3901" s="23" t="str">
        <f>_xlfn.IFNA(VLOOKUP(A3901,A$3524:$H3902,8,0),"")</f>
        <v/>
      </c>
      <c r="J3901" s="40" t="str">
        <f t="shared" si="309"/>
        <v/>
      </c>
      <c r="K3901" s="24" t="str">
        <f t="shared" si="310"/>
        <v/>
      </c>
      <c r="L3901" s="25" t="str">
        <f t="shared" si="311"/>
        <v/>
      </c>
      <c r="O3901" s="33" t="str">
        <f t="shared" si="312"/>
        <v/>
      </c>
      <c r="P3901" s="33" t="str">
        <f t="shared" si="313"/>
        <v/>
      </c>
    </row>
    <row r="3902" spans="9:16">
      <c r="I3902" s="23" t="str">
        <f>_xlfn.IFNA(VLOOKUP(A3902,A$3524:$H3903,8,0),"")</f>
        <v/>
      </c>
      <c r="J3902" s="40" t="str">
        <f t="shared" si="309"/>
        <v/>
      </c>
      <c r="K3902" s="24" t="str">
        <f t="shared" si="310"/>
        <v/>
      </c>
      <c r="L3902" s="25" t="str">
        <f t="shared" si="311"/>
        <v/>
      </c>
      <c r="O3902" s="33" t="str">
        <f t="shared" si="312"/>
        <v/>
      </c>
      <c r="P3902" s="33" t="str">
        <f t="shared" si="313"/>
        <v/>
      </c>
    </row>
    <row r="3903" spans="9:16">
      <c r="I3903" s="23" t="str">
        <f>_xlfn.IFNA(VLOOKUP(A3903,A$3524:$H3904,8,0),"")</f>
        <v/>
      </c>
      <c r="J3903" s="40" t="str">
        <f t="shared" si="309"/>
        <v/>
      </c>
      <c r="K3903" s="24" t="str">
        <f t="shared" si="310"/>
        <v/>
      </c>
      <c r="L3903" s="25" t="str">
        <f t="shared" si="311"/>
        <v/>
      </c>
      <c r="O3903" s="33" t="str">
        <f t="shared" si="312"/>
        <v/>
      </c>
      <c r="P3903" s="33" t="str">
        <f t="shared" si="313"/>
        <v/>
      </c>
    </row>
    <row r="3904" spans="9:16">
      <c r="I3904" s="23" t="str">
        <f>_xlfn.IFNA(VLOOKUP(A3904,A$3524:$H3905,8,0),"")</f>
        <v/>
      </c>
      <c r="J3904" s="40" t="str">
        <f t="shared" si="309"/>
        <v/>
      </c>
      <c r="K3904" s="24" t="str">
        <f t="shared" si="310"/>
        <v/>
      </c>
      <c r="L3904" s="25" t="str">
        <f t="shared" si="311"/>
        <v/>
      </c>
      <c r="O3904" s="33" t="str">
        <f t="shared" si="312"/>
        <v/>
      </c>
      <c r="P3904" s="33" t="str">
        <f t="shared" si="313"/>
        <v/>
      </c>
    </row>
    <row r="3905" spans="9:16">
      <c r="I3905" s="23" t="str">
        <f>_xlfn.IFNA(VLOOKUP(A3905,A$3524:$H3906,8,0),"")</f>
        <v/>
      </c>
      <c r="J3905" s="40" t="str">
        <f t="shared" si="309"/>
        <v/>
      </c>
      <c r="K3905" s="24" t="str">
        <f t="shared" si="310"/>
        <v/>
      </c>
      <c r="L3905" s="25" t="str">
        <f t="shared" si="311"/>
        <v/>
      </c>
      <c r="O3905" s="33" t="str">
        <f t="shared" si="312"/>
        <v/>
      </c>
      <c r="P3905" s="33" t="str">
        <f t="shared" si="313"/>
        <v/>
      </c>
    </row>
    <row r="3906" spans="9:16">
      <c r="I3906" s="23" t="str">
        <f>_xlfn.IFNA(VLOOKUP(A3906,A$3524:$H3907,8,0),"")</f>
        <v/>
      </c>
      <c r="J3906" s="40" t="str">
        <f t="shared" si="309"/>
        <v/>
      </c>
      <c r="K3906" s="24" t="str">
        <f t="shared" si="310"/>
        <v/>
      </c>
      <c r="L3906" s="25" t="str">
        <f t="shared" si="311"/>
        <v/>
      </c>
      <c r="O3906" s="33" t="str">
        <f t="shared" si="312"/>
        <v/>
      </c>
      <c r="P3906" s="33" t="str">
        <f t="shared" si="313"/>
        <v/>
      </c>
    </row>
    <row r="3907" spans="9:16">
      <c r="I3907" s="23" t="str">
        <f>_xlfn.IFNA(VLOOKUP(A3907,A$3524:$H3908,8,0),"")</f>
        <v/>
      </c>
      <c r="J3907" s="40" t="str">
        <f t="shared" si="309"/>
        <v/>
      </c>
      <c r="K3907" s="24" t="str">
        <f t="shared" si="310"/>
        <v/>
      </c>
      <c r="L3907" s="25" t="str">
        <f t="shared" si="311"/>
        <v/>
      </c>
      <c r="O3907" s="33" t="str">
        <f t="shared" si="312"/>
        <v/>
      </c>
      <c r="P3907" s="33" t="str">
        <f t="shared" si="313"/>
        <v/>
      </c>
    </row>
    <row r="3908" spans="9:16">
      <c r="I3908" s="23" t="str">
        <f>_xlfn.IFNA(VLOOKUP(A3908,A$3524:$H3909,8,0),"")</f>
        <v/>
      </c>
      <c r="J3908" s="40" t="str">
        <f t="shared" si="309"/>
        <v/>
      </c>
      <c r="K3908" s="24" t="str">
        <f t="shared" si="310"/>
        <v/>
      </c>
      <c r="L3908" s="25" t="str">
        <f t="shared" si="311"/>
        <v/>
      </c>
      <c r="O3908" s="33" t="str">
        <f t="shared" si="312"/>
        <v/>
      </c>
      <c r="P3908" s="33" t="str">
        <f t="shared" si="313"/>
        <v/>
      </c>
    </row>
    <row r="3909" spans="9:16">
      <c r="I3909" s="23" t="str">
        <f>_xlfn.IFNA(VLOOKUP(A3909,A$3524:$H3910,8,0),"")</f>
        <v/>
      </c>
      <c r="J3909" s="40" t="str">
        <f t="shared" si="309"/>
        <v/>
      </c>
      <c r="K3909" s="24" t="str">
        <f t="shared" si="310"/>
        <v/>
      </c>
      <c r="L3909" s="25" t="str">
        <f t="shared" si="311"/>
        <v/>
      </c>
      <c r="O3909" s="33" t="str">
        <f t="shared" si="312"/>
        <v/>
      </c>
      <c r="P3909" s="33" t="str">
        <f t="shared" si="313"/>
        <v/>
      </c>
    </row>
    <row r="3910" spans="9:16">
      <c r="I3910" s="23" t="str">
        <f>_xlfn.IFNA(VLOOKUP(A3910,A$3524:$H3911,8,0),"")</f>
        <v/>
      </c>
      <c r="J3910" s="40" t="str">
        <f t="shared" ref="J3910:J3973" si="314">IF(B3910="OFF",0,IF(AND(D3910&lt;&gt;"",E3910&lt;&gt;""),E3910-D3910+1,""))</f>
        <v/>
      </c>
      <c r="K3910" s="24" t="str">
        <f t="shared" si="310"/>
        <v/>
      </c>
      <c r="L3910" s="25" t="str">
        <f t="shared" si="311"/>
        <v/>
      </c>
      <c r="O3910" s="33" t="str">
        <f t="shared" si="312"/>
        <v/>
      </c>
      <c r="P3910" s="33" t="str">
        <f t="shared" si="313"/>
        <v/>
      </c>
    </row>
    <row r="3911" spans="9:16">
      <c r="I3911" s="23" t="str">
        <f>_xlfn.IFNA(VLOOKUP(A3911,A$3524:$H3912,8,0),"")</f>
        <v/>
      </c>
      <c r="J3911" s="40" t="str">
        <f t="shared" si="314"/>
        <v/>
      </c>
      <c r="K3911" s="24" t="str">
        <f t="shared" si="310"/>
        <v/>
      </c>
      <c r="L3911" s="25" t="str">
        <f t="shared" si="311"/>
        <v/>
      </c>
      <c r="O3911" s="33" t="str">
        <f t="shared" si="312"/>
        <v/>
      </c>
      <c r="P3911" s="33" t="str">
        <f t="shared" si="313"/>
        <v/>
      </c>
    </row>
    <row r="3912" spans="9:16">
      <c r="I3912" s="23" t="str">
        <f>_xlfn.IFNA(VLOOKUP(A3912,A$3524:$H3913,8,0),"")</f>
        <v/>
      </c>
      <c r="J3912" s="40" t="str">
        <f t="shared" si="314"/>
        <v/>
      </c>
      <c r="K3912" s="24" t="str">
        <f t="shared" si="310"/>
        <v/>
      </c>
      <c r="L3912" s="25" t="str">
        <f t="shared" si="311"/>
        <v/>
      </c>
      <c r="O3912" s="33" t="str">
        <f t="shared" si="312"/>
        <v/>
      </c>
      <c r="P3912" s="33" t="str">
        <f t="shared" si="313"/>
        <v/>
      </c>
    </row>
    <row r="3913" spans="9:16">
      <c r="I3913" s="23" t="str">
        <f>_xlfn.IFNA(VLOOKUP(A3913,A$3524:$H3914,8,0),"")</f>
        <v/>
      </c>
      <c r="J3913" s="40" t="str">
        <f t="shared" si="314"/>
        <v/>
      </c>
      <c r="K3913" s="24" t="str">
        <f t="shared" si="310"/>
        <v/>
      </c>
      <c r="L3913" s="25" t="str">
        <f t="shared" si="311"/>
        <v/>
      </c>
      <c r="O3913" s="33" t="str">
        <f t="shared" si="312"/>
        <v/>
      </c>
      <c r="P3913" s="33" t="str">
        <f t="shared" si="313"/>
        <v/>
      </c>
    </row>
    <row r="3914" spans="9:16">
      <c r="I3914" s="23" t="str">
        <f>_xlfn.IFNA(VLOOKUP(A3914,A$3524:$H3915,8,0),"")</f>
        <v/>
      </c>
      <c r="J3914" s="40" t="str">
        <f t="shared" si="314"/>
        <v/>
      </c>
      <c r="K3914" s="24" t="str">
        <f t="shared" si="310"/>
        <v/>
      </c>
      <c r="L3914" s="25" t="str">
        <f t="shared" si="311"/>
        <v/>
      </c>
      <c r="O3914" s="33" t="str">
        <f t="shared" si="312"/>
        <v/>
      </c>
      <c r="P3914" s="33" t="str">
        <f t="shared" si="313"/>
        <v/>
      </c>
    </row>
    <row r="3915" spans="9:16">
      <c r="I3915" s="23" t="str">
        <f>_xlfn.IFNA(VLOOKUP(A3915,A$3524:$H3916,8,0),"")</f>
        <v/>
      </c>
      <c r="J3915" s="40" t="str">
        <f t="shared" si="314"/>
        <v/>
      </c>
      <c r="K3915" s="24" t="str">
        <f t="shared" si="310"/>
        <v/>
      </c>
      <c r="L3915" s="25" t="str">
        <f t="shared" si="311"/>
        <v/>
      </c>
      <c r="O3915" s="33" t="str">
        <f t="shared" si="312"/>
        <v/>
      </c>
      <c r="P3915" s="33" t="str">
        <f t="shared" si="313"/>
        <v/>
      </c>
    </row>
    <row r="3916" spans="9:16">
      <c r="I3916" s="23" t="str">
        <f>_xlfn.IFNA(VLOOKUP(A3916,A$3524:$H3917,8,0),"")</f>
        <v/>
      </c>
      <c r="J3916" s="40" t="str">
        <f t="shared" si="314"/>
        <v/>
      </c>
      <c r="K3916" s="24" t="str">
        <f t="shared" si="310"/>
        <v/>
      </c>
      <c r="L3916" s="25" t="str">
        <f t="shared" si="311"/>
        <v/>
      </c>
      <c r="O3916" s="33" t="str">
        <f t="shared" si="312"/>
        <v/>
      </c>
      <c r="P3916" s="33" t="str">
        <f t="shared" si="313"/>
        <v/>
      </c>
    </row>
    <row r="3917" spans="9:16">
      <c r="I3917" s="23" t="str">
        <f>_xlfn.IFNA(VLOOKUP(A3917,A$3524:$H3918,8,0),"")</f>
        <v/>
      </c>
      <c r="J3917" s="40" t="str">
        <f t="shared" si="314"/>
        <v/>
      </c>
      <c r="K3917" s="24" t="str">
        <f t="shared" si="310"/>
        <v/>
      </c>
      <c r="L3917" s="25" t="str">
        <f t="shared" si="311"/>
        <v/>
      </c>
      <c r="O3917" s="33" t="str">
        <f t="shared" si="312"/>
        <v/>
      </c>
      <c r="P3917" s="33" t="str">
        <f t="shared" si="313"/>
        <v/>
      </c>
    </row>
    <row r="3918" spans="9:16">
      <c r="I3918" s="23" t="str">
        <f>_xlfn.IFNA(VLOOKUP(A3918,A$3524:$H3919,8,0),"")</f>
        <v/>
      </c>
      <c r="J3918" s="40" t="str">
        <f t="shared" si="314"/>
        <v/>
      </c>
      <c r="K3918" s="24" t="str">
        <f t="shared" si="310"/>
        <v/>
      </c>
      <c r="L3918" s="25" t="str">
        <f t="shared" si="311"/>
        <v/>
      </c>
      <c r="O3918" s="33" t="str">
        <f t="shared" si="312"/>
        <v/>
      </c>
      <c r="P3918" s="33" t="str">
        <f t="shared" si="313"/>
        <v/>
      </c>
    </row>
    <row r="3919" spans="9:16">
      <c r="I3919" s="23" t="str">
        <f>_xlfn.IFNA(VLOOKUP(A3919,A$3524:$H3920,8,0),"")</f>
        <v/>
      </c>
      <c r="J3919" s="40" t="str">
        <f t="shared" si="314"/>
        <v/>
      </c>
      <c r="K3919" s="24" t="str">
        <f t="shared" si="310"/>
        <v/>
      </c>
      <c r="L3919" s="25" t="str">
        <f t="shared" si="311"/>
        <v/>
      </c>
      <c r="O3919" s="33" t="str">
        <f t="shared" si="312"/>
        <v/>
      </c>
      <c r="P3919" s="33" t="str">
        <f t="shared" si="313"/>
        <v/>
      </c>
    </row>
    <row r="3920" spans="9:16">
      <c r="I3920" s="23" t="str">
        <f>_xlfn.IFNA(VLOOKUP(A3920,A$3524:$H3921,8,0),"")</f>
        <v/>
      </c>
      <c r="J3920" s="40" t="str">
        <f t="shared" si="314"/>
        <v/>
      </c>
      <c r="K3920" s="24" t="str">
        <f t="shared" si="310"/>
        <v/>
      </c>
      <c r="L3920" s="25" t="str">
        <f t="shared" si="311"/>
        <v/>
      </c>
      <c r="O3920" s="33" t="str">
        <f t="shared" si="312"/>
        <v/>
      </c>
      <c r="P3920" s="33" t="str">
        <f t="shared" si="313"/>
        <v/>
      </c>
    </row>
    <row r="3921" spans="9:16">
      <c r="I3921" s="23" t="str">
        <f>_xlfn.IFNA(VLOOKUP(A3921,A$3524:$H3922,8,0),"")</f>
        <v/>
      </c>
      <c r="J3921" s="40" t="str">
        <f t="shared" si="314"/>
        <v/>
      </c>
      <c r="K3921" s="24" t="str">
        <f t="shared" si="310"/>
        <v/>
      </c>
      <c r="L3921" s="25" t="str">
        <f t="shared" si="311"/>
        <v/>
      </c>
      <c r="O3921" s="33" t="str">
        <f t="shared" si="312"/>
        <v/>
      </c>
      <c r="P3921" s="33" t="str">
        <f t="shared" si="313"/>
        <v/>
      </c>
    </row>
    <row r="3922" spans="9:16">
      <c r="I3922" s="23" t="str">
        <f>_xlfn.IFNA(VLOOKUP(A3922,A$3524:$H3923,8,0),"")</f>
        <v/>
      </c>
      <c r="J3922" s="40" t="str">
        <f t="shared" si="314"/>
        <v/>
      </c>
      <c r="K3922" s="24" t="str">
        <f t="shared" si="310"/>
        <v/>
      </c>
      <c r="L3922" s="25" t="str">
        <f t="shared" si="311"/>
        <v/>
      </c>
      <c r="O3922" s="33" t="str">
        <f t="shared" si="312"/>
        <v/>
      </c>
      <c r="P3922" s="33" t="str">
        <f t="shared" si="313"/>
        <v/>
      </c>
    </row>
    <row r="3923" spans="9:16">
      <c r="I3923" s="23" t="str">
        <f>_xlfn.IFNA(VLOOKUP(A3923,A$3524:$H3924,8,0),"")</f>
        <v/>
      </c>
      <c r="J3923" s="40" t="str">
        <f t="shared" si="314"/>
        <v/>
      </c>
      <c r="K3923" s="24" t="str">
        <f t="shared" si="310"/>
        <v/>
      </c>
      <c r="L3923" s="25" t="str">
        <f t="shared" si="311"/>
        <v/>
      </c>
      <c r="O3923" s="33" t="str">
        <f t="shared" si="312"/>
        <v/>
      </c>
      <c r="P3923" s="33" t="str">
        <f t="shared" si="313"/>
        <v/>
      </c>
    </row>
    <row r="3924" spans="9:16">
      <c r="I3924" s="23" t="str">
        <f>_xlfn.IFNA(VLOOKUP(A3924,A$3524:$H3925,8,0),"")</f>
        <v/>
      </c>
      <c r="J3924" s="40" t="str">
        <f t="shared" si="314"/>
        <v/>
      </c>
      <c r="K3924" s="24" t="str">
        <f t="shared" si="310"/>
        <v/>
      </c>
      <c r="L3924" s="25" t="str">
        <f t="shared" si="311"/>
        <v/>
      </c>
      <c r="O3924" s="33" t="str">
        <f t="shared" si="312"/>
        <v/>
      </c>
      <c r="P3924" s="33" t="str">
        <f t="shared" si="313"/>
        <v/>
      </c>
    </row>
    <row r="3925" spans="9:16">
      <c r="I3925" s="23" t="str">
        <f>_xlfn.IFNA(VLOOKUP(A3925,A$3524:$H3926,8,0),"")</f>
        <v/>
      </c>
      <c r="J3925" s="40" t="str">
        <f t="shared" si="314"/>
        <v/>
      </c>
      <c r="K3925" s="24" t="str">
        <f t="shared" si="310"/>
        <v/>
      </c>
      <c r="L3925" s="25" t="str">
        <f t="shared" si="311"/>
        <v/>
      </c>
      <c r="O3925" s="33" t="str">
        <f t="shared" si="312"/>
        <v/>
      </c>
      <c r="P3925" s="33" t="str">
        <f t="shared" si="313"/>
        <v/>
      </c>
    </row>
    <row r="3926" spans="9:16">
      <c r="I3926" s="23" t="str">
        <f>_xlfn.IFNA(VLOOKUP(A3926,A$3524:$H3927,8,0),"")</f>
        <v/>
      </c>
      <c r="J3926" s="40" t="str">
        <f t="shared" si="314"/>
        <v/>
      </c>
      <c r="K3926" s="24" t="str">
        <f t="shared" ref="K3926:K3989" si="315">IF(H3926="","",IFERROR((I3926-H3926)*24,0))</f>
        <v/>
      </c>
      <c r="L3926" s="25" t="str">
        <f t="shared" si="311"/>
        <v/>
      </c>
      <c r="O3926" s="33" t="str">
        <f t="shared" si="312"/>
        <v/>
      </c>
      <c r="P3926" s="33" t="str">
        <f t="shared" si="313"/>
        <v/>
      </c>
    </row>
    <row r="3927" spans="9:16">
      <c r="I3927" s="23" t="str">
        <f>_xlfn.IFNA(VLOOKUP(A3927,A$3524:$H3928,8,0),"")</f>
        <v/>
      </c>
      <c r="J3927" s="40" t="str">
        <f t="shared" si="314"/>
        <v/>
      </c>
      <c r="K3927" s="24" t="str">
        <f t="shared" si="315"/>
        <v/>
      </c>
      <c r="L3927" s="25" t="str">
        <f t="shared" si="311"/>
        <v/>
      </c>
      <c r="O3927" s="33" t="str">
        <f t="shared" si="312"/>
        <v/>
      </c>
      <c r="P3927" s="33" t="str">
        <f t="shared" si="313"/>
        <v/>
      </c>
    </row>
    <row r="3928" spans="9:16">
      <c r="I3928" s="23" t="str">
        <f>_xlfn.IFNA(VLOOKUP(A3928,A$3524:$H3929,8,0),"")</f>
        <v/>
      </c>
      <c r="J3928" s="40" t="str">
        <f t="shared" si="314"/>
        <v/>
      </c>
      <c r="K3928" s="24" t="str">
        <f t="shared" si="315"/>
        <v/>
      </c>
      <c r="L3928" s="25" t="str">
        <f t="shared" si="311"/>
        <v/>
      </c>
      <c r="O3928" s="33" t="str">
        <f t="shared" si="312"/>
        <v/>
      </c>
      <c r="P3928" s="33" t="str">
        <f t="shared" si="313"/>
        <v/>
      </c>
    </row>
    <row r="3929" spans="9:16">
      <c r="I3929" s="23" t="str">
        <f>_xlfn.IFNA(VLOOKUP(A3929,A$3524:$H3930,8,0),"")</f>
        <v/>
      </c>
      <c r="J3929" s="40" t="str">
        <f t="shared" si="314"/>
        <v/>
      </c>
      <c r="K3929" s="24" t="str">
        <f t="shared" si="315"/>
        <v/>
      </c>
      <c r="L3929" s="25" t="str">
        <f t="shared" si="311"/>
        <v/>
      </c>
      <c r="O3929" s="33" t="str">
        <f t="shared" si="312"/>
        <v/>
      </c>
      <c r="P3929" s="33" t="str">
        <f t="shared" si="313"/>
        <v/>
      </c>
    </row>
    <row r="3930" spans="9:16">
      <c r="I3930" s="23" t="str">
        <f>_xlfn.IFNA(VLOOKUP(A3930,A$3524:$H3931,8,0),"")</f>
        <v/>
      </c>
      <c r="J3930" s="40" t="str">
        <f t="shared" si="314"/>
        <v/>
      </c>
      <c r="K3930" s="24" t="str">
        <f t="shared" si="315"/>
        <v/>
      </c>
      <c r="L3930" s="25" t="str">
        <f t="shared" si="311"/>
        <v/>
      </c>
      <c r="O3930" s="33" t="str">
        <f t="shared" si="312"/>
        <v/>
      </c>
      <c r="P3930" s="33" t="str">
        <f t="shared" si="313"/>
        <v/>
      </c>
    </row>
    <row r="3931" spans="9:16">
      <c r="I3931" s="23" t="str">
        <f>_xlfn.IFNA(VLOOKUP(A3931,A$3524:$H3932,8,0),"")</f>
        <v/>
      </c>
      <c r="J3931" s="40" t="str">
        <f t="shared" si="314"/>
        <v/>
      </c>
      <c r="K3931" s="24" t="str">
        <f t="shared" si="315"/>
        <v/>
      </c>
      <c r="L3931" s="25" t="str">
        <f t="shared" si="311"/>
        <v/>
      </c>
      <c r="O3931" s="33" t="str">
        <f t="shared" si="312"/>
        <v/>
      </c>
      <c r="P3931" s="33" t="str">
        <f t="shared" si="313"/>
        <v/>
      </c>
    </row>
    <row r="3932" spans="9:16">
      <c r="I3932" s="23" t="str">
        <f>_xlfn.IFNA(VLOOKUP(A3932,A$3524:$H3933,8,0),"")</f>
        <v/>
      </c>
      <c r="J3932" s="40" t="str">
        <f t="shared" si="314"/>
        <v/>
      </c>
      <c r="K3932" s="24" t="str">
        <f t="shared" si="315"/>
        <v/>
      </c>
      <c r="L3932" s="25" t="str">
        <f t="shared" si="311"/>
        <v/>
      </c>
      <c r="O3932" s="33" t="str">
        <f t="shared" si="312"/>
        <v/>
      </c>
      <c r="P3932" s="33" t="str">
        <f t="shared" si="313"/>
        <v/>
      </c>
    </row>
    <row r="3933" spans="9:16">
      <c r="I3933" s="23" t="str">
        <f>_xlfn.IFNA(VLOOKUP(A3933,A$3524:$H3934,8,0),"")</f>
        <v/>
      </c>
      <c r="J3933" s="40" t="str">
        <f t="shared" si="314"/>
        <v/>
      </c>
      <c r="K3933" s="24" t="str">
        <f t="shared" si="315"/>
        <v/>
      </c>
      <c r="L3933" s="25" t="str">
        <f t="shared" si="311"/>
        <v/>
      </c>
      <c r="O3933" s="33" t="str">
        <f t="shared" si="312"/>
        <v/>
      </c>
      <c r="P3933" s="33" t="str">
        <f t="shared" si="313"/>
        <v/>
      </c>
    </row>
    <row r="3934" spans="9:16">
      <c r="I3934" s="23" t="str">
        <f>_xlfn.IFNA(VLOOKUP(A3934,A$3524:$H3935,8,0),"")</f>
        <v/>
      </c>
      <c r="J3934" s="40" t="str">
        <f t="shared" si="314"/>
        <v/>
      </c>
      <c r="K3934" s="24" t="str">
        <f t="shared" si="315"/>
        <v/>
      </c>
      <c r="L3934" s="25" t="str">
        <f t="shared" si="311"/>
        <v/>
      </c>
      <c r="O3934" s="33" t="str">
        <f t="shared" si="312"/>
        <v/>
      </c>
      <c r="P3934" s="33" t="str">
        <f t="shared" si="313"/>
        <v/>
      </c>
    </row>
    <row r="3935" spans="9:16">
      <c r="I3935" s="23" t="str">
        <f>_xlfn.IFNA(VLOOKUP(A3935,A$3524:$H3936,8,0),"")</f>
        <v/>
      </c>
      <c r="J3935" s="40" t="str">
        <f t="shared" si="314"/>
        <v/>
      </c>
      <c r="K3935" s="24" t="str">
        <f t="shared" si="315"/>
        <v/>
      </c>
      <c r="L3935" s="25" t="str">
        <f t="shared" si="311"/>
        <v/>
      </c>
      <c r="O3935" s="33" t="str">
        <f t="shared" si="312"/>
        <v/>
      </c>
      <c r="P3935" s="33" t="str">
        <f t="shared" si="313"/>
        <v/>
      </c>
    </row>
    <row r="3936" spans="9:16">
      <c r="I3936" s="23" t="str">
        <f>_xlfn.IFNA(VLOOKUP(A3936,A$3524:$H3937,8,0),"")</f>
        <v/>
      </c>
      <c r="J3936" s="40" t="str">
        <f t="shared" si="314"/>
        <v/>
      </c>
      <c r="K3936" s="24" t="str">
        <f t="shared" si="315"/>
        <v/>
      </c>
      <c r="L3936" s="25" t="str">
        <f t="shared" si="311"/>
        <v/>
      </c>
      <c r="O3936" s="33" t="str">
        <f t="shared" si="312"/>
        <v/>
      </c>
      <c r="P3936" s="33" t="str">
        <f t="shared" si="313"/>
        <v/>
      </c>
    </row>
    <row r="3937" spans="9:16">
      <c r="I3937" s="23" t="str">
        <f>_xlfn.IFNA(VLOOKUP(A3937,A$3524:$H3938,8,0),"")</f>
        <v/>
      </c>
      <c r="J3937" s="40" t="str">
        <f t="shared" si="314"/>
        <v/>
      </c>
      <c r="K3937" s="24" t="str">
        <f t="shared" si="315"/>
        <v/>
      </c>
      <c r="L3937" s="25" t="str">
        <f t="shared" si="311"/>
        <v/>
      </c>
      <c r="O3937" s="33" t="str">
        <f t="shared" si="312"/>
        <v/>
      </c>
      <c r="P3937" s="33" t="str">
        <f t="shared" si="313"/>
        <v/>
      </c>
    </row>
    <row r="3938" spans="9:16">
      <c r="I3938" s="23" t="str">
        <f>_xlfn.IFNA(VLOOKUP(A3938,A$3524:$H3939,8,0),"")</f>
        <v/>
      </c>
      <c r="J3938" s="40" t="str">
        <f t="shared" si="314"/>
        <v/>
      </c>
      <c r="K3938" s="24" t="str">
        <f t="shared" si="315"/>
        <v/>
      </c>
      <c r="L3938" s="25" t="str">
        <f t="shared" si="311"/>
        <v/>
      </c>
      <c r="O3938" s="33" t="str">
        <f t="shared" si="312"/>
        <v/>
      </c>
      <c r="P3938" s="33" t="str">
        <f t="shared" si="313"/>
        <v/>
      </c>
    </row>
    <row r="3939" spans="9:16">
      <c r="I3939" s="23" t="str">
        <f>_xlfn.IFNA(VLOOKUP(A3939,A$3524:$H3940,8,0),"")</f>
        <v/>
      </c>
      <c r="J3939" s="40" t="str">
        <f t="shared" si="314"/>
        <v/>
      </c>
      <c r="K3939" s="24" t="str">
        <f t="shared" si="315"/>
        <v/>
      </c>
      <c r="L3939" s="25" t="str">
        <f t="shared" si="311"/>
        <v/>
      </c>
      <c r="O3939" s="33" t="str">
        <f t="shared" si="312"/>
        <v/>
      </c>
      <c r="P3939" s="33" t="str">
        <f t="shared" si="313"/>
        <v/>
      </c>
    </row>
    <row r="3940" spans="9:16">
      <c r="I3940" s="23" t="str">
        <f>_xlfn.IFNA(VLOOKUP(A3940,A$3524:$H3941,8,0),"")</f>
        <v/>
      </c>
      <c r="J3940" s="40" t="str">
        <f t="shared" si="314"/>
        <v/>
      </c>
      <c r="K3940" s="24" t="str">
        <f t="shared" si="315"/>
        <v/>
      </c>
      <c r="L3940" s="25" t="str">
        <f t="shared" si="311"/>
        <v/>
      </c>
      <c r="O3940" s="33" t="str">
        <f t="shared" si="312"/>
        <v/>
      </c>
      <c r="P3940" s="33" t="str">
        <f t="shared" si="313"/>
        <v/>
      </c>
    </row>
    <row r="3941" spans="9:16">
      <c r="I3941" s="23" t="str">
        <f>_xlfn.IFNA(VLOOKUP(A3941,A$3524:$H3942,8,0),"")</f>
        <v/>
      </c>
      <c r="J3941" s="40" t="str">
        <f t="shared" si="314"/>
        <v/>
      </c>
      <c r="K3941" s="24" t="str">
        <f t="shared" si="315"/>
        <v/>
      </c>
      <c r="L3941" s="25" t="str">
        <f t="shared" si="311"/>
        <v/>
      </c>
      <c r="O3941" s="33" t="str">
        <f t="shared" si="312"/>
        <v/>
      </c>
      <c r="P3941" s="33" t="str">
        <f t="shared" si="313"/>
        <v/>
      </c>
    </row>
    <row r="3942" spans="9:16">
      <c r="I3942" s="23" t="str">
        <f>_xlfn.IFNA(VLOOKUP(A3942,A$3524:$H3943,8,0),"")</f>
        <v/>
      </c>
      <c r="J3942" s="40" t="str">
        <f t="shared" si="314"/>
        <v/>
      </c>
      <c r="K3942" s="24" t="str">
        <f t="shared" si="315"/>
        <v/>
      </c>
      <c r="L3942" s="25" t="str">
        <f t="shared" si="311"/>
        <v/>
      </c>
      <c r="O3942" s="33" t="str">
        <f t="shared" si="312"/>
        <v/>
      </c>
      <c r="P3942" s="33" t="str">
        <f t="shared" si="313"/>
        <v/>
      </c>
    </row>
    <row r="3943" spans="9:16">
      <c r="I3943" s="23" t="str">
        <f>_xlfn.IFNA(VLOOKUP(A3943,A$3524:$H3944,8,0),"")</f>
        <v/>
      </c>
      <c r="J3943" s="40" t="str">
        <f t="shared" si="314"/>
        <v/>
      </c>
      <c r="K3943" s="24" t="str">
        <f t="shared" si="315"/>
        <v/>
      </c>
      <c r="L3943" s="25" t="str">
        <f t="shared" si="311"/>
        <v/>
      </c>
      <c r="O3943" s="33" t="str">
        <f t="shared" si="312"/>
        <v/>
      </c>
      <c r="P3943" s="33" t="str">
        <f t="shared" si="313"/>
        <v/>
      </c>
    </row>
    <row r="3944" spans="9:16">
      <c r="I3944" s="23" t="str">
        <f>_xlfn.IFNA(VLOOKUP(A3944,A$3524:$H3945,8,0),"")</f>
        <v/>
      </c>
      <c r="J3944" s="40" t="str">
        <f t="shared" si="314"/>
        <v/>
      </c>
      <c r="K3944" s="24" t="str">
        <f t="shared" si="315"/>
        <v/>
      </c>
      <c r="L3944" s="25" t="str">
        <f t="shared" si="311"/>
        <v/>
      </c>
      <c r="O3944" s="33" t="str">
        <f t="shared" si="312"/>
        <v/>
      </c>
      <c r="P3944" s="33" t="str">
        <f t="shared" si="313"/>
        <v/>
      </c>
    </row>
    <row r="3945" spans="9:16">
      <c r="I3945" s="23" t="str">
        <f>_xlfn.IFNA(VLOOKUP(A3945,A$3524:$H3946,8,0),"")</f>
        <v/>
      </c>
      <c r="J3945" s="40" t="str">
        <f t="shared" si="314"/>
        <v/>
      </c>
      <c r="K3945" s="24" t="str">
        <f t="shared" si="315"/>
        <v/>
      </c>
      <c r="L3945" s="25" t="str">
        <f t="shared" si="311"/>
        <v/>
      </c>
      <c r="O3945" s="33" t="str">
        <f t="shared" si="312"/>
        <v/>
      </c>
      <c r="P3945" s="33" t="str">
        <f t="shared" si="313"/>
        <v/>
      </c>
    </row>
    <row r="3946" spans="9:16">
      <c r="I3946" s="23" t="str">
        <f>_xlfn.IFNA(VLOOKUP(A3946,A$3524:$H3947,8,0),"")</f>
        <v/>
      </c>
      <c r="J3946" s="40" t="str">
        <f t="shared" si="314"/>
        <v/>
      </c>
      <c r="K3946" s="24" t="str">
        <f t="shared" si="315"/>
        <v/>
      </c>
      <c r="L3946" s="25" t="str">
        <f t="shared" si="311"/>
        <v/>
      </c>
      <c r="O3946" s="33" t="str">
        <f t="shared" si="312"/>
        <v/>
      </c>
      <c r="P3946" s="33" t="str">
        <f t="shared" si="313"/>
        <v/>
      </c>
    </row>
    <row r="3947" spans="9:16">
      <c r="I3947" s="23" t="str">
        <f>_xlfn.IFNA(VLOOKUP(A3947,A$3524:$H3948,8,0),"")</f>
        <v/>
      </c>
      <c r="J3947" s="40" t="str">
        <f t="shared" si="314"/>
        <v/>
      </c>
      <c r="K3947" s="24" t="str">
        <f t="shared" si="315"/>
        <v/>
      </c>
      <c r="L3947" s="25" t="str">
        <f t="shared" si="311"/>
        <v/>
      </c>
      <c r="O3947" s="33" t="str">
        <f t="shared" si="312"/>
        <v/>
      </c>
      <c r="P3947" s="33" t="str">
        <f t="shared" si="313"/>
        <v/>
      </c>
    </row>
    <row r="3948" spans="9:16">
      <c r="I3948" s="23" t="str">
        <f>_xlfn.IFNA(VLOOKUP(A3948,A$3524:$H3949,8,0),"")</f>
        <v/>
      </c>
      <c r="J3948" s="40" t="str">
        <f t="shared" si="314"/>
        <v/>
      </c>
      <c r="K3948" s="24" t="str">
        <f t="shared" si="315"/>
        <v/>
      </c>
      <c r="L3948" s="25" t="str">
        <f t="shared" si="311"/>
        <v/>
      </c>
      <c r="O3948" s="33" t="str">
        <f t="shared" si="312"/>
        <v/>
      </c>
      <c r="P3948" s="33" t="str">
        <f t="shared" si="313"/>
        <v/>
      </c>
    </row>
    <row r="3949" spans="9:16">
      <c r="I3949" s="23" t="str">
        <f>_xlfn.IFNA(VLOOKUP(A3949,A$3524:$H3950,8,0),"")</f>
        <v/>
      </c>
      <c r="J3949" s="40" t="str">
        <f t="shared" si="314"/>
        <v/>
      </c>
      <c r="K3949" s="24" t="str">
        <f t="shared" si="315"/>
        <v/>
      </c>
      <c r="L3949" s="25" t="str">
        <f t="shared" si="311"/>
        <v/>
      </c>
      <c r="O3949" s="33" t="str">
        <f t="shared" si="312"/>
        <v/>
      </c>
      <c r="P3949" s="33" t="str">
        <f t="shared" si="313"/>
        <v/>
      </c>
    </row>
    <row r="3950" spans="9:16">
      <c r="I3950" s="23" t="str">
        <f>_xlfn.IFNA(VLOOKUP(A3950,A$3524:$H3951,8,0),"")</f>
        <v/>
      </c>
      <c r="J3950" s="40" t="str">
        <f t="shared" si="314"/>
        <v/>
      </c>
      <c r="K3950" s="24" t="str">
        <f t="shared" si="315"/>
        <v/>
      </c>
      <c r="L3950" s="25" t="str">
        <f t="shared" si="311"/>
        <v/>
      </c>
      <c r="O3950" s="33" t="str">
        <f t="shared" si="312"/>
        <v/>
      </c>
      <c r="P3950" s="33" t="str">
        <f t="shared" si="313"/>
        <v/>
      </c>
    </row>
    <row r="3951" spans="9:16">
      <c r="I3951" s="23" t="str">
        <f>_xlfn.IFNA(VLOOKUP(A3951,A$3524:$H3952,8,0),"")</f>
        <v/>
      </c>
      <c r="J3951" s="40" t="str">
        <f t="shared" si="314"/>
        <v/>
      </c>
      <c r="K3951" s="24" t="str">
        <f t="shared" si="315"/>
        <v/>
      </c>
      <c r="L3951" s="25" t="str">
        <f t="shared" si="311"/>
        <v/>
      </c>
      <c r="O3951" s="33" t="str">
        <f t="shared" si="312"/>
        <v/>
      </c>
      <c r="P3951" s="33" t="str">
        <f t="shared" si="313"/>
        <v/>
      </c>
    </row>
    <row r="3952" spans="9:16">
      <c r="I3952" s="23" t="str">
        <f>_xlfn.IFNA(VLOOKUP(A3952,A$3524:$H3953,8,0),"")</f>
        <v/>
      </c>
      <c r="J3952" s="40" t="str">
        <f t="shared" si="314"/>
        <v/>
      </c>
      <c r="K3952" s="24" t="str">
        <f t="shared" si="315"/>
        <v/>
      </c>
      <c r="L3952" s="25" t="str">
        <f t="shared" si="311"/>
        <v/>
      </c>
      <c r="O3952" s="33" t="str">
        <f t="shared" si="312"/>
        <v/>
      </c>
      <c r="P3952" s="33" t="str">
        <f t="shared" si="313"/>
        <v/>
      </c>
    </row>
    <row r="3953" spans="9:16">
      <c r="I3953" s="23" t="str">
        <f>_xlfn.IFNA(VLOOKUP(A3953,A$3524:$H3954,8,0),"")</f>
        <v/>
      </c>
      <c r="J3953" s="40" t="str">
        <f t="shared" si="314"/>
        <v/>
      </c>
      <c r="K3953" s="24" t="str">
        <f t="shared" si="315"/>
        <v/>
      </c>
      <c r="L3953" s="25" t="str">
        <f t="shared" si="311"/>
        <v/>
      </c>
      <c r="O3953" s="33" t="str">
        <f t="shared" si="312"/>
        <v/>
      </c>
      <c r="P3953" s="33" t="str">
        <f t="shared" si="313"/>
        <v/>
      </c>
    </row>
    <row r="3954" spans="9:16">
      <c r="I3954" s="23" t="str">
        <f>_xlfn.IFNA(VLOOKUP(A3954,A$3524:$H3955,8,0),"")</f>
        <v/>
      </c>
      <c r="J3954" s="40" t="str">
        <f t="shared" si="314"/>
        <v/>
      </c>
      <c r="K3954" s="24" t="str">
        <f t="shared" si="315"/>
        <v/>
      </c>
      <c r="L3954" s="25" t="str">
        <f t="shared" si="311"/>
        <v/>
      </c>
      <c r="O3954" s="33" t="str">
        <f t="shared" si="312"/>
        <v/>
      </c>
      <c r="P3954" s="33" t="str">
        <f t="shared" si="313"/>
        <v/>
      </c>
    </row>
    <row r="3955" spans="9:16">
      <c r="I3955" s="23" t="str">
        <f>_xlfn.IFNA(VLOOKUP(A3955,A$3524:$H3956,8,0),"")</f>
        <v/>
      </c>
      <c r="J3955" s="40" t="str">
        <f t="shared" si="314"/>
        <v/>
      </c>
      <c r="K3955" s="24" t="str">
        <f t="shared" si="315"/>
        <v/>
      </c>
      <c r="L3955" s="25" t="str">
        <f t="shared" si="311"/>
        <v/>
      </c>
      <c r="O3955" s="33" t="str">
        <f t="shared" si="312"/>
        <v/>
      </c>
      <c r="P3955" s="33" t="str">
        <f t="shared" si="313"/>
        <v/>
      </c>
    </row>
    <row r="3956" spans="9:16">
      <c r="I3956" s="23" t="str">
        <f>_xlfn.IFNA(VLOOKUP(A3956,A$3524:$H3957,8,0),"")</f>
        <v/>
      </c>
      <c r="J3956" s="40" t="str">
        <f t="shared" si="314"/>
        <v/>
      </c>
      <c r="K3956" s="24" t="str">
        <f t="shared" si="315"/>
        <v/>
      </c>
      <c r="L3956" s="25" t="str">
        <f t="shared" si="311"/>
        <v/>
      </c>
      <c r="O3956" s="33" t="str">
        <f t="shared" si="312"/>
        <v/>
      </c>
      <c r="P3956" s="33" t="str">
        <f t="shared" si="313"/>
        <v/>
      </c>
    </row>
    <row r="3957" spans="9:16">
      <c r="I3957" s="23" t="str">
        <f>_xlfn.IFNA(VLOOKUP(A3957,A$3524:$H3958,8,0),"")</f>
        <v/>
      </c>
      <c r="J3957" s="40" t="str">
        <f t="shared" si="314"/>
        <v/>
      </c>
      <c r="K3957" s="24" t="str">
        <f t="shared" si="315"/>
        <v/>
      </c>
      <c r="L3957" s="25" t="str">
        <f t="shared" si="311"/>
        <v/>
      </c>
      <c r="O3957" s="33" t="str">
        <f t="shared" si="312"/>
        <v/>
      </c>
      <c r="P3957" s="33" t="str">
        <f t="shared" si="313"/>
        <v/>
      </c>
    </row>
    <row r="3958" spans="9:16">
      <c r="I3958" s="23" t="str">
        <f>_xlfn.IFNA(VLOOKUP(A3958,A$3524:$H3959,8,0),"")</f>
        <v/>
      </c>
      <c r="J3958" s="40" t="str">
        <f t="shared" si="314"/>
        <v/>
      </c>
      <c r="K3958" s="24" t="str">
        <f t="shared" si="315"/>
        <v/>
      </c>
      <c r="L3958" s="25" t="str">
        <f t="shared" si="311"/>
        <v/>
      </c>
      <c r="O3958" s="33" t="str">
        <f t="shared" si="312"/>
        <v/>
      </c>
      <c r="P3958" s="33" t="str">
        <f t="shared" si="313"/>
        <v/>
      </c>
    </row>
    <row r="3959" spans="9:16">
      <c r="I3959" s="23" t="str">
        <f>_xlfn.IFNA(VLOOKUP(A3959,A$3524:$H3960,8,0),"")</f>
        <v/>
      </c>
      <c r="J3959" s="40" t="str">
        <f t="shared" si="314"/>
        <v/>
      </c>
      <c r="K3959" s="24" t="str">
        <f t="shared" si="315"/>
        <v/>
      </c>
      <c r="L3959" s="25" t="str">
        <f t="shared" ref="L3959:L4022" si="316">IF(K3959="","",IF(B3959="Break","Break",IF(K3959&lt;&gt;0,"Work Finished",IF(B3959="OFF","Work Finished",IF(I3959="","Working","Work Finished")))))</f>
        <v/>
      </c>
      <c r="O3959" s="33" t="str">
        <f t="shared" ref="O3959:O4022" si="317">IF(AND(J3959="",M3959="",N3959=""),"",J3959-M3959-N3959)</f>
        <v/>
      </c>
      <c r="P3959" s="33" t="str">
        <f t="shared" ref="P3959:P4022" si="318">IF(HOUR(H3959)=0,"",HOUR(H3959))</f>
        <v/>
      </c>
    </row>
    <row r="3960" spans="9:16">
      <c r="I3960" s="23" t="str">
        <f>_xlfn.IFNA(VLOOKUP(A3960,A$3524:$H3961,8,0),"")</f>
        <v/>
      </c>
      <c r="J3960" s="40" t="str">
        <f t="shared" si="314"/>
        <v/>
      </c>
      <c r="K3960" s="24" t="str">
        <f t="shared" si="315"/>
        <v/>
      </c>
      <c r="L3960" s="25" t="str">
        <f t="shared" si="316"/>
        <v/>
      </c>
      <c r="O3960" s="33" t="str">
        <f t="shared" si="317"/>
        <v/>
      </c>
      <c r="P3960" s="33" t="str">
        <f t="shared" si="318"/>
        <v/>
      </c>
    </row>
    <row r="3961" spans="9:16">
      <c r="I3961" s="23" t="str">
        <f>_xlfn.IFNA(VLOOKUP(A3961,A$3524:$H3962,8,0),"")</f>
        <v/>
      </c>
      <c r="J3961" s="40" t="str">
        <f t="shared" si="314"/>
        <v/>
      </c>
      <c r="K3961" s="24" t="str">
        <f t="shared" si="315"/>
        <v/>
      </c>
      <c r="L3961" s="25" t="str">
        <f t="shared" si="316"/>
        <v/>
      </c>
      <c r="O3961" s="33" t="str">
        <f t="shared" si="317"/>
        <v/>
      </c>
      <c r="P3961" s="33" t="str">
        <f t="shared" si="318"/>
        <v/>
      </c>
    </row>
    <row r="3962" spans="9:16">
      <c r="I3962" s="23" t="str">
        <f>_xlfn.IFNA(VLOOKUP(A3962,A$3524:$H3963,8,0),"")</f>
        <v/>
      </c>
      <c r="J3962" s="40" t="str">
        <f t="shared" si="314"/>
        <v/>
      </c>
      <c r="K3962" s="24" t="str">
        <f t="shared" si="315"/>
        <v/>
      </c>
      <c r="L3962" s="25" t="str">
        <f t="shared" si="316"/>
        <v/>
      </c>
      <c r="O3962" s="33" t="str">
        <f t="shared" si="317"/>
        <v/>
      </c>
      <c r="P3962" s="33" t="str">
        <f t="shared" si="318"/>
        <v/>
      </c>
    </row>
    <row r="3963" spans="9:16">
      <c r="I3963" s="23" t="str">
        <f>_xlfn.IFNA(VLOOKUP(A3963,A$3524:$H3964,8,0),"")</f>
        <v/>
      </c>
      <c r="J3963" s="40" t="str">
        <f t="shared" si="314"/>
        <v/>
      </c>
      <c r="K3963" s="24" t="str">
        <f t="shared" si="315"/>
        <v/>
      </c>
      <c r="L3963" s="25" t="str">
        <f t="shared" si="316"/>
        <v/>
      </c>
      <c r="O3963" s="33" t="str">
        <f t="shared" si="317"/>
        <v/>
      </c>
      <c r="P3963" s="33" t="str">
        <f t="shared" si="318"/>
        <v/>
      </c>
    </row>
    <row r="3964" spans="9:16">
      <c r="I3964" s="23" t="str">
        <f>_xlfn.IFNA(VLOOKUP(A3964,A$3524:$H3965,8,0),"")</f>
        <v/>
      </c>
      <c r="J3964" s="40" t="str">
        <f t="shared" si="314"/>
        <v/>
      </c>
      <c r="K3964" s="24" t="str">
        <f t="shared" si="315"/>
        <v/>
      </c>
      <c r="L3964" s="25" t="str">
        <f t="shared" si="316"/>
        <v/>
      </c>
      <c r="O3964" s="33" t="str">
        <f t="shared" si="317"/>
        <v/>
      </c>
      <c r="P3964" s="33" t="str">
        <f t="shared" si="318"/>
        <v/>
      </c>
    </row>
    <row r="3965" spans="9:16">
      <c r="I3965" s="23" t="str">
        <f>_xlfn.IFNA(VLOOKUP(A3965,A$3524:$H3966,8,0),"")</f>
        <v/>
      </c>
      <c r="J3965" s="40" t="str">
        <f t="shared" si="314"/>
        <v/>
      </c>
      <c r="K3965" s="24" t="str">
        <f t="shared" si="315"/>
        <v/>
      </c>
      <c r="L3965" s="25" t="str">
        <f t="shared" si="316"/>
        <v/>
      </c>
      <c r="O3965" s="33" t="str">
        <f t="shared" si="317"/>
        <v/>
      </c>
      <c r="P3965" s="33" t="str">
        <f t="shared" si="318"/>
        <v/>
      </c>
    </row>
    <row r="3966" spans="9:16">
      <c r="I3966" s="23" t="str">
        <f>_xlfn.IFNA(VLOOKUP(A3966,A$3524:$H3967,8,0),"")</f>
        <v/>
      </c>
      <c r="J3966" s="40" t="str">
        <f t="shared" si="314"/>
        <v/>
      </c>
      <c r="K3966" s="24" t="str">
        <f t="shared" si="315"/>
        <v/>
      </c>
      <c r="L3966" s="25" t="str">
        <f t="shared" si="316"/>
        <v/>
      </c>
      <c r="O3966" s="33" t="str">
        <f t="shared" si="317"/>
        <v/>
      </c>
      <c r="P3966" s="33" t="str">
        <f t="shared" si="318"/>
        <v/>
      </c>
    </row>
    <row r="3967" spans="9:16">
      <c r="I3967" s="23" t="str">
        <f>_xlfn.IFNA(VLOOKUP(A3967,A$3524:$H3968,8,0),"")</f>
        <v/>
      </c>
      <c r="J3967" s="40" t="str">
        <f t="shared" si="314"/>
        <v/>
      </c>
      <c r="K3967" s="24" t="str">
        <f t="shared" si="315"/>
        <v/>
      </c>
      <c r="L3967" s="25" t="str">
        <f t="shared" si="316"/>
        <v/>
      </c>
      <c r="O3967" s="33" t="str">
        <f t="shared" si="317"/>
        <v/>
      </c>
      <c r="P3967" s="33" t="str">
        <f t="shared" si="318"/>
        <v/>
      </c>
    </row>
    <row r="3968" spans="9:16">
      <c r="I3968" s="23" t="str">
        <f>_xlfn.IFNA(VLOOKUP(A3968,A$3524:$H3969,8,0),"")</f>
        <v/>
      </c>
      <c r="J3968" s="40" t="str">
        <f t="shared" si="314"/>
        <v/>
      </c>
      <c r="K3968" s="24" t="str">
        <f t="shared" si="315"/>
        <v/>
      </c>
      <c r="L3968" s="25" t="str">
        <f t="shared" si="316"/>
        <v/>
      </c>
      <c r="O3968" s="33" t="str">
        <f t="shared" si="317"/>
        <v/>
      </c>
      <c r="P3968" s="33" t="str">
        <f t="shared" si="318"/>
        <v/>
      </c>
    </row>
    <row r="3969" spans="9:16">
      <c r="I3969" s="23" t="str">
        <f>_xlfn.IFNA(VLOOKUP(A3969,A$3524:$H3970,8,0),"")</f>
        <v/>
      </c>
      <c r="J3969" s="40" t="str">
        <f t="shared" si="314"/>
        <v/>
      </c>
      <c r="K3969" s="24" t="str">
        <f t="shared" si="315"/>
        <v/>
      </c>
      <c r="L3969" s="25" t="str">
        <f t="shared" si="316"/>
        <v/>
      </c>
      <c r="O3969" s="33" t="str">
        <f t="shared" si="317"/>
        <v/>
      </c>
      <c r="P3969" s="33" t="str">
        <f t="shared" si="318"/>
        <v/>
      </c>
    </row>
    <row r="3970" spans="9:16">
      <c r="I3970" s="23" t="str">
        <f>_xlfn.IFNA(VLOOKUP(A3970,A$3524:$H3971,8,0),"")</f>
        <v/>
      </c>
      <c r="J3970" s="40" t="str">
        <f t="shared" si="314"/>
        <v/>
      </c>
      <c r="K3970" s="24" t="str">
        <f t="shared" si="315"/>
        <v/>
      </c>
      <c r="L3970" s="25" t="str">
        <f t="shared" si="316"/>
        <v/>
      </c>
      <c r="O3970" s="33" t="str">
        <f t="shared" si="317"/>
        <v/>
      </c>
      <c r="P3970" s="33" t="str">
        <f t="shared" si="318"/>
        <v/>
      </c>
    </row>
    <row r="3971" spans="9:16">
      <c r="I3971" s="23" t="str">
        <f>_xlfn.IFNA(VLOOKUP(A3971,A$3524:$H3972,8,0),"")</f>
        <v/>
      </c>
      <c r="J3971" s="40" t="str">
        <f t="shared" si="314"/>
        <v/>
      </c>
      <c r="K3971" s="24" t="str">
        <f t="shared" si="315"/>
        <v/>
      </c>
      <c r="L3971" s="25" t="str">
        <f t="shared" si="316"/>
        <v/>
      </c>
      <c r="O3971" s="33" t="str">
        <f t="shared" si="317"/>
        <v/>
      </c>
      <c r="P3971" s="33" t="str">
        <f t="shared" si="318"/>
        <v/>
      </c>
    </row>
    <row r="3972" spans="9:16">
      <c r="I3972" s="23" t="str">
        <f>_xlfn.IFNA(VLOOKUP(A3972,A$3524:$H3973,8,0),"")</f>
        <v/>
      </c>
      <c r="J3972" s="40" t="str">
        <f t="shared" si="314"/>
        <v/>
      </c>
      <c r="K3972" s="24" t="str">
        <f t="shared" si="315"/>
        <v/>
      </c>
      <c r="L3972" s="25" t="str">
        <f t="shared" si="316"/>
        <v/>
      </c>
      <c r="O3972" s="33" t="str">
        <f t="shared" si="317"/>
        <v/>
      </c>
      <c r="P3972" s="33" t="str">
        <f t="shared" si="318"/>
        <v/>
      </c>
    </row>
    <row r="3973" spans="9:16">
      <c r="I3973" s="23" t="str">
        <f>_xlfn.IFNA(VLOOKUP(A3973,A$3524:$H3974,8,0),"")</f>
        <v/>
      </c>
      <c r="J3973" s="40" t="str">
        <f t="shared" si="314"/>
        <v/>
      </c>
      <c r="K3973" s="24" t="str">
        <f t="shared" si="315"/>
        <v/>
      </c>
      <c r="L3973" s="25" t="str">
        <f t="shared" si="316"/>
        <v/>
      </c>
      <c r="O3973" s="33" t="str">
        <f t="shared" si="317"/>
        <v/>
      </c>
      <c r="P3973" s="33" t="str">
        <f t="shared" si="318"/>
        <v/>
      </c>
    </row>
    <row r="3974" spans="9:16">
      <c r="I3974" s="23" t="str">
        <f>_xlfn.IFNA(VLOOKUP(A3974,A$3524:$H3975,8,0),"")</f>
        <v/>
      </c>
      <c r="J3974" s="40" t="str">
        <f t="shared" ref="J3974:J4037" si="319">IF(B3974="OFF",0,IF(AND(D3974&lt;&gt;"",E3974&lt;&gt;""),E3974-D3974+1,""))</f>
        <v/>
      </c>
      <c r="K3974" s="24" t="str">
        <f t="shared" si="315"/>
        <v/>
      </c>
      <c r="L3974" s="25" t="str">
        <f t="shared" si="316"/>
        <v/>
      </c>
      <c r="O3974" s="33" t="str">
        <f t="shared" si="317"/>
        <v/>
      </c>
      <c r="P3974" s="33" t="str">
        <f t="shared" si="318"/>
        <v/>
      </c>
    </row>
    <row r="3975" spans="9:16">
      <c r="I3975" s="23" t="str">
        <f>_xlfn.IFNA(VLOOKUP(A3975,A$3524:$H3976,8,0),"")</f>
        <v/>
      </c>
      <c r="J3975" s="40" t="str">
        <f t="shared" si="319"/>
        <v/>
      </c>
      <c r="K3975" s="24" t="str">
        <f t="shared" si="315"/>
        <v/>
      </c>
      <c r="L3975" s="25" t="str">
        <f t="shared" si="316"/>
        <v/>
      </c>
      <c r="O3975" s="33" t="str">
        <f t="shared" si="317"/>
        <v/>
      </c>
      <c r="P3975" s="33" t="str">
        <f t="shared" si="318"/>
        <v/>
      </c>
    </row>
    <row r="3976" spans="9:16">
      <c r="I3976" s="23" t="str">
        <f>_xlfn.IFNA(VLOOKUP(A3976,A$3524:$H3977,8,0),"")</f>
        <v/>
      </c>
      <c r="J3976" s="40" t="str">
        <f t="shared" si="319"/>
        <v/>
      </c>
      <c r="K3976" s="24" t="str">
        <f t="shared" si="315"/>
        <v/>
      </c>
      <c r="L3976" s="25" t="str">
        <f t="shared" si="316"/>
        <v/>
      </c>
      <c r="O3976" s="33" t="str">
        <f t="shared" si="317"/>
        <v/>
      </c>
      <c r="P3976" s="33" t="str">
        <f t="shared" si="318"/>
        <v/>
      </c>
    </row>
    <row r="3977" spans="9:16">
      <c r="I3977" s="23" t="str">
        <f>_xlfn.IFNA(VLOOKUP(A3977,A$3524:$H3978,8,0),"")</f>
        <v/>
      </c>
      <c r="J3977" s="40" t="str">
        <f t="shared" si="319"/>
        <v/>
      </c>
      <c r="K3977" s="24" t="str">
        <f t="shared" si="315"/>
        <v/>
      </c>
      <c r="L3977" s="25" t="str">
        <f t="shared" si="316"/>
        <v/>
      </c>
      <c r="O3977" s="33" t="str">
        <f t="shared" si="317"/>
        <v/>
      </c>
      <c r="P3977" s="33" t="str">
        <f t="shared" si="318"/>
        <v/>
      </c>
    </row>
    <row r="3978" spans="9:16">
      <c r="I3978" s="23" t="str">
        <f>_xlfn.IFNA(VLOOKUP(A3978,A$3524:$H3979,8,0),"")</f>
        <v/>
      </c>
      <c r="J3978" s="40" t="str">
        <f t="shared" si="319"/>
        <v/>
      </c>
      <c r="K3978" s="24" t="str">
        <f t="shared" si="315"/>
        <v/>
      </c>
      <c r="L3978" s="25" t="str">
        <f t="shared" si="316"/>
        <v/>
      </c>
      <c r="O3978" s="33" t="str">
        <f t="shared" si="317"/>
        <v/>
      </c>
      <c r="P3978" s="33" t="str">
        <f t="shared" si="318"/>
        <v/>
      </c>
    </row>
    <row r="3979" spans="9:16">
      <c r="I3979" s="23" t="str">
        <f>_xlfn.IFNA(VLOOKUP(A3979,A$3524:$H3980,8,0),"")</f>
        <v/>
      </c>
      <c r="J3979" s="40" t="str">
        <f t="shared" si="319"/>
        <v/>
      </c>
      <c r="K3979" s="24" t="str">
        <f t="shared" si="315"/>
        <v/>
      </c>
      <c r="L3979" s="25" t="str">
        <f t="shared" si="316"/>
        <v/>
      </c>
      <c r="O3979" s="33" t="str">
        <f t="shared" si="317"/>
        <v/>
      </c>
      <c r="P3979" s="33" t="str">
        <f t="shared" si="318"/>
        <v/>
      </c>
    </row>
    <row r="3980" spans="9:16">
      <c r="I3980" s="23" t="str">
        <f>_xlfn.IFNA(VLOOKUP(A3980,A$3524:$H3981,8,0),"")</f>
        <v/>
      </c>
      <c r="J3980" s="40" t="str">
        <f t="shared" si="319"/>
        <v/>
      </c>
      <c r="K3980" s="24" t="str">
        <f t="shared" si="315"/>
        <v/>
      </c>
      <c r="L3980" s="25" t="str">
        <f t="shared" si="316"/>
        <v/>
      </c>
      <c r="O3980" s="33" t="str">
        <f t="shared" si="317"/>
        <v/>
      </c>
      <c r="P3980" s="33" t="str">
        <f t="shared" si="318"/>
        <v/>
      </c>
    </row>
    <row r="3981" spans="9:16">
      <c r="I3981" s="23" t="str">
        <f>_xlfn.IFNA(VLOOKUP(A3981,A$3524:$H3982,8,0),"")</f>
        <v/>
      </c>
      <c r="J3981" s="40" t="str">
        <f t="shared" si="319"/>
        <v/>
      </c>
      <c r="K3981" s="24" t="str">
        <f t="shared" si="315"/>
        <v/>
      </c>
      <c r="L3981" s="25" t="str">
        <f t="shared" si="316"/>
        <v/>
      </c>
      <c r="O3981" s="33" t="str">
        <f t="shared" si="317"/>
        <v/>
      </c>
      <c r="P3981" s="33" t="str">
        <f t="shared" si="318"/>
        <v/>
      </c>
    </row>
    <row r="3982" spans="9:16">
      <c r="I3982" s="23" t="str">
        <f>_xlfn.IFNA(VLOOKUP(A3982,A$3524:$H3983,8,0),"")</f>
        <v/>
      </c>
      <c r="J3982" s="40" t="str">
        <f t="shared" si="319"/>
        <v/>
      </c>
      <c r="K3982" s="24" t="str">
        <f t="shared" si="315"/>
        <v/>
      </c>
      <c r="L3982" s="25" t="str">
        <f t="shared" si="316"/>
        <v/>
      </c>
      <c r="O3982" s="33" t="str">
        <f t="shared" si="317"/>
        <v/>
      </c>
      <c r="P3982" s="33" t="str">
        <f t="shared" si="318"/>
        <v/>
      </c>
    </row>
    <row r="3983" spans="9:16">
      <c r="I3983" s="23" t="str">
        <f>_xlfn.IFNA(VLOOKUP(A3983,A$3524:$H3984,8,0),"")</f>
        <v/>
      </c>
      <c r="J3983" s="40" t="str">
        <f t="shared" si="319"/>
        <v/>
      </c>
      <c r="K3983" s="24" t="str">
        <f t="shared" si="315"/>
        <v/>
      </c>
      <c r="L3983" s="25" t="str">
        <f t="shared" si="316"/>
        <v/>
      </c>
      <c r="O3983" s="33" t="str">
        <f t="shared" si="317"/>
        <v/>
      </c>
      <c r="P3983" s="33" t="str">
        <f t="shared" si="318"/>
        <v/>
      </c>
    </row>
    <row r="3984" spans="9:16">
      <c r="I3984" s="23" t="str">
        <f>_xlfn.IFNA(VLOOKUP(A3984,A$3524:$H3985,8,0),"")</f>
        <v/>
      </c>
      <c r="J3984" s="40" t="str">
        <f t="shared" si="319"/>
        <v/>
      </c>
      <c r="K3984" s="24" t="str">
        <f t="shared" si="315"/>
        <v/>
      </c>
      <c r="L3984" s="25" t="str">
        <f t="shared" si="316"/>
        <v/>
      </c>
      <c r="O3984" s="33" t="str">
        <f t="shared" si="317"/>
        <v/>
      </c>
      <c r="P3984" s="33" t="str">
        <f t="shared" si="318"/>
        <v/>
      </c>
    </row>
    <row r="3985" spans="9:16">
      <c r="I3985" s="23" t="str">
        <f>_xlfn.IFNA(VLOOKUP(A3985,A$3524:$H3986,8,0),"")</f>
        <v/>
      </c>
      <c r="J3985" s="40" t="str">
        <f t="shared" si="319"/>
        <v/>
      </c>
      <c r="K3985" s="24" t="str">
        <f t="shared" si="315"/>
        <v/>
      </c>
      <c r="L3985" s="25" t="str">
        <f t="shared" si="316"/>
        <v/>
      </c>
      <c r="O3985" s="33" t="str">
        <f t="shared" si="317"/>
        <v/>
      </c>
      <c r="P3985" s="33" t="str">
        <f t="shared" si="318"/>
        <v/>
      </c>
    </row>
    <row r="3986" spans="9:16">
      <c r="I3986" s="23" t="str">
        <f>_xlfn.IFNA(VLOOKUP(A3986,A$3524:$H3987,8,0),"")</f>
        <v/>
      </c>
      <c r="J3986" s="40" t="str">
        <f t="shared" si="319"/>
        <v/>
      </c>
      <c r="K3986" s="24" t="str">
        <f t="shared" si="315"/>
        <v/>
      </c>
      <c r="L3986" s="25" t="str">
        <f t="shared" si="316"/>
        <v/>
      </c>
      <c r="O3986" s="33" t="str">
        <f t="shared" si="317"/>
        <v/>
      </c>
      <c r="P3986" s="33" t="str">
        <f t="shared" si="318"/>
        <v/>
      </c>
    </row>
    <row r="3987" spans="9:16">
      <c r="I3987" s="23" t="str">
        <f>_xlfn.IFNA(VLOOKUP(A3987,A$3524:$H3988,8,0),"")</f>
        <v/>
      </c>
      <c r="J3987" s="40" t="str">
        <f t="shared" si="319"/>
        <v/>
      </c>
      <c r="K3987" s="24" t="str">
        <f t="shared" si="315"/>
        <v/>
      </c>
      <c r="L3987" s="25" t="str">
        <f t="shared" si="316"/>
        <v/>
      </c>
      <c r="O3987" s="33" t="str">
        <f t="shared" si="317"/>
        <v/>
      </c>
      <c r="P3987" s="33" t="str">
        <f t="shared" si="318"/>
        <v/>
      </c>
    </row>
    <row r="3988" spans="9:16">
      <c r="I3988" s="23" t="str">
        <f>_xlfn.IFNA(VLOOKUP(A3988,A$3524:$H3989,8,0),"")</f>
        <v/>
      </c>
      <c r="J3988" s="40" t="str">
        <f t="shared" si="319"/>
        <v/>
      </c>
      <c r="K3988" s="24" t="str">
        <f t="shared" si="315"/>
        <v/>
      </c>
      <c r="L3988" s="25" t="str">
        <f t="shared" si="316"/>
        <v/>
      </c>
      <c r="O3988" s="33" t="str">
        <f t="shared" si="317"/>
        <v/>
      </c>
      <c r="P3988" s="33" t="str">
        <f t="shared" si="318"/>
        <v/>
      </c>
    </row>
    <row r="3989" spans="9:16">
      <c r="I3989" s="23" t="str">
        <f>_xlfn.IFNA(VLOOKUP(A3989,A$3524:$H3990,8,0),"")</f>
        <v/>
      </c>
      <c r="J3989" s="40" t="str">
        <f t="shared" si="319"/>
        <v/>
      </c>
      <c r="K3989" s="24" t="str">
        <f t="shared" si="315"/>
        <v/>
      </c>
      <c r="L3989" s="25" t="str">
        <f t="shared" si="316"/>
        <v/>
      </c>
      <c r="O3989" s="33" t="str">
        <f t="shared" si="317"/>
        <v/>
      </c>
      <c r="P3989" s="33" t="str">
        <f t="shared" si="318"/>
        <v/>
      </c>
    </row>
    <row r="3990" spans="9:16">
      <c r="I3990" s="23" t="str">
        <f>_xlfn.IFNA(VLOOKUP(A3990,A$3524:$H3991,8,0),"")</f>
        <v/>
      </c>
      <c r="J3990" s="40" t="str">
        <f t="shared" si="319"/>
        <v/>
      </c>
      <c r="K3990" s="24" t="str">
        <f t="shared" ref="K3990:K4053" si="320">IF(H3990="","",IFERROR((I3990-H3990)*24,0))</f>
        <v/>
      </c>
      <c r="L3990" s="25" t="str">
        <f t="shared" si="316"/>
        <v/>
      </c>
      <c r="O3990" s="33" t="str">
        <f t="shared" si="317"/>
        <v/>
      </c>
      <c r="P3990" s="33" t="str">
        <f t="shared" si="318"/>
        <v/>
      </c>
    </row>
    <row r="3991" spans="9:16">
      <c r="I3991" s="23" t="str">
        <f>_xlfn.IFNA(VLOOKUP(A3991,A$3524:$H3992,8,0),"")</f>
        <v/>
      </c>
      <c r="J3991" s="40" t="str">
        <f t="shared" si="319"/>
        <v/>
      </c>
      <c r="K3991" s="24" t="str">
        <f t="shared" si="320"/>
        <v/>
      </c>
      <c r="L3991" s="25" t="str">
        <f t="shared" si="316"/>
        <v/>
      </c>
      <c r="O3991" s="33" t="str">
        <f t="shared" si="317"/>
        <v/>
      </c>
      <c r="P3991" s="33" t="str">
        <f t="shared" si="318"/>
        <v/>
      </c>
    </row>
    <row r="3992" spans="9:16">
      <c r="I3992" s="23" t="str">
        <f>_xlfn.IFNA(VLOOKUP(A3992,A$3524:$H3993,8,0),"")</f>
        <v/>
      </c>
      <c r="J3992" s="40" t="str">
        <f t="shared" si="319"/>
        <v/>
      </c>
      <c r="K3992" s="24" t="str">
        <f t="shared" si="320"/>
        <v/>
      </c>
      <c r="L3992" s="25" t="str">
        <f t="shared" si="316"/>
        <v/>
      </c>
      <c r="O3992" s="33" t="str">
        <f t="shared" si="317"/>
        <v/>
      </c>
      <c r="P3992" s="33" t="str">
        <f t="shared" si="318"/>
        <v/>
      </c>
    </row>
    <row r="3993" spans="9:16">
      <c r="I3993" s="23" t="str">
        <f>_xlfn.IFNA(VLOOKUP(A3993,A$3524:$H3994,8,0),"")</f>
        <v/>
      </c>
      <c r="J3993" s="40" t="str">
        <f t="shared" si="319"/>
        <v/>
      </c>
      <c r="K3993" s="24" t="str">
        <f t="shared" si="320"/>
        <v/>
      </c>
      <c r="L3993" s="25" t="str">
        <f t="shared" si="316"/>
        <v/>
      </c>
      <c r="O3993" s="33" t="str">
        <f t="shared" si="317"/>
        <v/>
      </c>
      <c r="P3993" s="33" t="str">
        <f t="shared" si="318"/>
        <v/>
      </c>
    </row>
    <row r="3994" spans="9:16">
      <c r="I3994" s="23" t="str">
        <f>_xlfn.IFNA(VLOOKUP(A3994,A$3524:$H3995,8,0),"")</f>
        <v/>
      </c>
      <c r="J3994" s="40" t="str">
        <f t="shared" si="319"/>
        <v/>
      </c>
      <c r="K3994" s="24" t="str">
        <f t="shared" si="320"/>
        <v/>
      </c>
      <c r="L3994" s="25" t="str">
        <f t="shared" si="316"/>
        <v/>
      </c>
      <c r="O3994" s="33" t="str">
        <f t="shared" si="317"/>
        <v/>
      </c>
      <c r="P3994" s="33" t="str">
        <f t="shared" si="318"/>
        <v/>
      </c>
    </row>
    <row r="3995" spans="9:16">
      <c r="I3995" s="23" t="str">
        <f>_xlfn.IFNA(VLOOKUP(A3995,A$3524:$H3996,8,0),"")</f>
        <v/>
      </c>
      <c r="J3995" s="40" t="str">
        <f t="shared" si="319"/>
        <v/>
      </c>
      <c r="K3995" s="24" t="str">
        <f t="shared" si="320"/>
        <v/>
      </c>
      <c r="L3995" s="25" t="str">
        <f t="shared" si="316"/>
        <v/>
      </c>
      <c r="O3995" s="33" t="str">
        <f t="shared" si="317"/>
        <v/>
      </c>
      <c r="P3995" s="33" t="str">
        <f t="shared" si="318"/>
        <v/>
      </c>
    </row>
    <row r="3996" spans="9:16">
      <c r="I3996" s="23" t="str">
        <f>_xlfn.IFNA(VLOOKUP(A3996,A$3524:$H3997,8,0),"")</f>
        <v/>
      </c>
      <c r="J3996" s="40" t="str">
        <f t="shared" si="319"/>
        <v/>
      </c>
      <c r="K3996" s="24" t="str">
        <f t="shared" si="320"/>
        <v/>
      </c>
      <c r="L3996" s="25" t="str">
        <f t="shared" si="316"/>
        <v/>
      </c>
      <c r="O3996" s="33" t="str">
        <f t="shared" si="317"/>
        <v/>
      </c>
      <c r="P3996" s="33" t="str">
        <f t="shared" si="318"/>
        <v/>
      </c>
    </row>
    <row r="3997" spans="9:16">
      <c r="I3997" s="23" t="str">
        <f>_xlfn.IFNA(VLOOKUP(A3997,A$3524:$H3998,8,0),"")</f>
        <v/>
      </c>
      <c r="J3997" s="40" t="str">
        <f t="shared" si="319"/>
        <v/>
      </c>
      <c r="K3997" s="24" t="str">
        <f t="shared" si="320"/>
        <v/>
      </c>
      <c r="L3997" s="25" t="str">
        <f t="shared" si="316"/>
        <v/>
      </c>
      <c r="O3997" s="33" t="str">
        <f t="shared" si="317"/>
        <v/>
      </c>
      <c r="P3997" s="33" t="str">
        <f t="shared" si="318"/>
        <v/>
      </c>
    </row>
    <row r="3998" spans="9:16">
      <c r="I3998" s="23" t="str">
        <f>_xlfn.IFNA(VLOOKUP(A3998,A$3524:$H3999,8,0),"")</f>
        <v/>
      </c>
      <c r="J3998" s="40" t="str">
        <f t="shared" si="319"/>
        <v/>
      </c>
      <c r="K3998" s="24" t="str">
        <f t="shared" si="320"/>
        <v/>
      </c>
      <c r="L3998" s="25" t="str">
        <f t="shared" si="316"/>
        <v/>
      </c>
      <c r="O3998" s="33" t="str">
        <f t="shared" si="317"/>
        <v/>
      </c>
      <c r="P3998" s="33" t="str">
        <f t="shared" si="318"/>
        <v/>
      </c>
    </row>
    <row r="3999" spans="9:16">
      <c r="I3999" s="23" t="str">
        <f>_xlfn.IFNA(VLOOKUP(A3999,A$3524:$H4000,8,0),"")</f>
        <v/>
      </c>
      <c r="J3999" s="40" t="str">
        <f t="shared" si="319"/>
        <v/>
      </c>
      <c r="K3999" s="24" t="str">
        <f t="shared" si="320"/>
        <v/>
      </c>
      <c r="L3999" s="25" t="str">
        <f t="shared" si="316"/>
        <v/>
      </c>
      <c r="O3999" s="33" t="str">
        <f t="shared" si="317"/>
        <v/>
      </c>
      <c r="P3999" s="33" t="str">
        <f t="shared" si="318"/>
        <v/>
      </c>
    </row>
    <row r="4000" spans="9:16">
      <c r="I4000" s="23" t="str">
        <f>_xlfn.IFNA(VLOOKUP(A4000,A$3524:$H4001,8,0),"")</f>
        <v/>
      </c>
      <c r="J4000" s="40" t="str">
        <f t="shared" si="319"/>
        <v/>
      </c>
      <c r="K4000" s="24" t="str">
        <f t="shared" si="320"/>
        <v/>
      </c>
      <c r="L4000" s="25" t="str">
        <f t="shared" si="316"/>
        <v/>
      </c>
      <c r="O4000" s="33" t="str">
        <f t="shared" si="317"/>
        <v/>
      </c>
      <c r="P4000" s="33" t="str">
        <f t="shared" si="318"/>
        <v/>
      </c>
    </row>
    <row r="4001" spans="9:16">
      <c r="I4001" s="23" t="str">
        <f>_xlfn.IFNA(VLOOKUP(A4001,A$3524:$H4002,8,0),"")</f>
        <v/>
      </c>
      <c r="J4001" s="40" t="str">
        <f t="shared" si="319"/>
        <v/>
      </c>
      <c r="K4001" s="24" t="str">
        <f t="shared" si="320"/>
        <v/>
      </c>
      <c r="L4001" s="25" t="str">
        <f t="shared" si="316"/>
        <v/>
      </c>
      <c r="O4001" s="33" t="str">
        <f t="shared" si="317"/>
        <v/>
      </c>
      <c r="P4001" s="33" t="str">
        <f t="shared" si="318"/>
        <v/>
      </c>
    </row>
    <row r="4002" spans="9:16">
      <c r="I4002" s="23" t="str">
        <f>_xlfn.IFNA(VLOOKUP(A4002,A$3524:$H4003,8,0),"")</f>
        <v/>
      </c>
      <c r="J4002" s="40" t="str">
        <f t="shared" si="319"/>
        <v/>
      </c>
      <c r="K4002" s="24" t="str">
        <f t="shared" si="320"/>
        <v/>
      </c>
      <c r="L4002" s="25" t="str">
        <f t="shared" si="316"/>
        <v/>
      </c>
      <c r="O4002" s="33" t="str">
        <f t="shared" si="317"/>
        <v/>
      </c>
      <c r="P4002" s="33" t="str">
        <f t="shared" si="318"/>
        <v/>
      </c>
    </row>
    <row r="4003" spans="9:16">
      <c r="I4003" s="23" t="str">
        <f>_xlfn.IFNA(VLOOKUP(A4003,A$3524:$H4004,8,0),"")</f>
        <v/>
      </c>
      <c r="J4003" s="40" t="str">
        <f t="shared" si="319"/>
        <v/>
      </c>
      <c r="K4003" s="24" t="str">
        <f t="shared" si="320"/>
        <v/>
      </c>
      <c r="L4003" s="25" t="str">
        <f t="shared" si="316"/>
        <v/>
      </c>
      <c r="O4003" s="33" t="str">
        <f t="shared" si="317"/>
        <v/>
      </c>
      <c r="P4003" s="33" t="str">
        <f t="shared" si="318"/>
        <v/>
      </c>
    </row>
    <row r="4004" spans="9:16">
      <c r="I4004" s="23" t="str">
        <f>_xlfn.IFNA(VLOOKUP(A4004,A$3524:$H4005,8,0),"")</f>
        <v/>
      </c>
      <c r="J4004" s="40" t="str">
        <f t="shared" si="319"/>
        <v/>
      </c>
      <c r="K4004" s="24" t="str">
        <f t="shared" si="320"/>
        <v/>
      </c>
      <c r="L4004" s="25" t="str">
        <f t="shared" si="316"/>
        <v/>
      </c>
      <c r="O4004" s="33" t="str">
        <f t="shared" si="317"/>
        <v/>
      </c>
      <c r="P4004" s="33" t="str">
        <f t="shared" si="318"/>
        <v/>
      </c>
    </row>
    <row r="4005" spans="9:16">
      <c r="I4005" s="23" t="str">
        <f>_xlfn.IFNA(VLOOKUP(A4005,A$3524:$H4006,8,0),"")</f>
        <v/>
      </c>
      <c r="J4005" s="40" t="str">
        <f t="shared" si="319"/>
        <v/>
      </c>
      <c r="K4005" s="24" t="str">
        <f t="shared" si="320"/>
        <v/>
      </c>
      <c r="L4005" s="25" t="str">
        <f t="shared" si="316"/>
        <v/>
      </c>
      <c r="O4005" s="33" t="str">
        <f t="shared" si="317"/>
        <v/>
      </c>
      <c r="P4005" s="33" t="str">
        <f t="shared" si="318"/>
        <v/>
      </c>
    </row>
    <row r="4006" spans="9:16">
      <c r="I4006" s="23" t="str">
        <f>_xlfn.IFNA(VLOOKUP(A4006,A$3524:$H4007,8,0),"")</f>
        <v/>
      </c>
      <c r="J4006" s="40" t="str">
        <f t="shared" si="319"/>
        <v/>
      </c>
      <c r="K4006" s="24" t="str">
        <f t="shared" si="320"/>
        <v/>
      </c>
      <c r="L4006" s="25" t="str">
        <f t="shared" si="316"/>
        <v/>
      </c>
      <c r="O4006" s="33" t="str">
        <f t="shared" si="317"/>
        <v/>
      </c>
      <c r="P4006" s="33" t="str">
        <f t="shared" si="318"/>
        <v/>
      </c>
    </row>
    <row r="4007" spans="9:16">
      <c r="I4007" s="23" t="str">
        <f>_xlfn.IFNA(VLOOKUP(A4007,A$3524:$H4008,8,0),"")</f>
        <v/>
      </c>
      <c r="J4007" s="40" t="str">
        <f t="shared" si="319"/>
        <v/>
      </c>
      <c r="K4007" s="24" t="str">
        <f t="shared" si="320"/>
        <v/>
      </c>
      <c r="L4007" s="25" t="str">
        <f t="shared" si="316"/>
        <v/>
      </c>
      <c r="O4007" s="33" t="str">
        <f t="shared" si="317"/>
        <v/>
      </c>
      <c r="P4007" s="33" t="str">
        <f t="shared" si="318"/>
        <v/>
      </c>
    </row>
    <row r="4008" spans="9:16">
      <c r="I4008" s="23" t="str">
        <f>_xlfn.IFNA(VLOOKUP(A4008,A$3524:$H4009,8,0),"")</f>
        <v/>
      </c>
      <c r="J4008" s="40" t="str">
        <f t="shared" si="319"/>
        <v/>
      </c>
      <c r="K4008" s="24" t="str">
        <f t="shared" si="320"/>
        <v/>
      </c>
      <c r="L4008" s="25" t="str">
        <f t="shared" si="316"/>
        <v/>
      </c>
      <c r="O4008" s="33" t="str">
        <f t="shared" si="317"/>
        <v/>
      </c>
      <c r="P4008" s="33" t="str">
        <f t="shared" si="318"/>
        <v/>
      </c>
    </row>
    <row r="4009" spans="9:16">
      <c r="I4009" s="23" t="str">
        <f>_xlfn.IFNA(VLOOKUP(A4009,A$3524:$H4010,8,0),"")</f>
        <v/>
      </c>
      <c r="J4009" s="40" t="str">
        <f t="shared" si="319"/>
        <v/>
      </c>
      <c r="K4009" s="24" t="str">
        <f t="shared" si="320"/>
        <v/>
      </c>
      <c r="L4009" s="25" t="str">
        <f t="shared" si="316"/>
        <v/>
      </c>
      <c r="O4009" s="33" t="str">
        <f t="shared" si="317"/>
        <v/>
      </c>
      <c r="P4009" s="33" t="str">
        <f t="shared" si="318"/>
        <v/>
      </c>
    </row>
    <row r="4010" spans="9:16">
      <c r="I4010" s="23" t="str">
        <f>_xlfn.IFNA(VLOOKUP(A4010,A$3524:$H4011,8,0),"")</f>
        <v/>
      </c>
      <c r="J4010" s="40" t="str">
        <f t="shared" si="319"/>
        <v/>
      </c>
      <c r="K4010" s="24" t="str">
        <f t="shared" si="320"/>
        <v/>
      </c>
      <c r="L4010" s="25" t="str">
        <f t="shared" si="316"/>
        <v/>
      </c>
      <c r="O4010" s="33" t="str">
        <f t="shared" si="317"/>
        <v/>
      </c>
      <c r="P4010" s="33" t="str">
        <f t="shared" si="318"/>
        <v/>
      </c>
    </row>
    <row r="4011" spans="9:16">
      <c r="I4011" s="23" t="str">
        <f>_xlfn.IFNA(VLOOKUP(A4011,A$3524:$H4012,8,0),"")</f>
        <v/>
      </c>
      <c r="J4011" s="40" t="str">
        <f t="shared" si="319"/>
        <v/>
      </c>
      <c r="K4011" s="24" t="str">
        <f t="shared" si="320"/>
        <v/>
      </c>
      <c r="L4011" s="25" t="str">
        <f t="shared" si="316"/>
        <v/>
      </c>
      <c r="O4011" s="33" t="str">
        <f t="shared" si="317"/>
        <v/>
      </c>
      <c r="P4011" s="33" t="str">
        <f t="shared" si="318"/>
        <v/>
      </c>
    </row>
    <row r="4012" spans="9:16">
      <c r="I4012" s="23" t="str">
        <f>_xlfn.IFNA(VLOOKUP(A4012,A$3524:$H4013,8,0),"")</f>
        <v/>
      </c>
      <c r="J4012" s="40" t="str">
        <f t="shared" si="319"/>
        <v/>
      </c>
      <c r="K4012" s="24" t="str">
        <f t="shared" si="320"/>
        <v/>
      </c>
      <c r="L4012" s="25" t="str">
        <f t="shared" si="316"/>
        <v/>
      </c>
      <c r="O4012" s="33" t="str">
        <f t="shared" si="317"/>
        <v/>
      </c>
      <c r="P4012" s="33" t="str">
        <f t="shared" si="318"/>
        <v/>
      </c>
    </row>
    <row r="4013" spans="9:16">
      <c r="I4013" s="23" t="str">
        <f>_xlfn.IFNA(VLOOKUP(A4013,A$3524:$H4014,8,0),"")</f>
        <v/>
      </c>
      <c r="J4013" s="40" t="str">
        <f t="shared" si="319"/>
        <v/>
      </c>
      <c r="K4013" s="24" t="str">
        <f t="shared" si="320"/>
        <v/>
      </c>
      <c r="L4013" s="25" t="str">
        <f t="shared" si="316"/>
        <v/>
      </c>
      <c r="O4013" s="33" t="str">
        <f t="shared" si="317"/>
        <v/>
      </c>
      <c r="P4013" s="33" t="str">
        <f t="shared" si="318"/>
        <v/>
      </c>
    </row>
    <row r="4014" spans="9:16">
      <c r="I4014" s="23" t="str">
        <f>_xlfn.IFNA(VLOOKUP(A4014,A$3524:$H4015,8,0),"")</f>
        <v/>
      </c>
      <c r="J4014" s="40" t="str">
        <f t="shared" si="319"/>
        <v/>
      </c>
      <c r="K4014" s="24" t="str">
        <f t="shared" si="320"/>
        <v/>
      </c>
      <c r="L4014" s="25" t="str">
        <f t="shared" si="316"/>
        <v/>
      </c>
      <c r="O4014" s="33" t="str">
        <f t="shared" si="317"/>
        <v/>
      </c>
      <c r="P4014" s="33" t="str">
        <f t="shared" si="318"/>
        <v/>
      </c>
    </row>
    <row r="4015" spans="9:16">
      <c r="I4015" s="23" t="str">
        <f>_xlfn.IFNA(VLOOKUP(A4015,A$3524:$H4016,8,0),"")</f>
        <v/>
      </c>
      <c r="J4015" s="40" t="str">
        <f t="shared" si="319"/>
        <v/>
      </c>
      <c r="K4015" s="24" t="str">
        <f t="shared" si="320"/>
        <v/>
      </c>
      <c r="L4015" s="25" t="str">
        <f t="shared" si="316"/>
        <v/>
      </c>
      <c r="O4015" s="33" t="str">
        <f t="shared" si="317"/>
        <v/>
      </c>
      <c r="P4015" s="33" t="str">
        <f t="shared" si="318"/>
        <v/>
      </c>
    </row>
    <row r="4016" spans="9:16">
      <c r="I4016" s="23" t="str">
        <f>_xlfn.IFNA(VLOOKUP(A4016,A$3524:$H4017,8,0),"")</f>
        <v/>
      </c>
      <c r="J4016" s="40" t="str">
        <f t="shared" si="319"/>
        <v/>
      </c>
      <c r="K4016" s="24" t="str">
        <f t="shared" si="320"/>
        <v/>
      </c>
      <c r="L4016" s="25" t="str">
        <f t="shared" si="316"/>
        <v/>
      </c>
      <c r="O4016" s="33" t="str">
        <f t="shared" si="317"/>
        <v/>
      </c>
      <c r="P4016" s="33" t="str">
        <f t="shared" si="318"/>
        <v/>
      </c>
    </row>
    <row r="4017" spans="9:16">
      <c r="I4017" s="23" t="str">
        <f>_xlfn.IFNA(VLOOKUP(A4017,A$3524:$H4018,8,0),"")</f>
        <v/>
      </c>
      <c r="J4017" s="40" t="str">
        <f t="shared" si="319"/>
        <v/>
      </c>
      <c r="K4017" s="24" t="str">
        <f t="shared" si="320"/>
        <v/>
      </c>
      <c r="L4017" s="25" t="str">
        <f t="shared" si="316"/>
        <v/>
      </c>
      <c r="O4017" s="33" t="str">
        <f t="shared" si="317"/>
        <v/>
      </c>
      <c r="P4017" s="33" t="str">
        <f t="shared" si="318"/>
        <v/>
      </c>
    </row>
    <row r="4018" spans="9:16">
      <c r="I4018" s="23" t="str">
        <f>_xlfn.IFNA(VLOOKUP(A4018,A$3524:$H4019,8,0),"")</f>
        <v/>
      </c>
      <c r="J4018" s="40" t="str">
        <f t="shared" si="319"/>
        <v/>
      </c>
      <c r="K4018" s="24" t="str">
        <f t="shared" si="320"/>
        <v/>
      </c>
      <c r="L4018" s="25" t="str">
        <f t="shared" si="316"/>
        <v/>
      </c>
      <c r="O4018" s="33" t="str">
        <f t="shared" si="317"/>
        <v/>
      </c>
      <c r="P4018" s="33" t="str">
        <f t="shared" si="318"/>
        <v/>
      </c>
    </row>
    <row r="4019" spans="9:16">
      <c r="I4019" s="23" t="str">
        <f>_xlfn.IFNA(VLOOKUP(A4019,A$3524:$H4020,8,0),"")</f>
        <v/>
      </c>
      <c r="J4019" s="40" t="str">
        <f t="shared" si="319"/>
        <v/>
      </c>
      <c r="K4019" s="24" t="str">
        <f t="shared" si="320"/>
        <v/>
      </c>
      <c r="L4019" s="25" t="str">
        <f t="shared" si="316"/>
        <v/>
      </c>
      <c r="O4019" s="33" t="str">
        <f t="shared" si="317"/>
        <v/>
      </c>
      <c r="P4019" s="33" t="str">
        <f t="shared" si="318"/>
        <v/>
      </c>
    </row>
    <row r="4020" spans="9:16">
      <c r="I4020" s="23" t="str">
        <f>_xlfn.IFNA(VLOOKUP(A4020,A$3524:$H4021,8,0),"")</f>
        <v/>
      </c>
      <c r="J4020" s="40" t="str">
        <f t="shared" si="319"/>
        <v/>
      </c>
      <c r="K4020" s="24" t="str">
        <f t="shared" si="320"/>
        <v/>
      </c>
      <c r="L4020" s="25" t="str">
        <f t="shared" si="316"/>
        <v/>
      </c>
      <c r="O4020" s="33" t="str">
        <f t="shared" si="317"/>
        <v/>
      </c>
      <c r="P4020" s="33" t="str">
        <f t="shared" si="318"/>
        <v/>
      </c>
    </row>
    <row r="4021" spans="9:16">
      <c r="I4021" s="23" t="str">
        <f>_xlfn.IFNA(VLOOKUP(A4021,A$3524:$H4022,8,0),"")</f>
        <v/>
      </c>
      <c r="J4021" s="40" t="str">
        <f t="shared" si="319"/>
        <v/>
      </c>
      <c r="K4021" s="24" t="str">
        <f t="shared" si="320"/>
        <v/>
      </c>
      <c r="L4021" s="25" t="str">
        <f t="shared" si="316"/>
        <v/>
      </c>
      <c r="O4021" s="33" t="str">
        <f t="shared" si="317"/>
        <v/>
      </c>
      <c r="P4021" s="33" t="str">
        <f t="shared" si="318"/>
        <v/>
      </c>
    </row>
    <row r="4022" spans="9:16">
      <c r="I4022" s="23" t="str">
        <f>_xlfn.IFNA(VLOOKUP(A4022,A$3524:$H4023,8,0),"")</f>
        <v/>
      </c>
      <c r="J4022" s="40" t="str">
        <f t="shared" si="319"/>
        <v/>
      </c>
      <c r="K4022" s="24" t="str">
        <f t="shared" si="320"/>
        <v/>
      </c>
      <c r="L4022" s="25" t="str">
        <f t="shared" si="316"/>
        <v/>
      </c>
      <c r="O4022" s="33" t="str">
        <f t="shared" si="317"/>
        <v/>
      </c>
      <c r="P4022" s="33" t="str">
        <f t="shared" si="318"/>
        <v/>
      </c>
    </row>
    <row r="4023" spans="9:16">
      <c r="I4023" s="23" t="str">
        <f>_xlfn.IFNA(VLOOKUP(A4023,A$3524:$H4024,8,0),"")</f>
        <v/>
      </c>
      <c r="J4023" s="40" t="str">
        <f t="shared" si="319"/>
        <v/>
      </c>
      <c r="K4023" s="24" t="str">
        <f t="shared" si="320"/>
        <v/>
      </c>
      <c r="L4023" s="25" t="str">
        <f t="shared" ref="L4023:L4086" si="321">IF(K4023="","",IF(B4023="Break","Break",IF(K4023&lt;&gt;0,"Work Finished",IF(B4023="OFF","Work Finished",IF(I4023="","Working","Work Finished")))))</f>
        <v/>
      </c>
      <c r="O4023" s="33" t="str">
        <f t="shared" ref="O4023:O4086" si="322">IF(AND(J4023="",M4023="",N4023=""),"",J4023-M4023-N4023)</f>
        <v/>
      </c>
      <c r="P4023" s="33" t="str">
        <f t="shared" ref="P4023:P4086" si="323">IF(HOUR(H4023)=0,"",HOUR(H4023))</f>
        <v/>
      </c>
    </row>
    <row r="4024" spans="9:16">
      <c r="I4024" s="23" t="str">
        <f>_xlfn.IFNA(VLOOKUP(A4024,A$3524:$H4025,8,0),"")</f>
        <v/>
      </c>
      <c r="J4024" s="40" t="str">
        <f t="shared" si="319"/>
        <v/>
      </c>
      <c r="K4024" s="24" t="str">
        <f t="shared" si="320"/>
        <v/>
      </c>
      <c r="L4024" s="25" t="str">
        <f t="shared" si="321"/>
        <v/>
      </c>
      <c r="O4024" s="33" t="str">
        <f t="shared" si="322"/>
        <v/>
      </c>
      <c r="P4024" s="33" t="str">
        <f t="shared" si="323"/>
        <v/>
      </c>
    </row>
    <row r="4025" spans="9:16">
      <c r="I4025" s="23" t="str">
        <f>_xlfn.IFNA(VLOOKUP(A4025,A$3524:$H4026,8,0),"")</f>
        <v/>
      </c>
      <c r="J4025" s="40" t="str">
        <f t="shared" si="319"/>
        <v/>
      </c>
      <c r="K4025" s="24" t="str">
        <f t="shared" si="320"/>
        <v/>
      </c>
      <c r="L4025" s="25" t="str">
        <f t="shared" si="321"/>
        <v/>
      </c>
      <c r="O4025" s="33" t="str">
        <f t="shared" si="322"/>
        <v/>
      </c>
      <c r="P4025" s="33" t="str">
        <f t="shared" si="323"/>
        <v/>
      </c>
    </row>
    <row r="4026" spans="9:16">
      <c r="I4026" s="23" t="str">
        <f>_xlfn.IFNA(VLOOKUP(A4026,A$3524:$H4027,8,0),"")</f>
        <v/>
      </c>
      <c r="J4026" s="40" t="str">
        <f t="shared" si="319"/>
        <v/>
      </c>
      <c r="K4026" s="24" t="str">
        <f t="shared" si="320"/>
        <v/>
      </c>
      <c r="L4026" s="25" t="str">
        <f t="shared" si="321"/>
        <v/>
      </c>
      <c r="O4026" s="33" t="str">
        <f t="shared" si="322"/>
        <v/>
      </c>
      <c r="P4026" s="33" t="str">
        <f t="shared" si="323"/>
        <v/>
      </c>
    </row>
    <row r="4027" spans="9:16">
      <c r="I4027" s="23" t="str">
        <f>_xlfn.IFNA(VLOOKUP(A4027,A$3524:$H4028,8,0),"")</f>
        <v/>
      </c>
      <c r="J4027" s="40" t="str">
        <f t="shared" si="319"/>
        <v/>
      </c>
      <c r="K4027" s="24" t="str">
        <f t="shared" si="320"/>
        <v/>
      </c>
      <c r="L4027" s="25" t="str">
        <f t="shared" si="321"/>
        <v/>
      </c>
      <c r="O4027" s="33" t="str">
        <f t="shared" si="322"/>
        <v/>
      </c>
      <c r="P4027" s="33" t="str">
        <f t="shared" si="323"/>
        <v/>
      </c>
    </row>
    <row r="4028" spans="9:16">
      <c r="I4028" s="23" t="str">
        <f>_xlfn.IFNA(VLOOKUP(A4028,A$3524:$H4029,8,0),"")</f>
        <v/>
      </c>
      <c r="J4028" s="40" t="str">
        <f t="shared" si="319"/>
        <v/>
      </c>
      <c r="K4028" s="24" t="str">
        <f t="shared" si="320"/>
        <v/>
      </c>
      <c r="L4028" s="25" t="str">
        <f t="shared" si="321"/>
        <v/>
      </c>
      <c r="O4028" s="33" t="str">
        <f t="shared" si="322"/>
        <v/>
      </c>
      <c r="P4028" s="33" t="str">
        <f t="shared" si="323"/>
        <v/>
      </c>
    </row>
    <row r="4029" spans="9:16">
      <c r="I4029" s="23" t="str">
        <f>_xlfn.IFNA(VLOOKUP(A4029,A$3524:$H4030,8,0),"")</f>
        <v/>
      </c>
      <c r="J4029" s="40" t="str">
        <f t="shared" si="319"/>
        <v/>
      </c>
      <c r="K4029" s="24" t="str">
        <f t="shared" si="320"/>
        <v/>
      </c>
      <c r="L4029" s="25" t="str">
        <f t="shared" si="321"/>
        <v/>
      </c>
      <c r="O4029" s="33" t="str">
        <f t="shared" si="322"/>
        <v/>
      </c>
      <c r="P4029" s="33" t="str">
        <f t="shared" si="323"/>
        <v/>
      </c>
    </row>
    <row r="4030" spans="9:16">
      <c r="I4030" s="23" t="str">
        <f>_xlfn.IFNA(VLOOKUP(A4030,A$3524:$H4031,8,0),"")</f>
        <v/>
      </c>
      <c r="J4030" s="40" t="str">
        <f t="shared" si="319"/>
        <v/>
      </c>
      <c r="K4030" s="24" t="str">
        <f t="shared" si="320"/>
        <v/>
      </c>
      <c r="L4030" s="25" t="str">
        <f t="shared" si="321"/>
        <v/>
      </c>
      <c r="O4030" s="33" t="str">
        <f t="shared" si="322"/>
        <v/>
      </c>
      <c r="P4030" s="33" t="str">
        <f t="shared" si="323"/>
        <v/>
      </c>
    </row>
    <row r="4031" spans="9:16">
      <c r="I4031" s="23" t="str">
        <f>_xlfn.IFNA(VLOOKUP(A4031,A$3524:$H4032,8,0),"")</f>
        <v/>
      </c>
      <c r="J4031" s="40" t="str">
        <f t="shared" si="319"/>
        <v/>
      </c>
      <c r="K4031" s="24" t="str">
        <f t="shared" si="320"/>
        <v/>
      </c>
      <c r="L4031" s="25" t="str">
        <f t="shared" si="321"/>
        <v/>
      </c>
      <c r="O4031" s="33" t="str">
        <f t="shared" si="322"/>
        <v/>
      </c>
      <c r="P4031" s="33" t="str">
        <f t="shared" si="323"/>
        <v/>
      </c>
    </row>
    <row r="4032" spans="9:16">
      <c r="I4032" s="23" t="str">
        <f>_xlfn.IFNA(VLOOKUP(A4032,A$3524:$H4033,8,0),"")</f>
        <v/>
      </c>
      <c r="J4032" s="40" t="str">
        <f t="shared" si="319"/>
        <v/>
      </c>
      <c r="K4032" s="24" t="str">
        <f t="shared" si="320"/>
        <v/>
      </c>
      <c r="L4032" s="25" t="str">
        <f t="shared" si="321"/>
        <v/>
      </c>
      <c r="O4032" s="33" t="str">
        <f t="shared" si="322"/>
        <v/>
      </c>
      <c r="P4032" s="33" t="str">
        <f t="shared" si="323"/>
        <v/>
      </c>
    </row>
    <row r="4033" spans="9:16">
      <c r="I4033" s="23" t="str">
        <f>_xlfn.IFNA(VLOOKUP(A4033,A$3524:$H4034,8,0),"")</f>
        <v/>
      </c>
      <c r="J4033" s="40" t="str">
        <f t="shared" si="319"/>
        <v/>
      </c>
      <c r="K4033" s="24" t="str">
        <f t="shared" si="320"/>
        <v/>
      </c>
      <c r="L4033" s="25" t="str">
        <f t="shared" si="321"/>
        <v/>
      </c>
      <c r="O4033" s="33" t="str">
        <f t="shared" si="322"/>
        <v/>
      </c>
      <c r="P4033" s="33" t="str">
        <f t="shared" si="323"/>
        <v/>
      </c>
    </row>
    <row r="4034" spans="9:16">
      <c r="I4034" s="23" t="str">
        <f>_xlfn.IFNA(VLOOKUP(A4034,A$3524:$H4035,8,0),"")</f>
        <v/>
      </c>
      <c r="J4034" s="40" t="str">
        <f t="shared" si="319"/>
        <v/>
      </c>
      <c r="K4034" s="24" t="str">
        <f t="shared" si="320"/>
        <v/>
      </c>
      <c r="L4034" s="25" t="str">
        <f t="shared" si="321"/>
        <v/>
      </c>
      <c r="O4034" s="33" t="str">
        <f t="shared" si="322"/>
        <v/>
      </c>
      <c r="P4034" s="33" t="str">
        <f t="shared" si="323"/>
        <v/>
      </c>
    </row>
    <row r="4035" spans="9:16">
      <c r="I4035" s="23" t="str">
        <f>_xlfn.IFNA(VLOOKUP(A4035,A$3524:$H4036,8,0),"")</f>
        <v/>
      </c>
      <c r="J4035" s="40" t="str">
        <f t="shared" si="319"/>
        <v/>
      </c>
      <c r="K4035" s="24" t="str">
        <f t="shared" si="320"/>
        <v/>
      </c>
      <c r="L4035" s="25" t="str">
        <f t="shared" si="321"/>
        <v/>
      </c>
      <c r="O4035" s="33" t="str">
        <f t="shared" si="322"/>
        <v/>
      </c>
      <c r="P4035" s="33" t="str">
        <f t="shared" si="323"/>
        <v/>
      </c>
    </row>
    <row r="4036" spans="9:16">
      <c r="I4036" s="23" t="str">
        <f>_xlfn.IFNA(VLOOKUP(A4036,A$3524:$H4037,8,0),"")</f>
        <v/>
      </c>
      <c r="J4036" s="40" t="str">
        <f t="shared" si="319"/>
        <v/>
      </c>
      <c r="K4036" s="24" t="str">
        <f t="shared" si="320"/>
        <v/>
      </c>
      <c r="L4036" s="25" t="str">
        <f t="shared" si="321"/>
        <v/>
      </c>
      <c r="O4036" s="33" t="str">
        <f t="shared" si="322"/>
        <v/>
      </c>
      <c r="P4036" s="33" t="str">
        <f t="shared" si="323"/>
        <v/>
      </c>
    </row>
    <row r="4037" spans="9:16">
      <c r="I4037" s="23" t="str">
        <f>_xlfn.IFNA(VLOOKUP(A4037,A$3524:$H4038,8,0),"")</f>
        <v/>
      </c>
      <c r="J4037" s="40" t="str">
        <f t="shared" si="319"/>
        <v/>
      </c>
      <c r="K4037" s="24" t="str">
        <f t="shared" si="320"/>
        <v/>
      </c>
      <c r="L4037" s="25" t="str">
        <f t="shared" si="321"/>
        <v/>
      </c>
      <c r="O4037" s="33" t="str">
        <f t="shared" si="322"/>
        <v/>
      </c>
      <c r="P4037" s="33" t="str">
        <f t="shared" si="323"/>
        <v/>
      </c>
    </row>
    <row r="4038" spans="9:16">
      <c r="I4038" s="23" t="str">
        <f>_xlfn.IFNA(VLOOKUP(A4038,A$3524:$H4039,8,0),"")</f>
        <v/>
      </c>
      <c r="J4038" s="40" t="str">
        <f t="shared" ref="J4038:J4101" si="324">IF(B4038="OFF",0,IF(AND(D4038&lt;&gt;"",E4038&lt;&gt;""),E4038-D4038+1,""))</f>
        <v/>
      </c>
      <c r="K4038" s="24" t="str">
        <f t="shared" si="320"/>
        <v/>
      </c>
      <c r="L4038" s="25" t="str">
        <f t="shared" si="321"/>
        <v/>
      </c>
      <c r="O4038" s="33" t="str">
        <f t="shared" si="322"/>
        <v/>
      </c>
      <c r="P4038" s="33" t="str">
        <f t="shared" si="323"/>
        <v/>
      </c>
    </row>
    <row r="4039" spans="9:16">
      <c r="I4039" s="23" t="str">
        <f>_xlfn.IFNA(VLOOKUP(A4039,A$3524:$H4040,8,0),"")</f>
        <v/>
      </c>
      <c r="J4039" s="40" t="str">
        <f t="shared" si="324"/>
        <v/>
      </c>
      <c r="K4039" s="24" t="str">
        <f t="shared" si="320"/>
        <v/>
      </c>
      <c r="L4039" s="25" t="str">
        <f t="shared" si="321"/>
        <v/>
      </c>
      <c r="O4039" s="33" t="str">
        <f t="shared" si="322"/>
        <v/>
      </c>
      <c r="P4039" s="33" t="str">
        <f t="shared" si="323"/>
        <v/>
      </c>
    </row>
    <row r="4040" spans="9:16">
      <c r="I4040" s="23" t="str">
        <f>_xlfn.IFNA(VLOOKUP(A4040,A$3524:$H4041,8,0),"")</f>
        <v/>
      </c>
      <c r="J4040" s="40" t="str">
        <f t="shared" si="324"/>
        <v/>
      </c>
      <c r="K4040" s="24" t="str">
        <f t="shared" si="320"/>
        <v/>
      </c>
      <c r="L4040" s="25" t="str">
        <f t="shared" si="321"/>
        <v/>
      </c>
      <c r="O4040" s="33" t="str">
        <f t="shared" si="322"/>
        <v/>
      </c>
      <c r="P4040" s="33" t="str">
        <f t="shared" si="323"/>
        <v/>
      </c>
    </row>
    <row r="4041" spans="9:16">
      <c r="I4041" s="23" t="str">
        <f>_xlfn.IFNA(VLOOKUP(A4041,A$3524:$H4042,8,0),"")</f>
        <v/>
      </c>
      <c r="J4041" s="40" t="str">
        <f t="shared" si="324"/>
        <v/>
      </c>
      <c r="K4041" s="24" t="str">
        <f t="shared" si="320"/>
        <v/>
      </c>
      <c r="L4041" s="25" t="str">
        <f t="shared" si="321"/>
        <v/>
      </c>
      <c r="O4041" s="33" t="str">
        <f t="shared" si="322"/>
        <v/>
      </c>
      <c r="P4041" s="33" t="str">
        <f t="shared" si="323"/>
        <v/>
      </c>
    </row>
    <row r="4042" spans="9:16">
      <c r="I4042" s="23" t="str">
        <f>_xlfn.IFNA(VLOOKUP(A4042,A$3524:$H4043,8,0),"")</f>
        <v/>
      </c>
      <c r="J4042" s="40" t="str">
        <f t="shared" si="324"/>
        <v/>
      </c>
      <c r="K4042" s="24" t="str">
        <f t="shared" si="320"/>
        <v/>
      </c>
      <c r="L4042" s="25" t="str">
        <f t="shared" si="321"/>
        <v/>
      </c>
      <c r="O4042" s="33" t="str">
        <f t="shared" si="322"/>
        <v/>
      </c>
      <c r="P4042" s="33" t="str">
        <f t="shared" si="323"/>
        <v/>
      </c>
    </row>
    <row r="4043" spans="9:16">
      <c r="I4043" s="23" t="str">
        <f>_xlfn.IFNA(VLOOKUP(A4043,A$3524:$H4044,8,0),"")</f>
        <v/>
      </c>
      <c r="J4043" s="40" t="str">
        <f t="shared" si="324"/>
        <v/>
      </c>
      <c r="K4043" s="24" t="str">
        <f t="shared" si="320"/>
        <v/>
      </c>
      <c r="L4043" s="25" t="str">
        <f t="shared" si="321"/>
        <v/>
      </c>
      <c r="O4043" s="33" t="str">
        <f t="shared" si="322"/>
        <v/>
      </c>
      <c r="P4043" s="33" t="str">
        <f t="shared" si="323"/>
        <v/>
      </c>
    </row>
    <row r="4044" spans="9:16">
      <c r="I4044" s="23" t="str">
        <f>_xlfn.IFNA(VLOOKUP(A4044,A$3524:$H4045,8,0),"")</f>
        <v/>
      </c>
      <c r="J4044" s="40" t="str">
        <f t="shared" si="324"/>
        <v/>
      </c>
      <c r="K4044" s="24" t="str">
        <f t="shared" si="320"/>
        <v/>
      </c>
      <c r="L4044" s="25" t="str">
        <f t="shared" si="321"/>
        <v/>
      </c>
      <c r="O4044" s="33" t="str">
        <f t="shared" si="322"/>
        <v/>
      </c>
      <c r="P4044" s="33" t="str">
        <f t="shared" si="323"/>
        <v/>
      </c>
    </row>
    <row r="4045" spans="9:16">
      <c r="I4045" s="23" t="str">
        <f>_xlfn.IFNA(VLOOKUP(A4045,A$3524:$H4046,8,0),"")</f>
        <v/>
      </c>
      <c r="J4045" s="40" t="str">
        <f t="shared" si="324"/>
        <v/>
      </c>
      <c r="K4045" s="24" t="str">
        <f t="shared" si="320"/>
        <v/>
      </c>
      <c r="L4045" s="25" t="str">
        <f t="shared" si="321"/>
        <v/>
      </c>
      <c r="O4045" s="33" t="str">
        <f t="shared" si="322"/>
        <v/>
      </c>
      <c r="P4045" s="33" t="str">
        <f t="shared" si="323"/>
        <v/>
      </c>
    </row>
    <row r="4046" spans="9:16">
      <c r="I4046" s="23" t="str">
        <f>_xlfn.IFNA(VLOOKUP(A4046,A$3524:$H4047,8,0),"")</f>
        <v/>
      </c>
      <c r="J4046" s="40" t="str">
        <f t="shared" si="324"/>
        <v/>
      </c>
      <c r="K4046" s="24" t="str">
        <f t="shared" si="320"/>
        <v/>
      </c>
      <c r="L4046" s="25" t="str">
        <f t="shared" si="321"/>
        <v/>
      </c>
      <c r="O4046" s="33" t="str">
        <f t="shared" si="322"/>
        <v/>
      </c>
      <c r="P4046" s="33" t="str">
        <f t="shared" si="323"/>
        <v/>
      </c>
    </row>
    <row r="4047" spans="9:16">
      <c r="I4047" s="23" t="str">
        <f>_xlfn.IFNA(VLOOKUP(A4047,A$3524:$H4048,8,0),"")</f>
        <v/>
      </c>
      <c r="J4047" s="40" t="str">
        <f t="shared" si="324"/>
        <v/>
      </c>
      <c r="K4047" s="24" t="str">
        <f t="shared" si="320"/>
        <v/>
      </c>
      <c r="L4047" s="25" t="str">
        <f t="shared" si="321"/>
        <v/>
      </c>
      <c r="O4047" s="33" t="str">
        <f t="shared" si="322"/>
        <v/>
      </c>
      <c r="P4047" s="33" t="str">
        <f t="shared" si="323"/>
        <v/>
      </c>
    </row>
    <row r="4048" spans="9:16">
      <c r="I4048" s="23" t="str">
        <f>_xlfn.IFNA(VLOOKUP(A4048,A$3524:$H4049,8,0),"")</f>
        <v/>
      </c>
      <c r="J4048" s="40" t="str">
        <f t="shared" si="324"/>
        <v/>
      </c>
      <c r="K4048" s="24" t="str">
        <f t="shared" si="320"/>
        <v/>
      </c>
      <c r="L4048" s="25" t="str">
        <f t="shared" si="321"/>
        <v/>
      </c>
      <c r="O4048" s="33" t="str">
        <f t="shared" si="322"/>
        <v/>
      </c>
      <c r="P4048" s="33" t="str">
        <f t="shared" si="323"/>
        <v/>
      </c>
    </row>
    <row r="4049" spans="9:16">
      <c r="I4049" s="23" t="str">
        <f>_xlfn.IFNA(VLOOKUP(A4049,A$3524:$H4050,8,0),"")</f>
        <v/>
      </c>
      <c r="J4049" s="40" t="str">
        <f t="shared" si="324"/>
        <v/>
      </c>
      <c r="K4049" s="24" t="str">
        <f t="shared" si="320"/>
        <v/>
      </c>
      <c r="L4049" s="25" t="str">
        <f t="shared" si="321"/>
        <v/>
      </c>
      <c r="O4049" s="33" t="str">
        <f t="shared" si="322"/>
        <v/>
      </c>
      <c r="P4049" s="33" t="str">
        <f t="shared" si="323"/>
        <v/>
      </c>
    </row>
    <row r="4050" spans="9:16">
      <c r="I4050" s="23" t="str">
        <f>_xlfn.IFNA(VLOOKUP(A4050,A$3524:$H4051,8,0),"")</f>
        <v/>
      </c>
      <c r="J4050" s="40" t="str">
        <f t="shared" si="324"/>
        <v/>
      </c>
      <c r="K4050" s="24" t="str">
        <f t="shared" si="320"/>
        <v/>
      </c>
      <c r="L4050" s="25" t="str">
        <f t="shared" si="321"/>
        <v/>
      </c>
      <c r="O4050" s="33" t="str">
        <f t="shared" si="322"/>
        <v/>
      </c>
      <c r="P4050" s="33" t="str">
        <f t="shared" si="323"/>
        <v/>
      </c>
    </row>
    <row r="4051" spans="9:16">
      <c r="I4051" s="23" t="str">
        <f>_xlfn.IFNA(VLOOKUP(A4051,A$3524:$H4052,8,0),"")</f>
        <v/>
      </c>
      <c r="J4051" s="40" t="str">
        <f t="shared" si="324"/>
        <v/>
      </c>
      <c r="K4051" s="24" t="str">
        <f t="shared" si="320"/>
        <v/>
      </c>
      <c r="L4051" s="25" t="str">
        <f t="shared" si="321"/>
        <v/>
      </c>
      <c r="O4051" s="33" t="str">
        <f t="shared" si="322"/>
        <v/>
      </c>
      <c r="P4051" s="33" t="str">
        <f t="shared" si="323"/>
        <v/>
      </c>
    </row>
    <row r="4052" spans="9:16">
      <c r="I4052" s="23" t="str">
        <f>_xlfn.IFNA(VLOOKUP(A4052,A$3524:$H4053,8,0),"")</f>
        <v/>
      </c>
      <c r="J4052" s="40" t="str">
        <f t="shared" si="324"/>
        <v/>
      </c>
      <c r="K4052" s="24" t="str">
        <f t="shared" si="320"/>
        <v/>
      </c>
      <c r="L4052" s="25" t="str">
        <f t="shared" si="321"/>
        <v/>
      </c>
      <c r="O4052" s="33" t="str">
        <f t="shared" si="322"/>
        <v/>
      </c>
      <c r="P4052" s="33" t="str">
        <f t="shared" si="323"/>
        <v/>
      </c>
    </row>
    <row r="4053" spans="9:16">
      <c r="I4053" s="23" t="str">
        <f>_xlfn.IFNA(VLOOKUP(A4053,A$3524:$H4054,8,0),"")</f>
        <v/>
      </c>
      <c r="J4053" s="40" t="str">
        <f t="shared" si="324"/>
        <v/>
      </c>
      <c r="K4053" s="24" t="str">
        <f t="shared" si="320"/>
        <v/>
      </c>
      <c r="L4053" s="25" t="str">
        <f t="shared" si="321"/>
        <v/>
      </c>
      <c r="O4053" s="33" t="str">
        <f t="shared" si="322"/>
        <v/>
      </c>
      <c r="P4053" s="33" t="str">
        <f t="shared" si="323"/>
        <v/>
      </c>
    </row>
    <row r="4054" spans="9:16">
      <c r="I4054" s="23" t="str">
        <f>_xlfn.IFNA(VLOOKUP(A4054,A$3524:$H4055,8,0),"")</f>
        <v/>
      </c>
      <c r="J4054" s="40" t="str">
        <f t="shared" si="324"/>
        <v/>
      </c>
      <c r="K4054" s="24" t="str">
        <f t="shared" ref="K4054:K4117" si="325">IF(H4054="","",IFERROR((I4054-H4054)*24,0))</f>
        <v/>
      </c>
      <c r="L4054" s="25" t="str">
        <f t="shared" si="321"/>
        <v/>
      </c>
      <c r="O4054" s="33" t="str">
        <f t="shared" si="322"/>
        <v/>
      </c>
      <c r="P4054" s="33" t="str">
        <f t="shared" si="323"/>
        <v/>
      </c>
    </row>
    <row r="4055" spans="9:16">
      <c r="I4055" s="23" t="str">
        <f>_xlfn.IFNA(VLOOKUP(A4055,A$3524:$H4056,8,0),"")</f>
        <v/>
      </c>
      <c r="J4055" s="40" t="str">
        <f t="shared" si="324"/>
        <v/>
      </c>
      <c r="K4055" s="24" t="str">
        <f t="shared" si="325"/>
        <v/>
      </c>
      <c r="L4055" s="25" t="str">
        <f t="shared" si="321"/>
        <v/>
      </c>
      <c r="O4055" s="33" t="str">
        <f t="shared" si="322"/>
        <v/>
      </c>
      <c r="P4055" s="33" t="str">
        <f t="shared" si="323"/>
        <v/>
      </c>
    </row>
    <row r="4056" spans="9:16">
      <c r="I4056" s="23" t="str">
        <f>_xlfn.IFNA(VLOOKUP(A4056,A$3524:$H4057,8,0),"")</f>
        <v/>
      </c>
      <c r="J4056" s="40" t="str">
        <f t="shared" si="324"/>
        <v/>
      </c>
      <c r="K4056" s="24" t="str">
        <f t="shared" si="325"/>
        <v/>
      </c>
      <c r="L4056" s="25" t="str">
        <f t="shared" si="321"/>
        <v/>
      </c>
      <c r="O4056" s="33" t="str">
        <f t="shared" si="322"/>
        <v/>
      </c>
      <c r="P4056" s="33" t="str">
        <f t="shared" si="323"/>
        <v/>
      </c>
    </row>
    <row r="4057" spans="9:16">
      <c r="I4057" s="23" t="str">
        <f>_xlfn.IFNA(VLOOKUP(A4057,A$3524:$H4058,8,0),"")</f>
        <v/>
      </c>
      <c r="J4057" s="40" t="str">
        <f t="shared" si="324"/>
        <v/>
      </c>
      <c r="K4057" s="24" t="str">
        <f t="shared" si="325"/>
        <v/>
      </c>
      <c r="L4057" s="25" t="str">
        <f t="shared" si="321"/>
        <v/>
      </c>
      <c r="O4057" s="33" t="str">
        <f t="shared" si="322"/>
        <v/>
      </c>
      <c r="P4057" s="33" t="str">
        <f t="shared" si="323"/>
        <v/>
      </c>
    </row>
    <row r="4058" spans="9:16">
      <c r="I4058" s="23" t="str">
        <f>_xlfn.IFNA(VLOOKUP(A4058,A$3524:$H4059,8,0),"")</f>
        <v/>
      </c>
      <c r="J4058" s="40" t="str">
        <f t="shared" si="324"/>
        <v/>
      </c>
      <c r="K4058" s="24" t="str">
        <f t="shared" si="325"/>
        <v/>
      </c>
      <c r="L4058" s="25" t="str">
        <f t="shared" si="321"/>
        <v/>
      </c>
      <c r="O4058" s="33" t="str">
        <f t="shared" si="322"/>
        <v/>
      </c>
      <c r="P4058" s="33" t="str">
        <f t="shared" si="323"/>
        <v/>
      </c>
    </row>
    <row r="4059" spans="9:16">
      <c r="I4059" s="23" t="str">
        <f>_xlfn.IFNA(VLOOKUP(A4059,A$3524:$H4060,8,0),"")</f>
        <v/>
      </c>
      <c r="J4059" s="40" t="str">
        <f t="shared" si="324"/>
        <v/>
      </c>
      <c r="K4059" s="24" t="str">
        <f t="shared" si="325"/>
        <v/>
      </c>
      <c r="L4059" s="25" t="str">
        <f t="shared" si="321"/>
        <v/>
      </c>
      <c r="O4059" s="33" t="str">
        <f t="shared" si="322"/>
        <v/>
      </c>
      <c r="P4059" s="33" t="str">
        <f t="shared" si="323"/>
        <v/>
      </c>
    </row>
    <row r="4060" spans="9:16">
      <c r="I4060" s="23" t="str">
        <f>_xlfn.IFNA(VLOOKUP(A4060,A$3524:$H4061,8,0),"")</f>
        <v/>
      </c>
      <c r="J4060" s="40" t="str">
        <f t="shared" si="324"/>
        <v/>
      </c>
      <c r="K4060" s="24" t="str">
        <f t="shared" si="325"/>
        <v/>
      </c>
      <c r="L4060" s="25" t="str">
        <f t="shared" si="321"/>
        <v/>
      </c>
      <c r="O4060" s="33" t="str">
        <f t="shared" si="322"/>
        <v/>
      </c>
      <c r="P4060" s="33" t="str">
        <f t="shared" si="323"/>
        <v/>
      </c>
    </row>
    <row r="4061" spans="9:16">
      <c r="I4061" s="23" t="str">
        <f>_xlfn.IFNA(VLOOKUP(A4061,A$3524:$H4062,8,0),"")</f>
        <v/>
      </c>
      <c r="J4061" s="40" t="str">
        <f t="shared" si="324"/>
        <v/>
      </c>
      <c r="K4061" s="24" t="str">
        <f t="shared" si="325"/>
        <v/>
      </c>
      <c r="L4061" s="25" t="str">
        <f t="shared" si="321"/>
        <v/>
      </c>
      <c r="O4061" s="33" t="str">
        <f t="shared" si="322"/>
        <v/>
      </c>
      <c r="P4061" s="33" t="str">
        <f t="shared" si="323"/>
        <v/>
      </c>
    </row>
    <row r="4062" spans="9:16">
      <c r="I4062" s="23" t="str">
        <f>_xlfn.IFNA(VLOOKUP(A4062,A$3524:$H4063,8,0),"")</f>
        <v/>
      </c>
      <c r="J4062" s="40" t="str">
        <f t="shared" si="324"/>
        <v/>
      </c>
      <c r="K4062" s="24" t="str">
        <f t="shared" si="325"/>
        <v/>
      </c>
      <c r="L4062" s="25" t="str">
        <f t="shared" si="321"/>
        <v/>
      </c>
      <c r="O4062" s="33" t="str">
        <f t="shared" si="322"/>
        <v/>
      </c>
      <c r="P4062" s="33" t="str">
        <f t="shared" si="323"/>
        <v/>
      </c>
    </row>
    <row r="4063" spans="9:16">
      <c r="I4063" s="23" t="str">
        <f>_xlfn.IFNA(VLOOKUP(A4063,A$3524:$H4064,8,0),"")</f>
        <v/>
      </c>
      <c r="J4063" s="40" t="str">
        <f t="shared" si="324"/>
        <v/>
      </c>
      <c r="K4063" s="24" t="str">
        <f t="shared" si="325"/>
        <v/>
      </c>
      <c r="L4063" s="25" t="str">
        <f t="shared" si="321"/>
        <v/>
      </c>
      <c r="O4063" s="33" t="str">
        <f t="shared" si="322"/>
        <v/>
      </c>
      <c r="P4063" s="33" t="str">
        <f t="shared" si="323"/>
        <v/>
      </c>
    </row>
    <row r="4064" spans="9:16">
      <c r="I4064" s="23" t="str">
        <f>_xlfn.IFNA(VLOOKUP(A4064,A$3524:$H4065,8,0),"")</f>
        <v/>
      </c>
      <c r="J4064" s="40" t="str">
        <f t="shared" si="324"/>
        <v/>
      </c>
      <c r="K4064" s="24" t="str">
        <f t="shared" si="325"/>
        <v/>
      </c>
      <c r="L4064" s="25" t="str">
        <f t="shared" si="321"/>
        <v/>
      </c>
      <c r="O4064" s="33" t="str">
        <f t="shared" si="322"/>
        <v/>
      </c>
      <c r="P4064" s="33" t="str">
        <f t="shared" si="323"/>
        <v/>
      </c>
    </row>
    <row r="4065" spans="9:16">
      <c r="I4065" s="23" t="str">
        <f>_xlfn.IFNA(VLOOKUP(A4065,A$3524:$H4066,8,0),"")</f>
        <v/>
      </c>
      <c r="J4065" s="40" t="str">
        <f t="shared" si="324"/>
        <v/>
      </c>
      <c r="K4065" s="24" t="str">
        <f t="shared" si="325"/>
        <v/>
      </c>
      <c r="L4065" s="25" t="str">
        <f t="shared" si="321"/>
        <v/>
      </c>
      <c r="O4065" s="33" t="str">
        <f t="shared" si="322"/>
        <v/>
      </c>
      <c r="P4065" s="33" t="str">
        <f t="shared" si="323"/>
        <v/>
      </c>
    </row>
    <row r="4066" spans="9:16">
      <c r="I4066" s="23" t="str">
        <f>_xlfn.IFNA(VLOOKUP(A4066,A$3524:$H4067,8,0),"")</f>
        <v/>
      </c>
      <c r="J4066" s="40" t="str">
        <f t="shared" si="324"/>
        <v/>
      </c>
      <c r="K4066" s="24" t="str">
        <f t="shared" si="325"/>
        <v/>
      </c>
      <c r="L4066" s="25" t="str">
        <f t="shared" si="321"/>
        <v/>
      </c>
      <c r="O4066" s="33" t="str">
        <f t="shared" si="322"/>
        <v/>
      </c>
      <c r="P4066" s="33" t="str">
        <f t="shared" si="323"/>
        <v/>
      </c>
    </row>
    <row r="4067" spans="9:16">
      <c r="I4067" s="23" t="str">
        <f>_xlfn.IFNA(VLOOKUP(A4067,A$3524:$H4068,8,0),"")</f>
        <v/>
      </c>
      <c r="J4067" s="40" t="str">
        <f t="shared" si="324"/>
        <v/>
      </c>
      <c r="K4067" s="24" t="str">
        <f t="shared" si="325"/>
        <v/>
      </c>
      <c r="L4067" s="25" t="str">
        <f t="shared" si="321"/>
        <v/>
      </c>
      <c r="O4067" s="33" t="str">
        <f t="shared" si="322"/>
        <v/>
      </c>
      <c r="P4067" s="33" t="str">
        <f t="shared" si="323"/>
        <v/>
      </c>
    </row>
    <row r="4068" spans="9:16">
      <c r="I4068" s="23" t="str">
        <f>_xlfn.IFNA(VLOOKUP(A4068,A$3524:$H4069,8,0),"")</f>
        <v/>
      </c>
      <c r="J4068" s="40" t="str">
        <f t="shared" si="324"/>
        <v/>
      </c>
      <c r="K4068" s="24" t="str">
        <f t="shared" si="325"/>
        <v/>
      </c>
      <c r="L4068" s="25" t="str">
        <f t="shared" si="321"/>
        <v/>
      </c>
      <c r="O4068" s="33" t="str">
        <f t="shared" si="322"/>
        <v/>
      </c>
      <c r="P4068" s="33" t="str">
        <f t="shared" si="323"/>
        <v/>
      </c>
    </row>
    <row r="4069" spans="9:16">
      <c r="I4069" s="23" t="str">
        <f>_xlfn.IFNA(VLOOKUP(A4069,A$3524:$H4070,8,0),"")</f>
        <v/>
      </c>
      <c r="J4069" s="40" t="str">
        <f t="shared" si="324"/>
        <v/>
      </c>
      <c r="K4069" s="24" t="str">
        <f t="shared" si="325"/>
        <v/>
      </c>
      <c r="L4069" s="25" t="str">
        <f t="shared" si="321"/>
        <v/>
      </c>
      <c r="O4069" s="33" t="str">
        <f t="shared" si="322"/>
        <v/>
      </c>
      <c r="P4069" s="33" t="str">
        <f t="shared" si="323"/>
        <v/>
      </c>
    </row>
    <row r="4070" spans="9:16">
      <c r="I4070" s="23" t="str">
        <f>_xlfn.IFNA(VLOOKUP(A4070,A$3524:$H4071,8,0),"")</f>
        <v/>
      </c>
      <c r="J4070" s="40" t="str">
        <f t="shared" si="324"/>
        <v/>
      </c>
      <c r="K4070" s="24" t="str">
        <f t="shared" si="325"/>
        <v/>
      </c>
      <c r="L4070" s="25" t="str">
        <f t="shared" si="321"/>
        <v/>
      </c>
      <c r="O4070" s="33" t="str">
        <f t="shared" si="322"/>
        <v/>
      </c>
      <c r="P4070" s="33" t="str">
        <f t="shared" si="323"/>
        <v/>
      </c>
    </row>
    <row r="4071" spans="9:16">
      <c r="I4071" s="23" t="str">
        <f>_xlfn.IFNA(VLOOKUP(A4071,A$3524:$H4072,8,0),"")</f>
        <v/>
      </c>
      <c r="J4071" s="40" t="str">
        <f t="shared" si="324"/>
        <v/>
      </c>
      <c r="K4071" s="24" t="str">
        <f t="shared" si="325"/>
        <v/>
      </c>
      <c r="L4071" s="25" t="str">
        <f t="shared" si="321"/>
        <v/>
      </c>
      <c r="O4071" s="33" t="str">
        <f t="shared" si="322"/>
        <v/>
      </c>
      <c r="P4071" s="33" t="str">
        <f t="shared" si="323"/>
        <v/>
      </c>
    </row>
    <row r="4072" spans="9:16">
      <c r="I4072" s="23" t="str">
        <f>_xlfn.IFNA(VLOOKUP(A4072,A$3524:$H4073,8,0),"")</f>
        <v/>
      </c>
      <c r="J4072" s="40" t="str">
        <f t="shared" si="324"/>
        <v/>
      </c>
      <c r="K4072" s="24" t="str">
        <f t="shared" si="325"/>
        <v/>
      </c>
      <c r="L4072" s="25" t="str">
        <f t="shared" si="321"/>
        <v/>
      </c>
      <c r="O4072" s="33" t="str">
        <f t="shared" si="322"/>
        <v/>
      </c>
      <c r="P4072" s="33" t="str">
        <f t="shared" si="323"/>
        <v/>
      </c>
    </row>
    <row r="4073" spans="9:16">
      <c r="I4073" s="23" t="str">
        <f>_xlfn.IFNA(VLOOKUP(A4073,A$3524:$H4074,8,0),"")</f>
        <v/>
      </c>
      <c r="J4073" s="40" t="str">
        <f t="shared" si="324"/>
        <v/>
      </c>
      <c r="K4073" s="24" t="str">
        <f t="shared" si="325"/>
        <v/>
      </c>
      <c r="L4073" s="25" t="str">
        <f t="shared" si="321"/>
        <v/>
      </c>
      <c r="O4073" s="33" t="str">
        <f t="shared" si="322"/>
        <v/>
      </c>
      <c r="P4073" s="33" t="str">
        <f t="shared" si="323"/>
        <v/>
      </c>
    </row>
    <row r="4074" spans="9:16">
      <c r="I4074" s="23" t="str">
        <f>_xlfn.IFNA(VLOOKUP(A4074,A$3524:$H4075,8,0),"")</f>
        <v/>
      </c>
      <c r="J4074" s="40" t="str">
        <f t="shared" si="324"/>
        <v/>
      </c>
      <c r="K4074" s="24" t="str">
        <f t="shared" si="325"/>
        <v/>
      </c>
      <c r="L4074" s="25" t="str">
        <f t="shared" si="321"/>
        <v/>
      </c>
      <c r="O4074" s="33" t="str">
        <f t="shared" si="322"/>
        <v/>
      </c>
      <c r="P4074" s="33" t="str">
        <f t="shared" si="323"/>
        <v/>
      </c>
    </row>
    <row r="4075" spans="9:16">
      <c r="I4075" s="23" t="str">
        <f>_xlfn.IFNA(VLOOKUP(A4075,A$3524:$H4076,8,0),"")</f>
        <v/>
      </c>
      <c r="J4075" s="40" t="str">
        <f t="shared" si="324"/>
        <v/>
      </c>
      <c r="K4075" s="24" t="str">
        <f t="shared" si="325"/>
        <v/>
      </c>
      <c r="L4075" s="25" t="str">
        <f t="shared" si="321"/>
        <v/>
      </c>
      <c r="O4075" s="33" t="str">
        <f t="shared" si="322"/>
        <v/>
      </c>
      <c r="P4075" s="33" t="str">
        <f t="shared" si="323"/>
        <v/>
      </c>
    </row>
    <row r="4076" spans="9:16">
      <c r="I4076" s="23" t="str">
        <f>_xlfn.IFNA(VLOOKUP(A4076,A$3524:$H4077,8,0),"")</f>
        <v/>
      </c>
      <c r="J4076" s="40" t="str">
        <f t="shared" si="324"/>
        <v/>
      </c>
      <c r="K4076" s="24" t="str">
        <f t="shared" si="325"/>
        <v/>
      </c>
      <c r="L4076" s="25" t="str">
        <f t="shared" si="321"/>
        <v/>
      </c>
      <c r="O4076" s="33" t="str">
        <f t="shared" si="322"/>
        <v/>
      </c>
      <c r="P4076" s="33" t="str">
        <f t="shared" si="323"/>
        <v/>
      </c>
    </row>
    <row r="4077" spans="9:16">
      <c r="I4077" s="23" t="str">
        <f>_xlfn.IFNA(VLOOKUP(A4077,A$3524:$H4078,8,0),"")</f>
        <v/>
      </c>
      <c r="J4077" s="40" t="str">
        <f t="shared" si="324"/>
        <v/>
      </c>
      <c r="K4077" s="24" t="str">
        <f t="shared" si="325"/>
        <v/>
      </c>
      <c r="L4077" s="25" t="str">
        <f t="shared" si="321"/>
        <v/>
      </c>
      <c r="O4077" s="33" t="str">
        <f t="shared" si="322"/>
        <v/>
      </c>
      <c r="P4077" s="33" t="str">
        <f t="shared" si="323"/>
        <v/>
      </c>
    </row>
    <row r="4078" spans="9:16">
      <c r="I4078" s="23" t="str">
        <f>_xlfn.IFNA(VLOOKUP(A4078,A$3524:$H4079,8,0),"")</f>
        <v/>
      </c>
      <c r="J4078" s="40" t="str">
        <f t="shared" si="324"/>
        <v/>
      </c>
      <c r="K4078" s="24" t="str">
        <f t="shared" si="325"/>
        <v/>
      </c>
      <c r="L4078" s="25" t="str">
        <f t="shared" si="321"/>
        <v/>
      </c>
      <c r="O4078" s="33" t="str">
        <f t="shared" si="322"/>
        <v/>
      </c>
      <c r="P4078" s="33" t="str">
        <f t="shared" si="323"/>
        <v/>
      </c>
    </row>
    <row r="4079" spans="9:16">
      <c r="I4079" s="23" t="str">
        <f>_xlfn.IFNA(VLOOKUP(A4079,A$3524:$H4080,8,0),"")</f>
        <v/>
      </c>
      <c r="J4079" s="40" t="str">
        <f t="shared" si="324"/>
        <v/>
      </c>
      <c r="K4079" s="24" t="str">
        <f t="shared" si="325"/>
        <v/>
      </c>
      <c r="L4079" s="25" t="str">
        <f t="shared" si="321"/>
        <v/>
      </c>
      <c r="O4079" s="33" t="str">
        <f t="shared" si="322"/>
        <v/>
      </c>
      <c r="P4079" s="33" t="str">
        <f t="shared" si="323"/>
        <v/>
      </c>
    </row>
    <row r="4080" spans="9:16">
      <c r="I4080" s="23" t="str">
        <f>_xlfn.IFNA(VLOOKUP(A4080,A$3524:$H4081,8,0),"")</f>
        <v/>
      </c>
      <c r="J4080" s="40" t="str">
        <f t="shared" si="324"/>
        <v/>
      </c>
      <c r="K4080" s="24" t="str">
        <f t="shared" si="325"/>
        <v/>
      </c>
      <c r="L4080" s="25" t="str">
        <f t="shared" si="321"/>
        <v/>
      </c>
      <c r="O4080" s="33" t="str">
        <f t="shared" si="322"/>
        <v/>
      </c>
      <c r="P4080" s="33" t="str">
        <f t="shared" si="323"/>
        <v/>
      </c>
    </row>
    <row r="4081" spans="9:16">
      <c r="I4081" s="23" t="str">
        <f>_xlfn.IFNA(VLOOKUP(A4081,A$3524:$H4082,8,0),"")</f>
        <v/>
      </c>
      <c r="J4081" s="40" t="str">
        <f t="shared" si="324"/>
        <v/>
      </c>
      <c r="K4081" s="24" t="str">
        <f t="shared" si="325"/>
        <v/>
      </c>
      <c r="L4081" s="25" t="str">
        <f t="shared" si="321"/>
        <v/>
      </c>
      <c r="O4081" s="33" t="str">
        <f t="shared" si="322"/>
        <v/>
      </c>
      <c r="P4081" s="33" t="str">
        <f t="shared" si="323"/>
        <v/>
      </c>
    </row>
    <row r="4082" spans="9:16">
      <c r="I4082" s="23" t="str">
        <f>_xlfn.IFNA(VLOOKUP(A4082,A$3524:$H4083,8,0),"")</f>
        <v/>
      </c>
      <c r="J4082" s="40" t="str">
        <f t="shared" si="324"/>
        <v/>
      </c>
      <c r="K4082" s="24" t="str">
        <f t="shared" si="325"/>
        <v/>
      </c>
      <c r="L4082" s="25" t="str">
        <f t="shared" si="321"/>
        <v/>
      </c>
      <c r="O4082" s="33" t="str">
        <f t="shared" si="322"/>
        <v/>
      </c>
      <c r="P4082" s="33" t="str">
        <f t="shared" si="323"/>
        <v/>
      </c>
    </row>
    <row r="4083" spans="9:16">
      <c r="I4083" s="23" t="str">
        <f>_xlfn.IFNA(VLOOKUP(A4083,A$3524:$H4084,8,0),"")</f>
        <v/>
      </c>
      <c r="J4083" s="40" t="str">
        <f t="shared" si="324"/>
        <v/>
      </c>
      <c r="K4083" s="24" t="str">
        <f t="shared" si="325"/>
        <v/>
      </c>
      <c r="L4083" s="25" t="str">
        <f t="shared" si="321"/>
        <v/>
      </c>
      <c r="O4083" s="33" t="str">
        <f t="shared" si="322"/>
        <v/>
      </c>
      <c r="P4083" s="33" t="str">
        <f t="shared" si="323"/>
        <v/>
      </c>
    </row>
    <row r="4084" spans="9:16">
      <c r="I4084" s="23" t="str">
        <f>_xlfn.IFNA(VLOOKUP(A4084,A$3524:$H4085,8,0),"")</f>
        <v/>
      </c>
      <c r="J4084" s="40" t="str">
        <f t="shared" si="324"/>
        <v/>
      </c>
      <c r="K4084" s="24" t="str">
        <f t="shared" si="325"/>
        <v/>
      </c>
      <c r="L4084" s="25" t="str">
        <f t="shared" si="321"/>
        <v/>
      </c>
      <c r="O4084" s="33" t="str">
        <f t="shared" si="322"/>
        <v/>
      </c>
      <c r="P4084" s="33" t="str">
        <f t="shared" si="323"/>
        <v/>
      </c>
    </row>
    <row r="4085" spans="9:16">
      <c r="I4085" s="23" t="str">
        <f>_xlfn.IFNA(VLOOKUP(A4085,A$3524:$H4086,8,0),"")</f>
        <v/>
      </c>
      <c r="J4085" s="40" t="str">
        <f t="shared" si="324"/>
        <v/>
      </c>
      <c r="K4085" s="24" t="str">
        <f t="shared" si="325"/>
        <v/>
      </c>
      <c r="L4085" s="25" t="str">
        <f t="shared" si="321"/>
        <v/>
      </c>
      <c r="O4085" s="33" t="str">
        <f t="shared" si="322"/>
        <v/>
      </c>
      <c r="P4085" s="33" t="str">
        <f t="shared" si="323"/>
        <v/>
      </c>
    </row>
    <row r="4086" spans="9:16">
      <c r="I4086" s="23" t="str">
        <f>_xlfn.IFNA(VLOOKUP(A4086,A$3524:$H4087,8,0),"")</f>
        <v/>
      </c>
      <c r="J4086" s="40" t="str">
        <f t="shared" si="324"/>
        <v/>
      </c>
      <c r="K4086" s="24" t="str">
        <f t="shared" si="325"/>
        <v/>
      </c>
      <c r="L4086" s="25" t="str">
        <f t="shared" si="321"/>
        <v/>
      </c>
      <c r="O4086" s="33" t="str">
        <f t="shared" si="322"/>
        <v/>
      </c>
      <c r="P4086" s="33" t="str">
        <f t="shared" si="323"/>
        <v/>
      </c>
    </row>
    <row r="4087" spans="9:16">
      <c r="I4087" s="23" t="str">
        <f>_xlfn.IFNA(VLOOKUP(A4087,A$3524:$H4088,8,0),"")</f>
        <v/>
      </c>
      <c r="J4087" s="40" t="str">
        <f t="shared" si="324"/>
        <v/>
      </c>
      <c r="K4087" s="24" t="str">
        <f t="shared" si="325"/>
        <v/>
      </c>
      <c r="L4087" s="25" t="str">
        <f t="shared" ref="L4087:L4150" si="326">IF(K4087="","",IF(B4087="Break","Break",IF(K4087&lt;&gt;0,"Work Finished",IF(B4087="OFF","Work Finished",IF(I4087="","Working","Work Finished")))))</f>
        <v/>
      </c>
      <c r="O4087" s="33" t="str">
        <f t="shared" ref="O4087:O4150" si="327">IF(AND(J4087="",M4087="",N4087=""),"",J4087-M4087-N4087)</f>
        <v/>
      </c>
      <c r="P4087" s="33" t="str">
        <f t="shared" ref="P4087:P4150" si="328">IF(HOUR(H4087)=0,"",HOUR(H4087))</f>
        <v/>
      </c>
    </row>
    <row r="4088" spans="9:16">
      <c r="I4088" s="23" t="str">
        <f>_xlfn.IFNA(VLOOKUP(A4088,A$3524:$H4089,8,0),"")</f>
        <v/>
      </c>
      <c r="J4088" s="40" t="str">
        <f t="shared" si="324"/>
        <v/>
      </c>
      <c r="K4088" s="24" t="str">
        <f t="shared" si="325"/>
        <v/>
      </c>
      <c r="L4088" s="25" t="str">
        <f t="shared" si="326"/>
        <v/>
      </c>
      <c r="O4088" s="33" t="str">
        <f t="shared" si="327"/>
        <v/>
      </c>
      <c r="P4088" s="33" t="str">
        <f t="shared" si="328"/>
        <v/>
      </c>
    </row>
    <row r="4089" spans="9:16">
      <c r="I4089" s="23" t="str">
        <f>_xlfn.IFNA(VLOOKUP(A4089,A$3524:$H4090,8,0),"")</f>
        <v/>
      </c>
      <c r="J4089" s="40" t="str">
        <f t="shared" si="324"/>
        <v/>
      </c>
      <c r="K4089" s="24" t="str">
        <f t="shared" si="325"/>
        <v/>
      </c>
      <c r="L4089" s="25" t="str">
        <f t="shared" si="326"/>
        <v/>
      </c>
      <c r="O4089" s="33" t="str">
        <f t="shared" si="327"/>
        <v/>
      </c>
      <c r="P4089" s="33" t="str">
        <f t="shared" si="328"/>
        <v/>
      </c>
    </row>
    <row r="4090" spans="9:16">
      <c r="I4090" s="23" t="str">
        <f>_xlfn.IFNA(VLOOKUP(A4090,A$3524:$H4091,8,0),"")</f>
        <v/>
      </c>
      <c r="J4090" s="40" t="str">
        <f t="shared" si="324"/>
        <v/>
      </c>
      <c r="K4090" s="24" t="str">
        <f t="shared" si="325"/>
        <v/>
      </c>
      <c r="L4090" s="25" t="str">
        <f t="shared" si="326"/>
        <v/>
      </c>
      <c r="O4090" s="33" t="str">
        <f t="shared" si="327"/>
        <v/>
      </c>
      <c r="P4090" s="33" t="str">
        <f t="shared" si="328"/>
        <v/>
      </c>
    </row>
    <row r="4091" spans="9:16">
      <c r="I4091" s="23" t="str">
        <f>_xlfn.IFNA(VLOOKUP(A4091,A$3524:$H4092,8,0),"")</f>
        <v/>
      </c>
      <c r="J4091" s="40" t="str">
        <f t="shared" si="324"/>
        <v/>
      </c>
      <c r="K4091" s="24" t="str">
        <f t="shared" si="325"/>
        <v/>
      </c>
      <c r="L4091" s="25" t="str">
        <f t="shared" si="326"/>
        <v/>
      </c>
      <c r="O4091" s="33" t="str">
        <f t="shared" si="327"/>
        <v/>
      </c>
      <c r="P4091" s="33" t="str">
        <f t="shared" si="328"/>
        <v/>
      </c>
    </row>
    <row r="4092" spans="9:16">
      <c r="I4092" s="23" t="str">
        <f>_xlfn.IFNA(VLOOKUP(A4092,A$3524:$H4093,8,0),"")</f>
        <v/>
      </c>
      <c r="J4092" s="40" t="str">
        <f t="shared" si="324"/>
        <v/>
      </c>
      <c r="K4092" s="24" t="str">
        <f t="shared" si="325"/>
        <v/>
      </c>
      <c r="L4092" s="25" t="str">
        <f t="shared" si="326"/>
        <v/>
      </c>
      <c r="O4092" s="33" t="str">
        <f t="shared" si="327"/>
        <v/>
      </c>
      <c r="P4092" s="33" t="str">
        <f t="shared" si="328"/>
        <v/>
      </c>
    </row>
    <row r="4093" spans="9:16">
      <c r="I4093" s="23" t="str">
        <f>_xlfn.IFNA(VLOOKUP(A4093,A$3524:$H4094,8,0),"")</f>
        <v/>
      </c>
      <c r="J4093" s="40" t="str">
        <f t="shared" si="324"/>
        <v/>
      </c>
      <c r="K4093" s="24" t="str">
        <f t="shared" si="325"/>
        <v/>
      </c>
      <c r="L4093" s="25" t="str">
        <f t="shared" si="326"/>
        <v/>
      </c>
      <c r="O4093" s="33" t="str">
        <f t="shared" si="327"/>
        <v/>
      </c>
      <c r="P4093" s="33" t="str">
        <f t="shared" si="328"/>
        <v/>
      </c>
    </row>
    <row r="4094" spans="9:16">
      <c r="I4094" s="23" t="str">
        <f>_xlfn.IFNA(VLOOKUP(A4094,A$3524:$H4095,8,0),"")</f>
        <v/>
      </c>
      <c r="J4094" s="40" t="str">
        <f t="shared" si="324"/>
        <v/>
      </c>
      <c r="K4094" s="24" t="str">
        <f t="shared" si="325"/>
        <v/>
      </c>
      <c r="L4094" s="25" t="str">
        <f t="shared" si="326"/>
        <v/>
      </c>
      <c r="O4094" s="33" t="str">
        <f t="shared" si="327"/>
        <v/>
      </c>
      <c r="P4094" s="33" t="str">
        <f t="shared" si="328"/>
        <v/>
      </c>
    </row>
    <row r="4095" spans="9:16">
      <c r="I4095" s="23" t="str">
        <f>_xlfn.IFNA(VLOOKUP(A4095,A$3524:$H4096,8,0),"")</f>
        <v/>
      </c>
      <c r="J4095" s="40" t="str">
        <f t="shared" si="324"/>
        <v/>
      </c>
      <c r="K4095" s="24" t="str">
        <f t="shared" si="325"/>
        <v/>
      </c>
      <c r="L4095" s="25" t="str">
        <f t="shared" si="326"/>
        <v/>
      </c>
      <c r="O4095" s="33" t="str">
        <f t="shared" si="327"/>
        <v/>
      </c>
      <c r="P4095" s="33" t="str">
        <f t="shared" si="328"/>
        <v/>
      </c>
    </row>
    <row r="4096" spans="9:16">
      <c r="I4096" s="23" t="str">
        <f>_xlfn.IFNA(VLOOKUP(A4096,A$3524:$H4097,8,0),"")</f>
        <v/>
      </c>
      <c r="J4096" s="40" t="str">
        <f t="shared" si="324"/>
        <v/>
      </c>
      <c r="K4096" s="24" t="str">
        <f t="shared" si="325"/>
        <v/>
      </c>
      <c r="L4096" s="25" t="str">
        <f t="shared" si="326"/>
        <v/>
      </c>
      <c r="O4096" s="33" t="str">
        <f t="shared" si="327"/>
        <v/>
      </c>
      <c r="P4096" s="33" t="str">
        <f t="shared" si="328"/>
        <v/>
      </c>
    </row>
    <row r="4097" spans="9:16">
      <c r="I4097" s="23" t="str">
        <f>_xlfn.IFNA(VLOOKUP(A4097,A$3524:$H4098,8,0),"")</f>
        <v/>
      </c>
      <c r="J4097" s="40" t="str">
        <f t="shared" si="324"/>
        <v/>
      </c>
      <c r="K4097" s="24" t="str">
        <f t="shared" si="325"/>
        <v/>
      </c>
      <c r="L4097" s="25" t="str">
        <f t="shared" si="326"/>
        <v/>
      </c>
      <c r="O4097" s="33" t="str">
        <f t="shared" si="327"/>
        <v/>
      </c>
      <c r="P4097" s="33" t="str">
        <f t="shared" si="328"/>
        <v/>
      </c>
    </row>
    <row r="4098" spans="9:16">
      <c r="I4098" s="23" t="str">
        <f>_xlfn.IFNA(VLOOKUP(A4098,A$3524:$H4099,8,0),"")</f>
        <v/>
      </c>
      <c r="J4098" s="40" t="str">
        <f t="shared" si="324"/>
        <v/>
      </c>
      <c r="K4098" s="24" t="str">
        <f t="shared" si="325"/>
        <v/>
      </c>
      <c r="L4098" s="25" t="str">
        <f t="shared" si="326"/>
        <v/>
      </c>
      <c r="O4098" s="33" t="str">
        <f t="shared" si="327"/>
        <v/>
      </c>
      <c r="P4098" s="33" t="str">
        <f t="shared" si="328"/>
        <v/>
      </c>
    </row>
    <row r="4099" spans="9:16">
      <c r="I4099" s="23" t="str">
        <f>_xlfn.IFNA(VLOOKUP(A4099,A$3524:$H4100,8,0),"")</f>
        <v/>
      </c>
      <c r="J4099" s="40" t="str">
        <f t="shared" si="324"/>
        <v/>
      </c>
      <c r="K4099" s="24" t="str">
        <f t="shared" si="325"/>
        <v/>
      </c>
      <c r="L4099" s="25" t="str">
        <f t="shared" si="326"/>
        <v/>
      </c>
      <c r="O4099" s="33" t="str">
        <f t="shared" si="327"/>
        <v/>
      </c>
      <c r="P4099" s="33" t="str">
        <f t="shared" si="328"/>
        <v/>
      </c>
    </row>
    <row r="4100" spans="9:16">
      <c r="I4100" s="23" t="str">
        <f>_xlfn.IFNA(VLOOKUP(A4100,A$3524:$H4101,8,0),"")</f>
        <v/>
      </c>
      <c r="J4100" s="40" t="str">
        <f t="shared" si="324"/>
        <v/>
      </c>
      <c r="K4100" s="24" t="str">
        <f t="shared" si="325"/>
        <v/>
      </c>
      <c r="L4100" s="25" t="str">
        <f t="shared" si="326"/>
        <v/>
      </c>
      <c r="O4100" s="33" t="str">
        <f t="shared" si="327"/>
        <v/>
      </c>
      <c r="P4100" s="33" t="str">
        <f t="shared" si="328"/>
        <v/>
      </c>
    </row>
    <row r="4101" spans="9:16">
      <c r="I4101" s="23" t="str">
        <f>_xlfn.IFNA(VLOOKUP(A4101,A$3524:$H4102,8,0),"")</f>
        <v/>
      </c>
      <c r="J4101" s="40" t="str">
        <f t="shared" si="324"/>
        <v/>
      </c>
      <c r="K4101" s="24" t="str">
        <f t="shared" si="325"/>
        <v/>
      </c>
      <c r="L4101" s="25" t="str">
        <f t="shared" si="326"/>
        <v/>
      </c>
      <c r="O4101" s="33" t="str">
        <f t="shared" si="327"/>
        <v/>
      </c>
      <c r="P4101" s="33" t="str">
        <f t="shared" si="328"/>
        <v/>
      </c>
    </row>
    <row r="4102" spans="9:16">
      <c r="I4102" s="23" t="str">
        <f>_xlfn.IFNA(VLOOKUP(A4102,A$3524:$H4103,8,0),"")</f>
        <v/>
      </c>
      <c r="J4102" s="40" t="str">
        <f t="shared" ref="J4102:J4165" si="329">IF(B4102="OFF",0,IF(AND(D4102&lt;&gt;"",E4102&lt;&gt;""),E4102-D4102+1,""))</f>
        <v/>
      </c>
      <c r="K4102" s="24" t="str">
        <f t="shared" si="325"/>
        <v/>
      </c>
      <c r="L4102" s="25" t="str">
        <f t="shared" si="326"/>
        <v/>
      </c>
      <c r="O4102" s="33" t="str">
        <f t="shared" si="327"/>
        <v/>
      </c>
      <c r="P4102" s="33" t="str">
        <f t="shared" si="328"/>
        <v/>
      </c>
    </row>
    <row r="4103" spans="9:16">
      <c r="I4103" s="23" t="str">
        <f>_xlfn.IFNA(VLOOKUP(A4103,A$3524:$H4104,8,0),"")</f>
        <v/>
      </c>
      <c r="J4103" s="40" t="str">
        <f t="shared" si="329"/>
        <v/>
      </c>
      <c r="K4103" s="24" t="str">
        <f t="shared" si="325"/>
        <v/>
      </c>
      <c r="L4103" s="25" t="str">
        <f t="shared" si="326"/>
        <v/>
      </c>
      <c r="O4103" s="33" t="str">
        <f t="shared" si="327"/>
        <v/>
      </c>
      <c r="P4103" s="33" t="str">
        <f t="shared" si="328"/>
        <v/>
      </c>
    </row>
    <row r="4104" spans="9:16">
      <c r="I4104" s="23" t="str">
        <f>_xlfn.IFNA(VLOOKUP(A4104,A$3524:$H4105,8,0),"")</f>
        <v/>
      </c>
      <c r="J4104" s="40" t="str">
        <f t="shared" si="329"/>
        <v/>
      </c>
      <c r="K4104" s="24" t="str">
        <f t="shared" si="325"/>
        <v/>
      </c>
      <c r="L4104" s="25" t="str">
        <f t="shared" si="326"/>
        <v/>
      </c>
      <c r="O4104" s="33" t="str">
        <f t="shared" si="327"/>
        <v/>
      </c>
      <c r="P4104" s="33" t="str">
        <f t="shared" si="328"/>
        <v/>
      </c>
    </row>
    <row r="4105" spans="9:16">
      <c r="I4105" s="23" t="str">
        <f>_xlfn.IFNA(VLOOKUP(A4105,A$3524:$H4106,8,0),"")</f>
        <v/>
      </c>
      <c r="J4105" s="40" t="str">
        <f t="shared" si="329"/>
        <v/>
      </c>
      <c r="K4105" s="24" t="str">
        <f t="shared" si="325"/>
        <v/>
      </c>
      <c r="L4105" s="25" t="str">
        <f t="shared" si="326"/>
        <v/>
      </c>
      <c r="O4105" s="33" t="str">
        <f t="shared" si="327"/>
        <v/>
      </c>
      <c r="P4105" s="33" t="str">
        <f t="shared" si="328"/>
        <v/>
      </c>
    </row>
    <row r="4106" spans="9:16">
      <c r="I4106" s="23" t="str">
        <f>_xlfn.IFNA(VLOOKUP(A4106,A$3524:$H4107,8,0),"")</f>
        <v/>
      </c>
      <c r="J4106" s="40" t="str">
        <f t="shared" si="329"/>
        <v/>
      </c>
      <c r="K4106" s="24" t="str">
        <f t="shared" si="325"/>
        <v/>
      </c>
      <c r="L4106" s="25" t="str">
        <f t="shared" si="326"/>
        <v/>
      </c>
      <c r="O4106" s="33" t="str">
        <f t="shared" si="327"/>
        <v/>
      </c>
      <c r="P4106" s="33" t="str">
        <f t="shared" si="328"/>
        <v/>
      </c>
    </row>
    <row r="4107" spans="9:16">
      <c r="I4107" s="23" t="str">
        <f>_xlfn.IFNA(VLOOKUP(A4107,A$3524:$H4108,8,0),"")</f>
        <v/>
      </c>
      <c r="J4107" s="40" t="str">
        <f t="shared" si="329"/>
        <v/>
      </c>
      <c r="K4107" s="24" t="str">
        <f t="shared" si="325"/>
        <v/>
      </c>
      <c r="L4107" s="25" t="str">
        <f t="shared" si="326"/>
        <v/>
      </c>
      <c r="O4107" s="33" t="str">
        <f t="shared" si="327"/>
        <v/>
      </c>
      <c r="P4107" s="33" t="str">
        <f t="shared" si="328"/>
        <v/>
      </c>
    </row>
    <row r="4108" spans="9:16">
      <c r="I4108" s="23" t="str">
        <f>_xlfn.IFNA(VLOOKUP(A4108,A$3524:$H4109,8,0),"")</f>
        <v/>
      </c>
      <c r="J4108" s="40" t="str">
        <f t="shared" si="329"/>
        <v/>
      </c>
      <c r="K4108" s="24" t="str">
        <f t="shared" si="325"/>
        <v/>
      </c>
      <c r="L4108" s="25" t="str">
        <f t="shared" si="326"/>
        <v/>
      </c>
      <c r="O4108" s="33" t="str">
        <f t="shared" si="327"/>
        <v/>
      </c>
      <c r="P4108" s="33" t="str">
        <f t="shared" si="328"/>
        <v/>
      </c>
    </row>
    <row r="4109" spans="9:16">
      <c r="I4109" s="23" t="str">
        <f>_xlfn.IFNA(VLOOKUP(A4109,A$3524:$H4110,8,0),"")</f>
        <v/>
      </c>
      <c r="J4109" s="40" t="str">
        <f t="shared" si="329"/>
        <v/>
      </c>
      <c r="K4109" s="24" t="str">
        <f t="shared" si="325"/>
        <v/>
      </c>
      <c r="L4109" s="25" t="str">
        <f t="shared" si="326"/>
        <v/>
      </c>
      <c r="O4109" s="33" t="str">
        <f t="shared" si="327"/>
        <v/>
      </c>
      <c r="P4109" s="33" t="str">
        <f t="shared" si="328"/>
        <v/>
      </c>
    </row>
    <row r="4110" spans="9:16">
      <c r="I4110" s="23" t="str">
        <f>_xlfn.IFNA(VLOOKUP(A4110,A$3524:$H4111,8,0),"")</f>
        <v/>
      </c>
      <c r="J4110" s="40" t="str">
        <f t="shared" si="329"/>
        <v/>
      </c>
      <c r="K4110" s="24" t="str">
        <f t="shared" si="325"/>
        <v/>
      </c>
      <c r="L4110" s="25" t="str">
        <f t="shared" si="326"/>
        <v/>
      </c>
      <c r="O4110" s="33" t="str">
        <f t="shared" si="327"/>
        <v/>
      </c>
      <c r="P4110" s="33" t="str">
        <f t="shared" si="328"/>
        <v/>
      </c>
    </row>
    <row r="4111" spans="9:16">
      <c r="I4111" s="23" t="str">
        <f>_xlfn.IFNA(VLOOKUP(A4111,A$3524:$H4112,8,0),"")</f>
        <v/>
      </c>
      <c r="J4111" s="40" t="str">
        <f t="shared" si="329"/>
        <v/>
      </c>
      <c r="K4111" s="24" t="str">
        <f t="shared" si="325"/>
        <v/>
      </c>
      <c r="L4111" s="25" t="str">
        <f t="shared" si="326"/>
        <v/>
      </c>
      <c r="O4111" s="33" t="str">
        <f t="shared" si="327"/>
        <v/>
      </c>
      <c r="P4111" s="33" t="str">
        <f t="shared" si="328"/>
        <v/>
      </c>
    </row>
    <row r="4112" spans="9:16">
      <c r="I4112" s="23" t="str">
        <f>_xlfn.IFNA(VLOOKUP(A4112,A$3524:$H4113,8,0),"")</f>
        <v/>
      </c>
      <c r="J4112" s="40" t="str">
        <f t="shared" si="329"/>
        <v/>
      </c>
      <c r="K4112" s="24" t="str">
        <f t="shared" si="325"/>
        <v/>
      </c>
      <c r="L4112" s="25" t="str">
        <f t="shared" si="326"/>
        <v/>
      </c>
      <c r="O4112" s="33" t="str">
        <f t="shared" si="327"/>
        <v/>
      </c>
      <c r="P4112" s="33" t="str">
        <f t="shared" si="328"/>
        <v/>
      </c>
    </row>
    <row r="4113" spans="9:16">
      <c r="I4113" s="23" t="str">
        <f>_xlfn.IFNA(VLOOKUP(A4113,A$3524:$H4114,8,0),"")</f>
        <v/>
      </c>
      <c r="J4113" s="40" t="str">
        <f t="shared" si="329"/>
        <v/>
      </c>
      <c r="K4113" s="24" t="str">
        <f t="shared" si="325"/>
        <v/>
      </c>
      <c r="L4113" s="25" t="str">
        <f t="shared" si="326"/>
        <v/>
      </c>
      <c r="O4113" s="33" t="str">
        <f t="shared" si="327"/>
        <v/>
      </c>
      <c r="P4113" s="33" t="str">
        <f t="shared" si="328"/>
        <v/>
      </c>
    </row>
    <row r="4114" spans="9:16">
      <c r="I4114" s="23" t="str">
        <f>_xlfn.IFNA(VLOOKUP(A4114,A$3524:$H4115,8,0),"")</f>
        <v/>
      </c>
      <c r="J4114" s="40" t="str">
        <f t="shared" si="329"/>
        <v/>
      </c>
      <c r="K4114" s="24" t="str">
        <f t="shared" si="325"/>
        <v/>
      </c>
      <c r="L4114" s="25" t="str">
        <f t="shared" si="326"/>
        <v/>
      </c>
      <c r="O4114" s="33" t="str">
        <f t="shared" si="327"/>
        <v/>
      </c>
      <c r="P4114" s="33" t="str">
        <f t="shared" si="328"/>
        <v/>
      </c>
    </row>
    <row r="4115" spans="9:16">
      <c r="I4115" s="23" t="str">
        <f>_xlfn.IFNA(VLOOKUP(A4115,A$3524:$H4116,8,0),"")</f>
        <v/>
      </c>
      <c r="J4115" s="40" t="str">
        <f t="shared" si="329"/>
        <v/>
      </c>
      <c r="K4115" s="24" t="str">
        <f t="shared" si="325"/>
        <v/>
      </c>
      <c r="L4115" s="25" t="str">
        <f t="shared" si="326"/>
        <v/>
      </c>
      <c r="O4115" s="33" t="str">
        <f t="shared" si="327"/>
        <v/>
      </c>
      <c r="P4115" s="33" t="str">
        <f t="shared" si="328"/>
        <v/>
      </c>
    </row>
    <row r="4116" spans="9:16">
      <c r="I4116" s="23" t="str">
        <f>_xlfn.IFNA(VLOOKUP(A4116,A$3524:$H4117,8,0),"")</f>
        <v/>
      </c>
      <c r="J4116" s="40" t="str">
        <f t="shared" si="329"/>
        <v/>
      </c>
      <c r="K4116" s="24" t="str">
        <f t="shared" si="325"/>
        <v/>
      </c>
      <c r="L4116" s="25" t="str">
        <f t="shared" si="326"/>
        <v/>
      </c>
      <c r="O4116" s="33" t="str">
        <f t="shared" si="327"/>
        <v/>
      </c>
      <c r="P4116" s="33" t="str">
        <f t="shared" si="328"/>
        <v/>
      </c>
    </row>
    <row r="4117" spans="9:16">
      <c r="I4117" s="23" t="str">
        <f>_xlfn.IFNA(VLOOKUP(A4117,A$3524:$H4118,8,0),"")</f>
        <v/>
      </c>
      <c r="J4117" s="40" t="str">
        <f t="shared" si="329"/>
        <v/>
      </c>
      <c r="K4117" s="24" t="str">
        <f t="shared" si="325"/>
        <v/>
      </c>
      <c r="L4117" s="25" t="str">
        <f t="shared" si="326"/>
        <v/>
      </c>
      <c r="O4117" s="33" t="str">
        <f t="shared" si="327"/>
        <v/>
      </c>
      <c r="P4117" s="33" t="str">
        <f t="shared" si="328"/>
        <v/>
      </c>
    </row>
    <row r="4118" spans="9:16">
      <c r="I4118" s="23" t="str">
        <f>_xlfn.IFNA(VLOOKUP(A4118,A$3524:$H4119,8,0),"")</f>
        <v/>
      </c>
      <c r="J4118" s="40" t="str">
        <f t="shared" si="329"/>
        <v/>
      </c>
      <c r="K4118" s="24" t="str">
        <f t="shared" ref="K4118:K4181" si="330">IF(H4118="","",IFERROR((I4118-H4118)*24,0))</f>
        <v/>
      </c>
      <c r="L4118" s="25" t="str">
        <f t="shared" si="326"/>
        <v/>
      </c>
      <c r="O4118" s="33" t="str">
        <f t="shared" si="327"/>
        <v/>
      </c>
      <c r="P4118" s="33" t="str">
        <f t="shared" si="328"/>
        <v/>
      </c>
    </row>
    <row r="4119" spans="9:16">
      <c r="I4119" s="23" t="str">
        <f>_xlfn.IFNA(VLOOKUP(A4119,A$3524:$H4120,8,0),"")</f>
        <v/>
      </c>
      <c r="J4119" s="40" t="str">
        <f t="shared" si="329"/>
        <v/>
      </c>
      <c r="K4119" s="24" t="str">
        <f t="shared" si="330"/>
        <v/>
      </c>
      <c r="L4119" s="25" t="str">
        <f t="shared" si="326"/>
        <v/>
      </c>
      <c r="O4119" s="33" t="str">
        <f t="shared" si="327"/>
        <v/>
      </c>
      <c r="P4119" s="33" t="str">
        <f t="shared" si="328"/>
        <v/>
      </c>
    </row>
    <row r="4120" spans="9:16">
      <c r="I4120" s="23" t="str">
        <f>_xlfn.IFNA(VLOOKUP(A4120,A$3524:$H4121,8,0),"")</f>
        <v/>
      </c>
      <c r="J4120" s="40" t="str">
        <f t="shared" si="329"/>
        <v/>
      </c>
      <c r="K4120" s="24" t="str">
        <f t="shared" si="330"/>
        <v/>
      </c>
      <c r="L4120" s="25" t="str">
        <f t="shared" si="326"/>
        <v/>
      </c>
      <c r="O4120" s="33" t="str">
        <f t="shared" si="327"/>
        <v/>
      </c>
      <c r="P4120" s="33" t="str">
        <f t="shared" si="328"/>
        <v/>
      </c>
    </row>
    <row r="4121" spans="9:16">
      <c r="I4121" s="23" t="str">
        <f>_xlfn.IFNA(VLOOKUP(A4121,A$3524:$H4122,8,0),"")</f>
        <v/>
      </c>
      <c r="J4121" s="40" t="str">
        <f t="shared" si="329"/>
        <v/>
      </c>
      <c r="K4121" s="24" t="str">
        <f t="shared" si="330"/>
        <v/>
      </c>
      <c r="L4121" s="25" t="str">
        <f t="shared" si="326"/>
        <v/>
      </c>
      <c r="O4121" s="33" t="str">
        <f t="shared" si="327"/>
        <v/>
      </c>
      <c r="P4121" s="33" t="str">
        <f t="shared" si="328"/>
        <v/>
      </c>
    </row>
    <row r="4122" spans="9:16">
      <c r="I4122" s="23" t="str">
        <f>_xlfn.IFNA(VLOOKUP(A4122,A$3524:$H4123,8,0),"")</f>
        <v/>
      </c>
      <c r="J4122" s="40" t="str">
        <f t="shared" si="329"/>
        <v/>
      </c>
      <c r="K4122" s="24" t="str">
        <f t="shared" si="330"/>
        <v/>
      </c>
      <c r="L4122" s="25" t="str">
        <f t="shared" si="326"/>
        <v/>
      </c>
      <c r="O4122" s="33" t="str">
        <f t="shared" si="327"/>
        <v/>
      </c>
      <c r="P4122" s="33" t="str">
        <f t="shared" si="328"/>
        <v/>
      </c>
    </row>
    <row r="4123" spans="9:16">
      <c r="I4123" s="23" t="str">
        <f>_xlfn.IFNA(VLOOKUP(A4123,A$3524:$H4124,8,0),"")</f>
        <v/>
      </c>
      <c r="J4123" s="40" t="str">
        <f t="shared" si="329"/>
        <v/>
      </c>
      <c r="K4123" s="24" t="str">
        <f t="shared" si="330"/>
        <v/>
      </c>
      <c r="L4123" s="25" t="str">
        <f t="shared" si="326"/>
        <v/>
      </c>
      <c r="O4123" s="33" t="str">
        <f t="shared" si="327"/>
        <v/>
      </c>
      <c r="P4123" s="33" t="str">
        <f t="shared" si="328"/>
        <v/>
      </c>
    </row>
    <row r="4124" spans="9:16">
      <c r="I4124" s="23" t="str">
        <f>_xlfn.IFNA(VLOOKUP(A4124,A$3524:$H4125,8,0),"")</f>
        <v/>
      </c>
      <c r="J4124" s="40" t="str">
        <f t="shared" si="329"/>
        <v/>
      </c>
      <c r="K4124" s="24" t="str">
        <f t="shared" si="330"/>
        <v/>
      </c>
      <c r="L4124" s="25" t="str">
        <f t="shared" si="326"/>
        <v/>
      </c>
      <c r="O4124" s="33" t="str">
        <f t="shared" si="327"/>
        <v/>
      </c>
      <c r="P4124" s="33" t="str">
        <f t="shared" si="328"/>
        <v/>
      </c>
    </row>
    <row r="4125" spans="9:16">
      <c r="I4125" s="23" t="str">
        <f>_xlfn.IFNA(VLOOKUP(A4125,A$3524:$H4126,8,0),"")</f>
        <v/>
      </c>
      <c r="J4125" s="40" t="str">
        <f t="shared" si="329"/>
        <v/>
      </c>
      <c r="K4125" s="24" t="str">
        <f t="shared" si="330"/>
        <v/>
      </c>
      <c r="L4125" s="25" t="str">
        <f t="shared" si="326"/>
        <v/>
      </c>
      <c r="O4125" s="33" t="str">
        <f t="shared" si="327"/>
        <v/>
      </c>
      <c r="P4125" s="33" t="str">
        <f t="shared" si="328"/>
        <v/>
      </c>
    </row>
    <row r="4126" spans="9:16">
      <c r="I4126" s="23" t="str">
        <f>_xlfn.IFNA(VLOOKUP(A4126,A$3524:$H4127,8,0),"")</f>
        <v/>
      </c>
      <c r="J4126" s="40" t="str">
        <f t="shared" si="329"/>
        <v/>
      </c>
      <c r="K4126" s="24" t="str">
        <f t="shared" si="330"/>
        <v/>
      </c>
      <c r="L4126" s="25" t="str">
        <f t="shared" si="326"/>
        <v/>
      </c>
      <c r="O4126" s="33" t="str">
        <f t="shared" si="327"/>
        <v/>
      </c>
      <c r="P4126" s="33" t="str">
        <f t="shared" si="328"/>
        <v/>
      </c>
    </row>
    <row r="4127" spans="9:16">
      <c r="I4127" s="23" t="str">
        <f>_xlfn.IFNA(VLOOKUP(A4127,A$3524:$H4128,8,0),"")</f>
        <v/>
      </c>
      <c r="J4127" s="40" t="str">
        <f t="shared" si="329"/>
        <v/>
      </c>
      <c r="K4127" s="24" t="str">
        <f t="shared" si="330"/>
        <v/>
      </c>
      <c r="L4127" s="25" t="str">
        <f t="shared" si="326"/>
        <v/>
      </c>
      <c r="O4127" s="33" t="str">
        <f t="shared" si="327"/>
        <v/>
      </c>
      <c r="P4127" s="33" t="str">
        <f t="shared" si="328"/>
        <v/>
      </c>
    </row>
    <row r="4128" spans="9:16">
      <c r="I4128" s="23" t="str">
        <f>_xlfn.IFNA(VLOOKUP(A4128,A$3524:$H4129,8,0),"")</f>
        <v/>
      </c>
      <c r="J4128" s="40" t="str">
        <f t="shared" si="329"/>
        <v/>
      </c>
      <c r="K4128" s="24" t="str">
        <f t="shared" si="330"/>
        <v/>
      </c>
      <c r="L4128" s="25" t="str">
        <f t="shared" si="326"/>
        <v/>
      </c>
      <c r="O4128" s="33" t="str">
        <f t="shared" si="327"/>
        <v/>
      </c>
      <c r="P4128" s="33" t="str">
        <f t="shared" si="328"/>
        <v/>
      </c>
    </row>
    <row r="4129" spans="9:16">
      <c r="I4129" s="23" t="str">
        <f>_xlfn.IFNA(VLOOKUP(A4129,A$3524:$H4130,8,0),"")</f>
        <v/>
      </c>
      <c r="J4129" s="40" t="str">
        <f t="shared" si="329"/>
        <v/>
      </c>
      <c r="K4129" s="24" t="str">
        <f t="shared" si="330"/>
        <v/>
      </c>
      <c r="L4129" s="25" t="str">
        <f t="shared" si="326"/>
        <v/>
      </c>
      <c r="O4129" s="33" t="str">
        <f t="shared" si="327"/>
        <v/>
      </c>
      <c r="P4129" s="33" t="str">
        <f t="shared" si="328"/>
        <v/>
      </c>
    </row>
    <row r="4130" spans="9:16">
      <c r="I4130" s="23" t="str">
        <f>_xlfn.IFNA(VLOOKUP(A4130,A$3524:$H4131,8,0),"")</f>
        <v/>
      </c>
      <c r="J4130" s="40" t="str">
        <f t="shared" si="329"/>
        <v/>
      </c>
      <c r="K4130" s="24" t="str">
        <f t="shared" si="330"/>
        <v/>
      </c>
      <c r="L4130" s="25" t="str">
        <f t="shared" si="326"/>
        <v/>
      </c>
      <c r="O4130" s="33" t="str">
        <f t="shared" si="327"/>
        <v/>
      </c>
      <c r="P4130" s="33" t="str">
        <f t="shared" si="328"/>
        <v/>
      </c>
    </row>
    <row r="4131" spans="9:16">
      <c r="I4131" s="23" t="str">
        <f>_xlfn.IFNA(VLOOKUP(A4131,A$3524:$H4132,8,0),"")</f>
        <v/>
      </c>
      <c r="J4131" s="40" t="str">
        <f t="shared" si="329"/>
        <v/>
      </c>
      <c r="K4131" s="24" t="str">
        <f t="shared" si="330"/>
        <v/>
      </c>
      <c r="L4131" s="25" t="str">
        <f t="shared" si="326"/>
        <v/>
      </c>
      <c r="O4131" s="33" t="str">
        <f t="shared" si="327"/>
        <v/>
      </c>
      <c r="P4131" s="33" t="str">
        <f t="shared" si="328"/>
        <v/>
      </c>
    </row>
    <row r="4132" spans="9:16">
      <c r="I4132" s="23" t="str">
        <f>_xlfn.IFNA(VLOOKUP(A4132,A$3524:$H4133,8,0),"")</f>
        <v/>
      </c>
      <c r="J4132" s="40" t="str">
        <f t="shared" si="329"/>
        <v/>
      </c>
      <c r="K4132" s="24" t="str">
        <f t="shared" si="330"/>
        <v/>
      </c>
      <c r="L4132" s="25" t="str">
        <f t="shared" si="326"/>
        <v/>
      </c>
      <c r="O4132" s="33" t="str">
        <f t="shared" si="327"/>
        <v/>
      </c>
      <c r="P4132" s="33" t="str">
        <f t="shared" si="328"/>
        <v/>
      </c>
    </row>
    <row r="4133" spans="9:16">
      <c r="I4133" s="23" t="str">
        <f>_xlfn.IFNA(VLOOKUP(A4133,A$3524:$H4134,8,0),"")</f>
        <v/>
      </c>
      <c r="J4133" s="40" t="str">
        <f t="shared" si="329"/>
        <v/>
      </c>
      <c r="K4133" s="24" t="str">
        <f t="shared" si="330"/>
        <v/>
      </c>
      <c r="L4133" s="25" t="str">
        <f t="shared" si="326"/>
        <v/>
      </c>
      <c r="O4133" s="33" t="str">
        <f t="shared" si="327"/>
        <v/>
      </c>
      <c r="P4133" s="33" t="str">
        <f t="shared" si="328"/>
        <v/>
      </c>
    </row>
    <row r="4134" spans="9:16">
      <c r="I4134" s="23" t="str">
        <f>_xlfn.IFNA(VLOOKUP(A4134,A$3524:$H4135,8,0),"")</f>
        <v/>
      </c>
      <c r="J4134" s="40" t="str">
        <f t="shared" si="329"/>
        <v/>
      </c>
      <c r="K4134" s="24" t="str">
        <f t="shared" si="330"/>
        <v/>
      </c>
      <c r="L4134" s="25" t="str">
        <f t="shared" si="326"/>
        <v/>
      </c>
      <c r="O4134" s="33" t="str">
        <f t="shared" si="327"/>
        <v/>
      </c>
      <c r="P4134" s="33" t="str">
        <f t="shared" si="328"/>
        <v/>
      </c>
    </row>
    <row r="4135" spans="9:16">
      <c r="I4135" s="23" t="str">
        <f>_xlfn.IFNA(VLOOKUP(A4135,A$3524:$H4136,8,0),"")</f>
        <v/>
      </c>
      <c r="J4135" s="40" t="str">
        <f t="shared" si="329"/>
        <v/>
      </c>
      <c r="K4135" s="24" t="str">
        <f t="shared" si="330"/>
        <v/>
      </c>
      <c r="L4135" s="25" t="str">
        <f t="shared" si="326"/>
        <v/>
      </c>
      <c r="O4135" s="33" t="str">
        <f t="shared" si="327"/>
        <v/>
      </c>
      <c r="P4135" s="33" t="str">
        <f t="shared" si="328"/>
        <v/>
      </c>
    </row>
    <row r="4136" spans="9:16">
      <c r="I4136" s="23" t="str">
        <f>_xlfn.IFNA(VLOOKUP(A4136,A$3524:$H4137,8,0),"")</f>
        <v/>
      </c>
      <c r="J4136" s="40" t="str">
        <f t="shared" si="329"/>
        <v/>
      </c>
      <c r="K4136" s="24" t="str">
        <f t="shared" si="330"/>
        <v/>
      </c>
      <c r="L4136" s="25" t="str">
        <f t="shared" si="326"/>
        <v/>
      </c>
      <c r="O4136" s="33" t="str">
        <f t="shared" si="327"/>
        <v/>
      </c>
      <c r="P4136" s="33" t="str">
        <f t="shared" si="328"/>
        <v/>
      </c>
    </row>
    <row r="4137" spans="9:16">
      <c r="I4137" s="23" t="str">
        <f>_xlfn.IFNA(VLOOKUP(A4137,A$3524:$H4138,8,0),"")</f>
        <v/>
      </c>
      <c r="J4137" s="40" t="str">
        <f t="shared" si="329"/>
        <v/>
      </c>
      <c r="K4137" s="24" t="str">
        <f t="shared" si="330"/>
        <v/>
      </c>
      <c r="L4137" s="25" t="str">
        <f t="shared" si="326"/>
        <v/>
      </c>
      <c r="O4137" s="33" t="str">
        <f t="shared" si="327"/>
        <v/>
      </c>
      <c r="P4137" s="33" t="str">
        <f t="shared" si="328"/>
        <v/>
      </c>
    </row>
    <row r="4138" spans="9:16">
      <c r="I4138" s="23" t="str">
        <f>_xlfn.IFNA(VLOOKUP(A4138,A$3524:$H4139,8,0),"")</f>
        <v/>
      </c>
      <c r="J4138" s="40" t="str">
        <f t="shared" si="329"/>
        <v/>
      </c>
      <c r="K4138" s="24" t="str">
        <f t="shared" si="330"/>
        <v/>
      </c>
      <c r="L4138" s="25" t="str">
        <f t="shared" si="326"/>
        <v/>
      </c>
      <c r="O4138" s="33" t="str">
        <f t="shared" si="327"/>
        <v/>
      </c>
      <c r="P4138" s="33" t="str">
        <f t="shared" si="328"/>
        <v/>
      </c>
    </row>
    <row r="4139" spans="9:16">
      <c r="I4139" s="23" t="str">
        <f>_xlfn.IFNA(VLOOKUP(A4139,A$3524:$H4140,8,0),"")</f>
        <v/>
      </c>
      <c r="J4139" s="40" t="str">
        <f t="shared" si="329"/>
        <v/>
      </c>
      <c r="K4139" s="24" t="str">
        <f t="shared" si="330"/>
        <v/>
      </c>
      <c r="L4139" s="25" t="str">
        <f t="shared" si="326"/>
        <v/>
      </c>
      <c r="O4139" s="33" t="str">
        <f t="shared" si="327"/>
        <v/>
      </c>
      <c r="P4139" s="33" t="str">
        <f t="shared" si="328"/>
        <v/>
      </c>
    </row>
    <row r="4140" spans="9:16">
      <c r="I4140" s="23" t="str">
        <f>_xlfn.IFNA(VLOOKUP(A4140,A$3524:$H4141,8,0),"")</f>
        <v/>
      </c>
      <c r="J4140" s="40" t="str">
        <f t="shared" si="329"/>
        <v/>
      </c>
      <c r="K4140" s="24" t="str">
        <f t="shared" si="330"/>
        <v/>
      </c>
      <c r="L4140" s="25" t="str">
        <f t="shared" si="326"/>
        <v/>
      </c>
      <c r="O4140" s="33" t="str">
        <f t="shared" si="327"/>
        <v/>
      </c>
      <c r="P4140" s="33" t="str">
        <f t="shared" si="328"/>
        <v/>
      </c>
    </row>
    <row r="4141" spans="9:16">
      <c r="I4141" s="23" t="str">
        <f>_xlfn.IFNA(VLOOKUP(A4141,A$3524:$H4142,8,0),"")</f>
        <v/>
      </c>
      <c r="J4141" s="40" t="str">
        <f t="shared" si="329"/>
        <v/>
      </c>
      <c r="K4141" s="24" t="str">
        <f t="shared" si="330"/>
        <v/>
      </c>
      <c r="L4141" s="25" t="str">
        <f t="shared" si="326"/>
        <v/>
      </c>
      <c r="O4141" s="33" t="str">
        <f t="shared" si="327"/>
        <v/>
      </c>
      <c r="P4141" s="33" t="str">
        <f t="shared" si="328"/>
        <v/>
      </c>
    </row>
    <row r="4142" spans="9:16">
      <c r="I4142" s="23" t="str">
        <f>_xlfn.IFNA(VLOOKUP(A4142,A$3524:$H4143,8,0),"")</f>
        <v/>
      </c>
      <c r="J4142" s="40" t="str">
        <f t="shared" si="329"/>
        <v/>
      </c>
      <c r="K4142" s="24" t="str">
        <f t="shared" si="330"/>
        <v/>
      </c>
      <c r="L4142" s="25" t="str">
        <f t="shared" si="326"/>
        <v/>
      </c>
      <c r="O4142" s="33" t="str">
        <f t="shared" si="327"/>
        <v/>
      </c>
      <c r="P4142" s="33" t="str">
        <f t="shared" si="328"/>
        <v/>
      </c>
    </row>
    <row r="4143" spans="9:16">
      <c r="I4143" s="23" t="str">
        <f>_xlfn.IFNA(VLOOKUP(A4143,A$3524:$H4144,8,0),"")</f>
        <v/>
      </c>
      <c r="J4143" s="40" t="str">
        <f t="shared" si="329"/>
        <v/>
      </c>
      <c r="K4143" s="24" t="str">
        <f t="shared" si="330"/>
        <v/>
      </c>
      <c r="L4143" s="25" t="str">
        <f t="shared" si="326"/>
        <v/>
      </c>
      <c r="O4143" s="33" t="str">
        <f t="shared" si="327"/>
        <v/>
      </c>
      <c r="P4143" s="33" t="str">
        <f t="shared" si="328"/>
        <v/>
      </c>
    </row>
    <row r="4144" spans="9:16">
      <c r="I4144" s="23" t="str">
        <f>_xlfn.IFNA(VLOOKUP(A4144,A$3524:$H4145,8,0),"")</f>
        <v/>
      </c>
      <c r="J4144" s="40" t="str">
        <f t="shared" si="329"/>
        <v/>
      </c>
      <c r="K4144" s="24" t="str">
        <f t="shared" si="330"/>
        <v/>
      </c>
      <c r="L4144" s="25" t="str">
        <f t="shared" si="326"/>
        <v/>
      </c>
      <c r="O4144" s="33" t="str">
        <f t="shared" si="327"/>
        <v/>
      </c>
      <c r="P4144" s="33" t="str">
        <f t="shared" si="328"/>
        <v/>
      </c>
    </row>
    <row r="4145" spans="9:16">
      <c r="I4145" s="23" t="str">
        <f>_xlfn.IFNA(VLOOKUP(A4145,A$3524:$H4146,8,0),"")</f>
        <v/>
      </c>
      <c r="J4145" s="40" t="str">
        <f t="shared" si="329"/>
        <v/>
      </c>
      <c r="K4145" s="24" t="str">
        <f t="shared" si="330"/>
        <v/>
      </c>
      <c r="L4145" s="25" t="str">
        <f t="shared" si="326"/>
        <v/>
      </c>
      <c r="O4145" s="33" t="str">
        <f t="shared" si="327"/>
        <v/>
      </c>
      <c r="P4145" s="33" t="str">
        <f t="shared" si="328"/>
        <v/>
      </c>
    </row>
    <row r="4146" spans="9:16">
      <c r="I4146" s="23" t="str">
        <f>_xlfn.IFNA(VLOOKUP(A4146,A$3524:$H4147,8,0),"")</f>
        <v/>
      </c>
      <c r="J4146" s="40" t="str">
        <f t="shared" si="329"/>
        <v/>
      </c>
      <c r="K4146" s="24" t="str">
        <f t="shared" si="330"/>
        <v/>
      </c>
      <c r="L4146" s="25" t="str">
        <f t="shared" si="326"/>
        <v/>
      </c>
      <c r="O4146" s="33" t="str">
        <f t="shared" si="327"/>
        <v/>
      </c>
      <c r="P4146" s="33" t="str">
        <f t="shared" si="328"/>
        <v/>
      </c>
    </row>
    <row r="4147" spans="9:16">
      <c r="I4147" s="23" t="str">
        <f>_xlfn.IFNA(VLOOKUP(A4147,A$3524:$H4148,8,0),"")</f>
        <v/>
      </c>
      <c r="J4147" s="40" t="str">
        <f t="shared" si="329"/>
        <v/>
      </c>
      <c r="K4147" s="24" t="str">
        <f t="shared" si="330"/>
        <v/>
      </c>
      <c r="L4147" s="25" t="str">
        <f t="shared" si="326"/>
        <v/>
      </c>
      <c r="O4147" s="33" t="str">
        <f t="shared" si="327"/>
        <v/>
      </c>
      <c r="P4147" s="33" t="str">
        <f t="shared" si="328"/>
        <v/>
      </c>
    </row>
    <row r="4148" spans="9:16">
      <c r="I4148" s="23" t="str">
        <f>_xlfn.IFNA(VLOOKUP(A4148,A$3524:$H4149,8,0),"")</f>
        <v/>
      </c>
      <c r="J4148" s="40" t="str">
        <f t="shared" si="329"/>
        <v/>
      </c>
      <c r="K4148" s="24" t="str">
        <f t="shared" si="330"/>
        <v/>
      </c>
      <c r="L4148" s="25" t="str">
        <f t="shared" si="326"/>
        <v/>
      </c>
      <c r="O4148" s="33" t="str">
        <f t="shared" si="327"/>
        <v/>
      </c>
      <c r="P4148" s="33" t="str">
        <f t="shared" si="328"/>
        <v/>
      </c>
    </row>
    <row r="4149" spans="9:16">
      <c r="I4149" s="23" t="str">
        <f>_xlfn.IFNA(VLOOKUP(A4149,A$3524:$H4150,8,0),"")</f>
        <v/>
      </c>
      <c r="J4149" s="40" t="str">
        <f t="shared" si="329"/>
        <v/>
      </c>
      <c r="K4149" s="24" t="str">
        <f t="shared" si="330"/>
        <v/>
      </c>
      <c r="L4149" s="25" t="str">
        <f t="shared" si="326"/>
        <v/>
      </c>
      <c r="O4149" s="33" t="str">
        <f t="shared" si="327"/>
        <v/>
      </c>
      <c r="P4149" s="33" t="str">
        <f t="shared" si="328"/>
        <v/>
      </c>
    </row>
    <row r="4150" spans="9:16">
      <c r="I4150" s="23" t="str">
        <f>_xlfn.IFNA(VLOOKUP(A4150,A$3524:$H4151,8,0),"")</f>
        <v/>
      </c>
      <c r="J4150" s="40" t="str">
        <f t="shared" si="329"/>
        <v/>
      </c>
      <c r="K4150" s="24" t="str">
        <f t="shared" si="330"/>
        <v/>
      </c>
      <c r="L4150" s="25" t="str">
        <f t="shared" si="326"/>
        <v/>
      </c>
      <c r="O4150" s="33" t="str">
        <f t="shared" si="327"/>
        <v/>
      </c>
      <c r="P4150" s="33" t="str">
        <f t="shared" si="328"/>
        <v/>
      </c>
    </row>
    <row r="4151" spans="9:16">
      <c r="I4151" s="23" t="str">
        <f>_xlfn.IFNA(VLOOKUP(A4151,A$3524:$H4152,8,0),"")</f>
        <v/>
      </c>
      <c r="J4151" s="40" t="str">
        <f t="shared" si="329"/>
        <v/>
      </c>
      <c r="K4151" s="24" t="str">
        <f t="shared" si="330"/>
        <v/>
      </c>
      <c r="L4151" s="25" t="str">
        <f t="shared" ref="L4151:L4214" si="331">IF(K4151="","",IF(B4151="Break","Break",IF(K4151&lt;&gt;0,"Work Finished",IF(B4151="OFF","Work Finished",IF(I4151="","Working","Work Finished")))))</f>
        <v/>
      </c>
      <c r="O4151" s="33" t="str">
        <f t="shared" ref="O4151:O4214" si="332">IF(AND(J4151="",M4151="",N4151=""),"",J4151-M4151-N4151)</f>
        <v/>
      </c>
      <c r="P4151" s="33" t="str">
        <f t="shared" ref="P4151:P4214" si="333">IF(HOUR(H4151)=0,"",HOUR(H4151))</f>
        <v/>
      </c>
    </row>
    <row r="4152" spans="9:16">
      <c r="I4152" s="23" t="str">
        <f>_xlfn.IFNA(VLOOKUP(A4152,A$3524:$H4153,8,0),"")</f>
        <v/>
      </c>
      <c r="J4152" s="40" t="str">
        <f t="shared" si="329"/>
        <v/>
      </c>
      <c r="K4152" s="24" t="str">
        <f t="shared" si="330"/>
        <v/>
      </c>
      <c r="L4152" s="25" t="str">
        <f t="shared" si="331"/>
        <v/>
      </c>
      <c r="O4152" s="33" t="str">
        <f t="shared" si="332"/>
        <v/>
      </c>
      <c r="P4152" s="33" t="str">
        <f t="shared" si="333"/>
        <v/>
      </c>
    </row>
    <row r="4153" spans="9:16">
      <c r="I4153" s="23" t="str">
        <f>_xlfn.IFNA(VLOOKUP(A4153,A$3524:$H4154,8,0),"")</f>
        <v/>
      </c>
      <c r="J4153" s="40" t="str">
        <f t="shared" si="329"/>
        <v/>
      </c>
      <c r="K4153" s="24" t="str">
        <f t="shared" si="330"/>
        <v/>
      </c>
      <c r="L4153" s="25" t="str">
        <f t="shared" si="331"/>
        <v/>
      </c>
      <c r="O4153" s="33" t="str">
        <f t="shared" si="332"/>
        <v/>
      </c>
      <c r="P4153" s="33" t="str">
        <f t="shared" si="333"/>
        <v/>
      </c>
    </row>
    <row r="4154" spans="9:16">
      <c r="I4154" s="23" t="str">
        <f>_xlfn.IFNA(VLOOKUP(A4154,A$3524:$H4155,8,0),"")</f>
        <v/>
      </c>
      <c r="J4154" s="40" t="str">
        <f t="shared" si="329"/>
        <v/>
      </c>
      <c r="K4154" s="24" t="str">
        <f t="shared" si="330"/>
        <v/>
      </c>
      <c r="L4154" s="25" t="str">
        <f t="shared" si="331"/>
        <v/>
      </c>
      <c r="O4154" s="33" t="str">
        <f t="shared" si="332"/>
        <v/>
      </c>
      <c r="P4154" s="33" t="str">
        <f t="shared" si="333"/>
        <v/>
      </c>
    </row>
    <row r="4155" spans="9:16">
      <c r="I4155" s="23" t="str">
        <f>_xlfn.IFNA(VLOOKUP(A4155,A$3524:$H4156,8,0),"")</f>
        <v/>
      </c>
      <c r="J4155" s="40" t="str">
        <f t="shared" si="329"/>
        <v/>
      </c>
      <c r="K4155" s="24" t="str">
        <f t="shared" si="330"/>
        <v/>
      </c>
      <c r="L4155" s="25" t="str">
        <f t="shared" si="331"/>
        <v/>
      </c>
      <c r="O4155" s="33" t="str">
        <f t="shared" si="332"/>
        <v/>
      </c>
      <c r="P4155" s="33" t="str">
        <f t="shared" si="333"/>
        <v/>
      </c>
    </row>
    <row r="4156" spans="9:16">
      <c r="I4156" s="23" t="str">
        <f>_xlfn.IFNA(VLOOKUP(A4156,A$3524:$H4157,8,0),"")</f>
        <v/>
      </c>
      <c r="J4156" s="40" t="str">
        <f t="shared" si="329"/>
        <v/>
      </c>
      <c r="K4156" s="24" t="str">
        <f t="shared" si="330"/>
        <v/>
      </c>
      <c r="L4156" s="25" t="str">
        <f t="shared" si="331"/>
        <v/>
      </c>
      <c r="O4156" s="33" t="str">
        <f t="shared" si="332"/>
        <v/>
      </c>
      <c r="P4156" s="33" t="str">
        <f t="shared" si="333"/>
        <v/>
      </c>
    </row>
    <row r="4157" spans="9:16">
      <c r="I4157" s="23" t="str">
        <f>_xlfn.IFNA(VLOOKUP(A4157,A$3524:$H4158,8,0),"")</f>
        <v/>
      </c>
      <c r="J4157" s="40" t="str">
        <f t="shared" si="329"/>
        <v/>
      </c>
      <c r="K4157" s="24" t="str">
        <f t="shared" si="330"/>
        <v/>
      </c>
      <c r="L4157" s="25" t="str">
        <f t="shared" si="331"/>
        <v/>
      </c>
      <c r="O4157" s="33" t="str">
        <f t="shared" si="332"/>
        <v/>
      </c>
      <c r="P4157" s="33" t="str">
        <f t="shared" si="333"/>
        <v/>
      </c>
    </row>
    <row r="4158" spans="9:16">
      <c r="I4158" s="23" t="str">
        <f>_xlfn.IFNA(VLOOKUP(A4158,A$3524:$H4159,8,0),"")</f>
        <v/>
      </c>
      <c r="J4158" s="40" t="str">
        <f t="shared" si="329"/>
        <v/>
      </c>
      <c r="K4158" s="24" t="str">
        <f t="shared" si="330"/>
        <v/>
      </c>
      <c r="L4158" s="25" t="str">
        <f t="shared" si="331"/>
        <v/>
      </c>
      <c r="O4158" s="33" t="str">
        <f t="shared" si="332"/>
        <v/>
      </c>
      <c r="P4158" s="33" t="str">
        <f t="shared" si="333"/>
        <v/>
      </c>
    </row>
    <row r="4159" spans="9:16">
      <c r="I4159" s="23" t="str">
        <f>_xlfn.IFNA(VLOOKUP(A4159,A$3524:$H4160,8,0),"")</f>
        <v/>
      </c>
      <c r="J4159" s="40" t="str">
        <f t="shared" si="329"/>
        <v/>
      </c>
      <c r="K4159" s="24" t="str">
        <f t="shared" si="330"/>
        <v/>
      </c>
      <c r="L4159" s="25" t="str">
        <f t="shared" si="331"/>
        <v/>
      </c>
      <c r="O4159" s="33" t="str">
        <f t="shared" si="332"/>
        <v/>
      </c>
      <c r="P4159" s="33" t="str">
        <f t="shared" si="333"/>
        <v/>
      </c>
    </row>
    <row r="4160" spans="9:16">
      <c r="I4160" s="23" t="str">
        <f>_xlfn.IFNA(VLOOKUP(A4160,A$3524:$H4161,8,0),"")</f>
        <v/>
      </c>
      <c r="J4160" s="40" t="str">
        <f t="shared" si="329"/>
        <v/>
      </c>
      <c r="K4160" s="24" t="str">
        <f t="shared" si="330"/>
        <v/>
      </c>
      <c r="L4160" s="25" t="str">
        <f t="shared" si="331"/>
        <v/>
      </c>
      <c r="O4160" s="33" t="str">
        <f t="shared" si="332"/>
        <v/>
      </c>
      <c r="P4160" s="33" t="str">
        <f t="shared" si="333"/>
        <v/>
      </c>
    </row>
    <row r="4161" spans="9:16">
      <c r="I4161" s="23" t="str">
        <f>_xlfn.IFNA(VLOOKUP(A4161,A$3524:$H4162,8,0),"")</f>
        <v/>
      </c>
      <c r="J4161" s="40" t="str">
        <f t="shared" si="329"/>
        <v/>
      </c>
      <c r="K4161" s="24" t="str">
        <f t="shared" si="330"/>
        <v/>
      </c>
      <c r="L4161" s="25" t="str">
        <f t="shared" si="331"/>
        <v/>
      </c>
      <c r="O4161" s="33" t="str">
        <f t="shared" si="332"/>
        <v/>
      </c>
      <c r="P4161" s="33" t="str">
        <f t="shared" si="333"/>
        <v/>
      </c>
    </row>
    <row r="4162" spans="9:16">
      <c r="I4162" s="23" t="str">
        <f>_xlfn.IFNA(VLOOKUP(A4162,A$3524:$H4163,8,0),"")</f>
        <v/>
      </c>
      <c r="J4162" s="40" t="str">
        <f t="shared" si="329"/>
        <v/>
      </c>
      <c r="K4162" s="24" t="str">
        <f t="shared" si="330"/>
        <v/>
      </c>
      <c r="L4162" s="25" t="str">
        <f t="shared" si="331"/>
        <v/>
      </c>
      <c r="O4162" s="33" t="str">
        <f t="shared" si="332"/>
        <v/>
      </c>
      <c r="P4162" s="33" t="str">
        <f t="shared" si="333"/>
        <v/>
      </c>
    </row>
    <row r="4163" spans="9:16">
      <c r="I4163" s="23" t="str">
        <f>_xlfn.IFNA(VLOOKUP(A4163,A$3524:$H4164,8,0),"")</f>
        <v/>
      </c>
      <c r="J4163" s="40" t="str">
        <f t="shared" si="329"/>
        <v/>
      </c>
      <c r="K4163" s="24" t="str">
        <f t="shared" si="330"/>
        <v/>
      </c>
      <c r="L4163" s="25" t="str">
        <f t="shared" si="331"/>
        <v/>
      </c>
      <c r="O4163" s="33" t="str">
        <f t="shared" si="332"/>
        <v/>
      </c>
      <c r="P4163" s="33" t="str">
        <f t="shared" si="333"/>
        <v/>
      </c>
    </row>
    <row r="4164" spans="9:16">
      <c r="I4164" s="23" t="str">
        <f>_xlfn.IFNA(VLOOKUP(A4164,A$3524:$H4165,8,0),"")</f>
        <v/>
      </c>
      <c r="J4164" s="40" t="str">
        <f t="shared" si="329"/>
        <v/>
      </c>
      <c r="K4164" s="24" t="str">
        <f t="shared" si="330"/>
        <v/>
      </c>
      <c r="L4164" s="25" t="str">
        <f t="shared" si="331"/>
        <v/>
      </c>
      <c r="O4164" s="33" t="str">
        <f t="shared" si="332"/>
        <v/>
      </c>
      <c r="P4164" s="33" t="str">
        <f t="shared" si="333"/>
        <v/>
      </c>
    </row>
    <row r="4165" spans="9:16">
      <c r="I4165" s="23" t="str">
        <f>_xlfn.IFNA(VLOOKUP(A4165,A$3524:$H4166,8,0),"")</f>
        <v/>
      </c>
      <c r="J4165" s="40" t="str">
        <f t="shared" si="329"/>
        <v/>
      </c>
      <c r="K4165" s="24" t="str">
        <f t="shared" si="330"/>
        <v/>
      </c>
      <c r="L4165" s="25" t="str">
        <f t="shared" si="331"/>
        <v/>
      </c>
      <c r="O4165" s="33" t="str">
        <f t="shared" si="332"/>
        <v/>
      </c>
      <c r="P4165" s="33" t="str">
        <f t="shared" si="333"/>
        <v/>
      </c>
    </row>
    <row r="4166" spans="9:16">
      <c r="I4166" s="23" t="str">
        <f>_xlfn.IFNA(VLOOKUP(A4166,A$3524:$H4167,8,0),"")</f>
        <v/>
      </c>
      <c r="J4166" s="40" t="str">
        <f t="shared" ref="J4166:J4229" si="334">IF(B4166="OFF",0,IF(AND(D4166&lt;&gt;"",E4166&lt;&gt;""),E4166-D4166+1,""))</f>
        <v/>
      </c>
      <c r="K4166" s="24" t="str">
        <f t="shared" si="330"/>
        <v/>
      </c>
      <c r="L4166" s="25" t="str">
        <f t="shared" si="331"/>
        <v/>
      </c>
      <c r="O4166" s="33" t="str">
        <f t="shared" si="332"/>
        <v/>
      </c>
      <c r="P4166" s="33" t="str">
        <f t="shared" si="333"/>
        <v/>
      </c>
    </row>
    <row r="4167" spans="9:16">
      <c r="I4167" s="23" t="str">
        <f>_xlfn.IFNA(VLOOKUP(A4167,A$3524:$H4168,8,0),"")</f>
        <v/>
      </c>
      <c r="J4167" s="40" t="str">
        <f t="shared" si="334"/>
        <v/>
      </c>
      <c r="K4167" s="24" t="str">
        <f t="shared" si="330"/>
        <v/>
      </c>
      <c r="L4167" s="25" t="str">
        <f t="shared" si="331"/>
        <v/>
      </c>
      <c r="O4167" s="33" t="str">
        <f t="shared" si="332"/>
        <v/>
      </c>
      <c r="P4167" s="33" t="str">
        <f t="shared" si="333"/>
        <v/>
      </c>
    </row>
    <row r="4168" spans="9:16">
      <c r="I4168" s="23" t="str">
        <f>_xlfn.IFNA(VLOOKUP(A4168,A$3524:$H4169,8,0),"")</f>
        <v/>
      </c>
      <c r="J4168" s="40" t="str">
        <f t="shared" si="334"/>
        <v/>
      </c>
      <c r="K4168" s="24" t="str">
        <f t="shared" si="330"/>
        <v/>
      </c>
      <c r="L4168" s="25" t="str">
        <f t="shared" si="331"/>
        <v/>
      </c>
      <c r="O4168" s="33" t="str">
        <f t="shared" si="332"/>
        <v/>
      </c>
      <c r="P4168" s="33" t="str">
        <f t="shared" si="333"/>
        <v/>
      </c>
    </row>
    <row r="4169" spans="9:16">
      <c r="I4169" s="23" t="str">
        <f>_xlfn.IFNA(VLOOKUP(A4169,A$3524:$H4170,8,0),"")</f>
        <v/>
      </c>
      <c r="J4169" s="40" t="str">
        <f t="shared" si="334"/>
        <v/>
      </c>
      <c r="K4169" s="24" t="str">
        <f t="shared" si="330"/>
        <v/>
      </c>
      <c r="L4169" s="25" t="str">
        <f t="shared" si="331"/>
        <v/>
      </c>
      <c r="O4169" s="33" t="str">
        <f t="shared" si="332"/>
        <v/>
      </c>
      <c r="P4169" s="33" t="str">
        <f t="shared" si="333"/>
        <v/>
      </c>
    </row>
    <row r="4170" spans="9:16">
      <c r="I4170" s="23" t="str">
        <f>_xlfn.IFNA(VLOOKUP(A4170,A$3524:$H4171,8,0),"")</f>
        <v/>
      </c>
      <c r="J4170" s="40" t="str">
        <f t="shared" si="334"/>
        <v/>
      </c>
      <c r="K4170" s="24" t="str">
        <f t="shared" si="330"/>
        <v/>
      </c>
      <c r="L4170" s="25" t="str">
        <f t="shared" si="331"/>
        <v/>
      </c>
      <c r="O4170" s="33" t="str">
        <f t="shared" si="332"/>
        <v/>
      </c>
      <c r="P4170" s="33" t="str">
        <f t="shared" si="333"/>
        <v/>
      </c>
    </row>
    <row r="4171" spans="9:16">
      <c r="I4171" s="23" t="str">
        <f>_xlfn.IFNA(VLOOKUP(A4171,A$3524:$H4172,8,0),"")</f>
        <v/>
      </c>
      <c r="J4171" s="40" t="str">
        <f t="shared" si="334"/>
        <v/>
      </c>
      <c r="K4171" s="24" t="str">
        <f t="shared" si="330"/>
        <v/>
      </c>
      <c r="L4171" s="25" t="str">
        <f t="shared" si="331"/>
        <v/>
      </c>
      <c r="O4171" s="33" t="str">
        <f t="shared" si="332"/>
        <v/>
      </c>
      <c r="P4171" s="33" t="str">
        <f t="shared" si="333"/>
        <v/>
      </c>
    </row>
    <row r="4172" spans="9:16">
      <c r="I4172" s="23" t="str">
        <f>_xlfn.IFNA(VLOOKUP(A4172,A$3524:$H4173,8,0),"")</f>
        <v/>
      </c>
      <c r="J4172" s="40" t="str">
        <f t="shared" si="334"/>
        <v/>
      </c>
      <c r="K4172" s="24" t="str">
        <f t="shared" si="330"/>
        <v/>
      </c>
      <c r="L4172" s="25" t="str">
        <f t="shared" si="331"/>
        <v/>
      </c>
      <c r="O4172" s="33" t="str">
        <f t="shared" si="332"/>
        <v/>
      </c>
      <c r="P4172" s="33" t="str">
        <f t="shared" si="333"/>
        <v/>
      </c>
    </row>
    <row r="4173" spans="9:16">
      <c r="I4173" s="23" t="str">
        <f>_xlfn.IFNA(VLOOKUP(A4173,A$3524:$H4174,8,0),"")</f>
        <v/>
      </c>
      <c r="J4173" s="40" t="str">
        <f t="shared" si="334"/>
        <v/>
      </c>
      <c r="K4173" s="24" t="str">
        <f t="shared" si="330"/>
        <v/>
      </c>
      <c r="L4173" s="25" t="str">
        <f t="shared" si="331"/>
        <v/>
      </c>
      <c r="O4173" s="33" t="str">
        <f t="shared" si="332"/>
        <v/>
      </c>
      <c r="P4173" s="33" t="str">
        <f t="shared" si="333"/>
        <v/>
      </c>
    </row>
    <row r="4174" spans="9:16">
      <c r="I4174" s="23" t="str">
        <f>_xlfn.IFNA(VLOOKUP(A4174,A$3524:$H4175,8,0),"")</f>
        <v/>
      </c>
      <c r="J4174" s="40" t="str">
        <f t="shared" si="334"/>
        <v/>
      </c>
      <c r="K4174" s="24" t="str">
        <f t="shared" si="330"/>
        <v/>
      </c>
      <c r="L4174" s="25" t="str">
        <f t="shared" si="331"/>
        <v/>
      </c>
      <c r="O4174" s="33" t="str">
        <f t="shared" si="332"/>
        <v/>
      </c>
      <c r="P4174" s="33" t="str">
        <f t="shared" si="333"/>
        <v/>
      </c>
    </row>
    <row r="4175" spans="9:16">
      <c r="I4175" s="23" t="str">
        <f>_xlfn.IFNA(VLOOKUP(A4175,A$3524:$H4176,8,0),"")</f>
        <v/>
      </c>
      <c r="J4175" s="40" t="str">
        <f t="shared" si="334"/>
        <v/>
      </c>
      <c r="K4175" s="24" t="str">
        <f t="shared" si="330"/>
        <v/>
      </c>
      <c r="L4175" s="25" t="str">
        <f t="shared" si="331"/>
        <v/>
      </c>
      <c r="O4175" s="33" t="str">
        <f t="shared" si="332"/>
        <v/>
      </c>
      <c r="P4175" s="33" t="str">
        <f t="shared" si="333"/>
        <v/>
      </c>
    </row>
    <row r="4176" spans="9:16">
      <c r="I4176" s="23" t="str">
        <f>_xlfn.IFNA(VLOOKUP(A4176,A$3524:$H4177,8,0),"")</f>
        <v/>
      </c>
      <c r="J4176" s="40" t="str">
        <f t="shared" si="334"/>
        <v/>
      </c>
      <c r="K4176" s="24" t="str">
        <f t="shared" si="330"/>
        <v/>
      </c>
      <c r="L4176" s="25" t="str">
        <f t="shared" si="331"/>
        <v/>
      </c>
      <c r="O4176" s="33" t="str">
        <f t="shared" si="332"/>
        <v/>
      </c>
      <c r="P4176" s="33" t="str">
        <f t="shared" si="333"/>
        <v/>
      </c>
    </row>
    <row r="4177" spans="9:16">
      <c r="I4177" s="23" t="str">
        <f>_xlfn.IFNA(VLOOKUP(A4177,A$3524:$H4178,8,0),"")</f>
        <v/>
      </c>
      <c r="J4177" s="40" t="str">
        <f t="shared" si="334"/>
        <v/>
      </c>
      <c r="K4177" s="24" t="str">
        <f t="shared" si="330"/>
        <v/>
      </c>
      <c r="L4177" s="25" t="str">
        <f t="shared" si="331"/>
        <v/>
      </c>
      <c r="O4177" s="33" t="str">
        <f t="shared" si="332"/>
        <v/>
      </c>
      <c r="P4177" s="33" t="str">
        <f t="shared" si="333"/>
        <v/>
      </c>
    </row>
    <row r="4178" spans="9:16">
      <c r="I4178" s="23" t="str">
        <f>_xlfn.IFNA(VLOOKUP(A4178,A$3524:$H4179,8,0),"")</f>
        <v/>
      </c>
      <c r="J4178" s="40" t="str">
        <f t="shared" si="334"/>
        <v/>
      </c>
      <c r="K4178" s="24" t="str">
        <f t="shared" si="330"/>
        <v/>
      </c>
      <c r="L4178" s="25" t="str">
        <f t="shared" si="331"/>
        <v/>
      </c>
      <c r="O4178" s="33" t="str">
        <f t="shared" si="332"/>
        <v/>
      </c>
      <c r="P4178" s="33" t="str">
        <f t="shared" si="333"/>
        <v/>
      </c>
    </row>
    <row r="4179" spans="9:16">
      <c r="I4179" s="23" t="str">
        <f>_xlfn.IFNA(VLOOKUP(A4179,A$3524:$H4180,8,0),"")</f>
        <v/>
      </c>
      <c r="J4179" s="40" t="str">
        <f t="shared" si="334"/>
        <v/>
      </c>
      <c r="K4179" s="24" t="str">
        <f t="shared" si="330"/>
        <v/>
      </c>
      <c r="L4179" s="25" t="str">
        <f t="shared" si="331"/>
        <v/>
      </c>
      <c r="O4179" s="33" t="str">
        <f t="shared" si="332"/>
        <v/>
      </c>
      <c r="P4179" s="33" t="str">
        <f t="shared" si="333"/>
        <v/>
      </c>
    </row>
    <row r="4180" spans="9:16">
      <c r="I4180" s="23" t="str">
        <f>_xlfn.IFNA(VLOOKUP(A4180,A$3524:$H4181,8,0),"")</f>
        <v/>
      </c>
      <c r="J4180" s="40" t="str">
        <f t="shared" si="334"/>
        <v/>
      </c>
      <c r="K4180" s="24" t="str">
        <f t="shared" si="330"/>
        <v/>
      </c>
      <c r="L4180" s="25" t="str">
        <f t="shared" si="331"/>
        <v/>
      </c>
      <c r="O4180" s="33" t="str">
        <f t="shared" si="332"/>
        <v/>
      </c>
      <c r="P4180" s="33" t="str">
        <f t="shared" si="333"/>
        <v/>
      </c>
    </row>
    <row r="4181" spans="9:16">
      <c r="I4181" s="23" t="str">
        <f>_xlfn.IFNA(VLOOKUP(A4181,A$3524:$H4182,8,0),"")</f>
        <v/>
      </c>
      <c r="J4181" s="40" t="str">
        <f t="shared" si="334"/>
        <v/>
      </c>
      <c r="K4181" s="24" t="str">
        <f t="shared" si="330"/>
        <v/>
      </c>
      <c r="L4181" s="25" t="str">
        <f t="shared" si="331"/>
        <v/>
      </c>
      <c r="O4181" s="33" t="str">
        <f t="shared" si="332"/>
        <v/>
      </c>
      <c r="P4181" s="33" t="str">
        <f t="shared" si="333"/>
        <v/>
      </c>
    </row>
    <row r="4182" spans="9:16">
      <c r="I4182" s="23" t="str">
        <f>_xlfn.IFNA(VLOOKUP(A4182,A$3524:$H4183,8,0),"")</f>
        <v/>
      </c>
      <c r="J4182" s="40" t="str">
        <f t="shared" si="334"/>
        <v/>
      </c>
      <c r="K4182" s="24" t="str">
        <f t="shared" ref="K4182:K4245" si="335">IF(H4182="","",IFERROR((I4182-H4182)*24,0))</f>
        <v/>
      </c>
      <c r="L4182" s="25" t="str">
        <f t="shared" si="331"/>
        <v/>
      </c>
      <c r="O4182" s="33" t="str">
        <f t="shared" si="332"/>
        <v/>
      </c>
      <c r="P4182" s="33" t="str">
        <f t="shared" si="333"/>
        <v/>
      </c>
    </row>
    <row r="4183" spans="9:16">
      <c r="I4183" s="23" t="str">
        <f>_xlfn.IFNA(VLOOKUP(A4183,A$3524:$H4184,8,0),"")</f>
        <v/>
      </c>
      <c r="J4183" s="40" t="str">
        <f t="shared" si="334"/>
        <v/>
      </c>
      <c r="K4183" s="24" t="str">
        <f t="shared" si="335"/>
        <v/>
      </c>
      <c r="L4183" s="25" t="str">
        <f t="shared" si="331"/>
        <v/>
      </c>
      <c r="O4183" s="33" t="str">
        <f t="shared" si="332"/>
        <v/>
      </c>
      <c r="P4183" s="33" t="str">
        <f t="shared" si="333"/>
        <v/>
      </c>
    </row>
    <row r="4184" spans="9:16">
      <c r="I4184" s="23" t="str">
        <f>_xlfn.IFNA(VLOOKUP(A4184,A$3524:$H4185,8,0),"")</f>
        <v/>
      </c>
      <c r="J4184" s="40" t="str">
        <f t="shared" si="334"/>
        <v/>
      </c>
      <c r="K4184" s="24" t="str">
        <f t="shared" si="335"/>
        <v/>
      </c>
      <c r="L4184" s="25" t="str">
        <f t="shared" si="331"/>
        <v/>
      </c>
      <c r="O4184" s="33" t="str">
        <f t="shared" si="332"/>
        <v/>
      </c>
      <c r="P4184" s="33" t="str">
        <f t="shared" si="333"/>
        <v/>
      </c>
    </row>
    <row r="4185" spans="9:16">
      <c r="I4185" s="23" t="str">
        <f>_xlfn.IFNA(VLOOKUP(A4185,A$3524:$H4186,8,0),"")</f>
        <v/>
      </c>
      <c r="J4185" s="40" t="str">
        <f t="shared" si="334"/>
        <v/>
      </c>
      <c r="K4185" s="24" t="str">
        <f t="shared" si="335"/>
        <v/>
      </c>
      <c r="L4185" s="25" t="str">
        <f t="shared" si="331"/>
        <v/>
      </c>
      <c r="O4185" s="33" t="str">
        <f t="shared" si="332"/>
        <v/>
      </c>
      <c r="P4185" s="33" t="str">
        <f t="shared" si="333"/>
        <v/>
      </c>
    </row>
    <row r="4186" spans="9:16">
      <c r="I4186" s="23" t="str">
        <f>_xlfn.IFNA(VLOOKUP(A4186,A$3524:$H4187,8,0),"")</f>
        <v/>
      </c>
      <c r="J4186" s="40" t="str">
        <f t="shared" si="334"/>
        <v/>
      </c>
      <c r="K4186" s="24" t="str">
        <f t="shared" si="335"/>
        <v/>
      </c>
      <c r="L4186" s="25" t="str">
        <f t="shared" si="331"/>
        <v/>
      </c>
      <c r="O4186" s="33" t="str">
        <f t="shared" si="332"/>
        <v/>
      </c>
      <c r="P4186" s="33" t="str">
        <f t="shared" si="333"/>
        <v/>
      </c>
    </row>
    <row r="4187" spans="9:16">
      <c r="I4187" s="23" t="str">
        <f>_xlfn.IFNA(VLOOKUP(A4187,A$3524:$H4188,8,0),"")</f>
        <v/>
      </c>
      <c r="J4187" s="40" t="str">
        <f t="shared" si="334"/>
        <v/>
      </c>
      <c r="K4187" s="24" t="str">
        <f t="shared" si="335"/>
        <v/>
      </c>
      <c r="L4187" s="25" t="str">
        <f t="shared" si="331"/>
        <v/>
      </c>
      <c r="O4187" s="33" t="str">
        <f t="shared" si="332"/>
        <v/>
      </c>
      <c r="P4187" s="33" t="str">
        <f t="shared" si="333"/>
        <v/>
      </c>
    </row>
    <row r="4188" spans="9:16">
      <c r="I4188" s="23" t="str">
        <f>_xlfn.IFNA(VLOOKUP(A4188,A$3524:$H4189,8,0),"")</f>
        <v/>
      </c>
      <c r="J4188" s="40" t="str">
        <f t="shared" si="334"/>
        <v/>
      </c>
      <c r="K4188" s="24" t="str">
        <f t="shared" si="335"/>
        <v/>
      </c>
      <c r="L4188" s="25" t="str">
        <f t="shared" si="331"/>
        <v/>
      </c>
      <c r="O4188" s="33" t="str">
        <f t="shared" si="332"/>
        <v/>
      </c>
      <c r="P4188" s="33" t="str">
        <f t="shared" si="333"/>
        <v/>
      </c>
    </row>
    <row r="4189" spans="9:16">
      <c r="I4189" s="23" t="str">
        <f>_xlfn.IFNA(VLOOKUP(A4189,A$3524:$H4190,8,0),"")</f>
        <v/>
      </c>
      <c r="J4189" s="40" t="str">
        <f t="shared" si="334"/>
        <v/>
      </c>
      <c r="K4189" s="24" t="str">
        <f t="shared" si="335"/>
        <v/>
      </c>
      <c r="L4189" s="25" t="str">
        <f t="shared" si="331"/>
        <v/>
      </c>
      <c r="O4189" s="33" t="str">
        <f t="shared" si="332"/>
        <v/>
      </c>
      <c r="P4189" s="33" t="str">
        <f t="shared" si="333"/>
        <v/>
      </c>
    </row>
    <row r="4190" spans="9:16">
      <c r="I4190" s="23" t="str">
        <f>_xlfn.IFNA(VLOOKUP(A4190,A$3524:$H4191,8,0),"")</f>
        <v/>
      </c>
      <c r="J4190" s="40" t="str">
        <f t="shared" si="334"/>
        <v/>
      </c>
      <c r="K4190" s="24" t="str">
        <f t="shared" si="335"/>
        <v/>
      </c>
      <c r="L4190" s="25" t="str">
        <f t="shared" si="331"/>
        <v/>
      </c>
      <c r="O4190" s="33" t="str">
        <f t="shared" si="332"/>
        <v/>
      </c>
      <c r="P4190" s="33" t="str">
        <f t="shared" si="333"/>
        <v/>
      </c>
    </row>
    <row r="4191" spans="9:16">
      <c r="I4191" s="23" t="str">
        <f>_xlfn.IFNA(VLOOKUP(A4191,A$3524:$H4192,8,0),"")</f>
        <v/>
      </c>
      <c r="J4191" s="40" t="str">
        <f t="shared" si="334"/>
        <v/>
      </c>
      <c r="K4191" s="24" t="str">
        <f t="shared" si="335"/>
        <v/>
      </c>
      <c r="L4191" s="25" t="str">
        <f t="shared" si="331"/>
        <v/>
      </c>
      <c r="O4191" s="33" t="str">
        <f t="shared" si="332"/>
        <v/>
      </c>
      <c r="P4191" s="33" t="str">
        <f t="shared" si="333"/>
        <v/>
      </c>
    </row>
    <row r="4192" spans="9:16">
      <c r="I4192" s="23" t="str">
        <f>_xlfn.IFNA(VLOOKUP(A4192,A$3524:$H4193,8,0),"")</f>
        <v/>
      </c>
      <c r="J4192" s="40" t="str">
        <f t="shared" si="334"/>
        <v/>
      </c>
      <c r="K4192" s="24" t="str">
        <f t="shared" si="335"/>
        <v/>
      </c>
      <c r="L4192" s="25" t="str">
        <f t="shared" si="331"/>
        <v/>
      </c>
      <c r="O4192" s="33" t="str">
        <f t="shared" si="332"/>
        <v/>
      </c>
      <c r="P4192" s="33" t="str">
        <f t="shared" si="333"/>
        <v/>
      </c>
    </row>
    <row r="4193" spans="9:16">
      <c r="I4193" s="23" t="str">
        <f>_xlfn.IFNA(VLOOKUP(A4193,A$3524:$H4194,8,0),"")</f>
        <v/>
      </c>
      <c r="J4193" s="40" t="str">
        <f t="shared" si="334"/>
        <v/>
      </c>
      <c r="K4193" s="24" t="str">
        <f t="shared" si="335"/>
        <v/>
      </c>
      <c r="L4193" s="25" t="str">
        <f t="shared" si="331"/>
        <v/>
      </c>
      <c r="O4193" s="33" t="str">
        <f t="shared" si="332"/>
        <v/>
      </c>
      <c r="P4193" s="33" t="str">
        <f t="shared" si="333"/>
        <v/>
      </c>
    </row>
    <row r="4194" spans="9:16">
      <c r="I4194" s="23" t="str">
        <f>_xlfn.IFNA(VLOOKUP(A4194,A$3524:$H4195,8,0),"")</f>
        <v/>
      </c>
      <c r="J4194" s="40" t="str">
        <f t="shared" si="334"/>
        <v/>
      </c>
      <c r="K4194" s="24" t="str">
        <f t="shared" si="335"/>
        <v/>
      </c>
      <c r="L4194" s="25" t="str">
        <f t="shared" si="331"/>
        <v/>
      </c>
      <c r="O4194" s="33" t="str">
        <f t="shared" si="332"/>
        <v/>
      </c>
      <c r="P4194" s="33" t="str">
        <f t="shared" si="333"/>
        <v/>
      </c>
    </row>
    <row r="4195" spans="9:16">
      <c r="I4195" s="23" t="str">
        <f>_xlfn.IFNA(VLOOKUP(A4195,A$3524:$H4196,8,0),"")</f>
        <v/>
      </c>
      <c r="J4195" s="40" t="str">
        <f t="shared" si="334"/>
        <v/>
      </c>
      <c r="K4195" s="24" t="str">
        <f t="shared" si="335"/>
        <v/>
      </c>
      <c r="L4195" s="25" t="str">
        <f t="shared" si="331"/>
        <v/>
      </c>
      <c r="O4195" s="33" t="str">
        <f t="shared" si="332"/>
        <v/>
      </c>
      <c r="P4195" s="33" t="str">
        <f t="shared" si="333"/>
        <v/>
      </c>
    </row>
    <row r="4196" spans="9:16">
      <c r="I4196" s="23" t="str">
        <f>_xlfn.IFNA(VLOOKUP(A4196,A$3524:$H4197,8,0),"")</f>
        <v/>
      </c>
      <c r="J4196" s="40" t="str">
        <f t="shared" si="334"/>
        <v/>
      </c>
      <c r="K4196" s="24" t="str">
        <f t="shared" si="335"/>
        <v/>
      </c>
      <c r="L4196" s="25" t="str">
        <f t="shared" si="331"/>
        <v/>
      </c>
      <c r="O4196" s="33" t="str">
        <f t="shared" si="332"/>
        <v/>
      </c>
      <c r="P4196" s="33" t="str">
        <f t="shared" si="333"/>
        <v/>
      </c>
    </row>
    <row r="4197" spans="9:16">
      <c r="I4197" s="23" t="str">
        <f>_xlfn.IFNA(VLOOKUP(A4197,A$3524:$H4198,8,0),"")</f>
        <v/>
      </c>
      <c r="J4197" s="40" t="str">
        <f t="shared" si="334"/>
        <v/>
      </c>
      <c r="K4197" s="24" t="str">
        <f t="shared" si="335"/>
        <v/>
      </c>
      <c r="L4197" s="25" t="str">
        <f t="shared" si="331"/>
        <v/>
      </c>
      <c r="O4197" s="33" t="str">
        <f t="shared" si="332"/>
        <v/>
      </c>
      <c r="P4197" s="33" t="str">
        <f t="shared" si="333"/>
        <v/>
      </c>
    </row>
    <row r="4198" spans="9:16">
      <c r="I4198" s="23" t="str">
        <f>_xlfn.IFNA(VLOOKUP(A4198,A$3524:$H4199,8,0),"")</f>
        <v/>
      </c>
      <c r="J4198" s="40" t="str">
        <f t="shared" si="334"/>
        <v/>
      </c>
      <c r="K4198" s="24" t="str">
        <f t="shared" si="335"/>
        <v/>
      </c>
      <c r="L4198" s="25" t="str">
        <f t="shared" si="331"/>
        <v/>
      </c>
      <c r="O4198" s="33" t="str">
        <f t="shared" si="332"/>
        <v/>
      </c>
      <c r="P4198" s="33" t="str">
        <f t="shared" si="333"/>
        <v/>
      </c>
    </row>
    <row r="4199" spans="9:16">
      <c r="I4199" s="23" t="str">
        <f>_xlfn.IFNA(VLOOKUP(A4199,A$3524:$H4200,8,0),"")</f>
        <v/>
      </c>
      <c r="J4199" s="40" t="str">
        <f t="shared" si="334"/>
        <v/>
      </c>
      <c r="K4199" s="24" t="str">
        <f t="shared" si="335"/>
        <v/>
      </c>
      <c r="L4199" s="25" t="str">
        <f t="shared" si="331"/>
        <v/>
      </c>
      <c r="O4199" s="33" t="str">
        <f t="shared" si="332"/>
        <v/>
      </c>
      <c r="P4199" s="33" t="str">
        <f t="shared" si="333"/>
        <v/>
      </c>
    </row>
    <row r="4200" spans="9:16">
      <c r="I4200" s="23" t="str">
        <f>_xlfn.IFNA(VLOOKUP(A4200,A$3524:$H4201,8,0),"")</f>
        <v/>
      </c>
      <c r="J4200" s="40" t="str">
        <f t="shared" si="334"/>
        <v/>
      </c>
      <c r="K4200" s="24" t="str">
        <f t="shared" si="335"/>
        <v/>
      </c>
      <c r="L4200" s="25" t="str">
        <f t="shared" si="331"/>
        <v/>
      </c>
      <c r="O4200" s="33" t="str">
        <f t="shared" si="332"/>
        <v/>
      </c>
      <c r="P4200" s="33" t="str">
        <f t="shared" si="333"/>
        <v/>
      </c>
    </row>
    <row r="4201" spans="9:16">
      <c r="I4201" s="23" t="str">
        <f>_xlfn.IFNA(VLOOKUP(A4201,A$3524:$H4202,8,0),"")</f>
        <v/>
      </c>
      <c r="J4201" s="40" t="str">
        <f t="shared" si="334"/>
        <v/>
      </c>
      <c r="K4201" s="24" t="str">
        <f t="shared" si="335"/>
        <v/>
      </c>
      <c r="L4201" s="25" t="str">
        <f t="shared" si="331"/>
        <v/>
      </c>
      <c r="O4201" s="33" t="str">
        <f t="shared" si="332"/>
        <v/>
      </c>
      <c r="P4201" s="33" t="str">
        <f t="shared" si="333"/>
        <v/>
      </c>
    </row>
    <row r="4202" spans="9:16">
      <c r="I4202" s="23" t="str">
        <f>_xlfn.IFNA(VLOOKUP(A4202,A$3524:$H4203,8,0),"")</f>
        <v/>
      </c>
      <c r="J4202" s="40" t="str">
        <f t="shared" si="334"/>
        <v/>
      </c>
      <c r="K4202" s="24" t="str">
        <f t="shared" si="335"/>
        <v/>
      </c>
      <c r="L4202" s="25" t="str">
        <f t="shared" si="331"/>
        <v/>
      </c>
      <c r="O4202" s="33" t="str">
        <f t="shared" si="332"/>
        <v/>
      </c>
      <c r="P4202" s="33" t="str">
        <f t="shared" si="333"/>
        <v/>
      </c>
    </row>
    <row r="4203" spans="9:16">
      <c r="I4203" s="23" t="str">
        <f>_xlfn.IFNA(VLOOKUP(A4203,A$3524:$H4204,8,0),"")</f>
        <v/>
      </c>
      <c r="J4203" s="40" t="str">
        <f t="shared" si="334"/>
        <v/>
      </c>
      <c r="K4203" s="24" t="str">
        <f t="shared" si="335"/>
        <v/>
      </c>
      <c r="L4203" s="25" t="str">
        <f t="shared" si="331"/>
        <v/>
      </c>
      <c r="O4203" s="33" t="str">
        <f t="shared" si="332"/>
        <v/>
      </c>
      <c r="P4203" s="33" t="str">
        <f t="shared" si="333"/>
        <v/>
      </c>
    </row>
    <row r="4204" spans="9:16">
      <c r="I4204" s="23" t="str">
        <f>_xlfn.IFNA(VLOOKUP(A4204,A$3524:$H4205,8,0),"")</f>
        <v/>
      </c>
      <c r="J4204" s="40" t="str">
        <f t="shared" si="334"/>
        <v/>
      </c>
      <c r="K4204" s="24" t="str">
        <f t="shared" si="335"/>
        <v/>
      </c>
      <c r="L4204" s="25" t="str">
        <f t="shared" si="331"/>
        <v/>
      </c>
      <c r="O4204" s="33" t="str">
        <f t="shared" si="332"/>
        <v/>
      </c>
      <c r="P4204" s="33" t="str">
        <f t="shared" si="333"/>
        <v/>
      </c>
    </row>
    <row r="4205" spans="9:16">
      <c r="I4205" s="23" t="str">
        <f>_xlfn.IFNA(VLOOKUP(A4205,A$3524:$H4206,8,0),"")</f>
        <v/>
      </c>
      <c r="J4205" s="40" t="str">
        <f t="shared" si="334"/>
        <v/>
      </c>
      <c r="K4205" s="24" t="str">
        <f t="shared" si="335"/>
        <v/>
      </c>
      <c r="L4205" s="25" t="str">
        <f t="shared" si="331"/>
        <v/>
      </c>
      <c r="O4205" s="33" t="str">
        <f t="shared" si="332"/>
        <v/>
      </c>
      <c r="P4205" s="33" t="str">
        <f t="shared" si="333"/>
        <v/>
      </c>
    </row>
    <row r="4206" spans="9:16">
      <c r="I4206" s="23" t="str">
        <f>_xlfn.IFNA(VLOOKUP(A4206,A$3524:$H4207,8,0),"")</f>
        <v/>
      </c>
      <c r="J4206" s="40" t="str">
        <f t="shared" si="334"/>
        <v/>
      </c>
      <c r="K4206" s="24" t="str">
        <f t="shared" si="335"/>
        <v/>
      </c>
      <c r="L4206" s="25" t="str">
        <f t="shared" si="331"/>
        <v/>
      </c>
      <c r="O4206" s="33" t="str">
        <f t="shared" si="332"/>
        <v/>
      </c>
      <c r="P4206" s="33" t="str">
        <f t="shared" si="333"/>
        <v/>
      </c>
    </row>
    <row r="4207" spans="9:16">
      <c r="I4207" s="23" t="str">
        <f>_xlfn.IFNA(VLOOKUP(A4207,A$3524:$H4208,8,0),"")</f>
        <v/>
      </c>
      <c r="J4207" s="40" t="str">
        <f t="shared" si="334"/>
        <v/>
      </c>
      <c r="K4207" s="24" t="str">
        <f t="shared" si="335"/>
        <v/>
      </c>
      <c r="L4207" s="25" t="str">
        <f t="shared" si="331"/>
        <v/>
      </c>
      <c r="O4207" s="33" t="str">
        <f t="shared" si="332"/>
        <v/>
      </c>
      <c r="P4207" s="33" t="str">
        <f t="shared" si="333"/>
        <v/>
      </c>
    </row>
    <row r="4208" spans="9:16">
      <c r="I4208" s="23" t="str">
        <f>_xlfn.IFNA(VLOOKUP(A4208,A$3524:$H4209,8,0),"")</f>
        <v/>
      </c>
      <c r="J4208" s="40" t="str">
        <f t="shared" si="334"/>
        <v/>
      </c>
      <c r="K4208" s="24" t="str">
        <f t="shared" si="335"/>
        <v/>
      </c>
      <c r="L4208" s="25" t="str">
        <f t="shared" si="331"/>
        <v/>
      </c>
      <c r="O4208" s="33" t="str">
        <f t="shared" si="332"/>
        <v/>
      </c>
      <c r="P4208" s="33" t="str">
        <f t="shared" si="333"/>
        <v/>
      </c>
    </row>
    <row r="4209" spans="9:16">
      <c r="I4209" s="23" t="str">
        <f>_xlfn.IFNA(VLOOKUP(A4209,A$3524:$H4210,8,0),"")</f>
        <v/>
      </c>
      <c r="J4209" s="40" t="str">
        <f t="shared" si="334"/>
        <v/>
      </c>
      <c r="K4209" s="24" t="str">
        <f t="shared" si="335"/>
        <v/>
      </c>
      <c r="L4209" s="25" t="str">
        <f t="shared" si="331"/>
        <v/>
      </c>
      <c r="O4209" s="33" t="str">
        <f t="shared" si="332"/>
        <v/>
      </c>
      <c r="P4209" s="33" t="str">
        <f t="shared" si="333"/>
        <v/>
      </c>
    </row>
    <row r="4210" spans="9:16">
      <c r="I4210" s="23" t="str">
        <f>_xlfn.IFNA(VLOOKUP(A4210,A$3524:$H4211,8,0),"")</f>
        <v/>
      </c>
      <c r="J4210" s="40" t="str">
        <f t="shared" si="334"/>
        <v/>
      </c>
      <c r="K4210" s="24" t="str">
        <f t="shared" si="335"/>
        <v/>
      </c>
      <c r="L4210" s="25" t="str">
        <f t="shared" si="331"/>
        <v/>
      </c>
      <c r="O4210" s="33" t="str">
        <f t="shared" si="332"/>
        <v/>
      </c>
      <c r="P4210" s="33" t="str">
        <f t="shared" si="333"/>
        <v/>
      </c>
    </row>
    <row r="4211" spans="9:16">
      <c r="I4211" s="23" t="str">
        <f>_xlfn.IFNA(VLOOKUP(A4211,A$3524:$H4212,8,0),"")</f>
        <v/>
      </c>
      <c r="J4211" s="40" t="str">
        <f t="shared" si="334"/>
        <v/>
      </c>
      <c r="K4211" s="24" t="str">
        <f t="shared" si="335"/>
        <v/>
      </c>
      <c r="L4211" s="25" t="str">
        <f t="shared" si="331"/>
        <v/>
      </c>
      <c r="O4211" s="33" t="str">
        <f t="shared" si="332"/>
        <v/>
      </c>
      <c r="P4211" s="33" t="str">
        <f t="shared" si="333"/>
        <v/>
      </c>
    </row>
    <row r="4212" spans="9:16">
      <c r="I4212" s="23" t="str">
        <f>_xlfn.IFNA(VLOOKUP(A4212,A$3524:$H4213,8,0),"")</f>
        <v/>
      </c>
      <c r="J4212" s="40" t="str">
        <f t="shared" si="334"/>
        <v/>
      </c>
      <c r="K4212" s="24" t="str">
        <f t="shared" si="335"/>
        <v/>
      </c>
      <c r="L4212" s="25" t="str">
        <f t="shared" si="331"/>
        <v/>
      </c>
      <c r="O4212" s="33" t="str">
        <f t="shared" si="332"/>
        <v/>
      </c>
      <c r="P4212" s="33" t="str">
        <f t="shared" si="333"/>
        <v/>
      </c>
    </row>
    <row r="4213" spans="9:16">
      <c r="I4213" s="23" t="str">
        <f>_xlfn.IFNA(VLOOKUP(A4213,A$3524:$H4214,8,0),"")</f>
        <v/>
      </c>
      <c r="J4213" s="40" t="str">
        <f t="shared" si="334"/>
        <v/>
      </c>
      <c r="K4213" s="24" t="str">
        <f t="shared" si="335"/>
        <v/>
      </c>
      <c r="L4213" s="25" t="str">
        <f t="shared" si="331"/>
        <v/>
      </c>
      <c r="O4213" s="33" t="str">
        <f t="shared" si="332"/>
        <v/>
      </c>
      <c r="P4213" s="33" t="str">
        <f t="shared" si="333"/>
        <v/>
      </c>
    </row>
    <row r="4214" spans="9:16">
      <c r="I4214" s="23" t="str">
        <f>_xlfn.IFNA(VLOOKUP(A4214,A$3524:$H4215,8,0),"")</f>
        <v/>
      </c>
      <c r="J4214" s="40" t="str">
        <f t="shared" si="334"/>
        <v/>
      </c>
      <c r="K4214" s="24" t="str">
        <f t="shared" si="335"/>
        <v/>
      </c>
      <c r="L4214" s="25" t="str">
        <f t="shared" si="331"/>
        <v/>
      </c>
      <c r="O4214" s="33" t="str">
        <f t="shared" si="332"/>
        <v/>
      </c>
      <c r="P4214" s="33" t="str">
        <f t="shared" si="333"/>
        <v/>
      </c>
    </row>
    <row r="4215" spans="9:16">
      <c r="I4215" s="23" t="str">
        <f>_xlfn.IFNA(VLOOKUP(A4215,A$3524:$H4216,8,0),"")</f>
        <v/>
      </c>
      <c r="J4215" s="40" t="str">
        <f t="shared" si="334"/>
        <v/>
      </c>
      <c r="K4215" s="24" t="str">
        <f t="shared" si="335"/>
        <v/>
      </c>
      <c r="L4215" s="25" t="str">
        <f t="shared" ref="L4215:L4278" si="336">IF(K4215="","",IF(B4215="Break","Break",IF(K4215&lt;&gt;0,"Work Finished",IF(B4215="OFF","Work Finished",IF(I4215="","Working","Work Finished")))))</f>
        <v/>
      </c>
      <c r="O4215" s="33" t="str">
        <f t="shared" ref="O4215:O4278" si="337">IF(AND(J4215="",M4215="",N4215=""),"",J4215-M4215-N4215)</f>
        <v/>
      </c>
      <c r="P4215" s="33" t="str">
        <f t="shared" ref="P4215:P4278" si="338">IF(HOUR(H4215)=0,"",HOUR(H4215))</f>
        <v/>
      </c>
    </row>
    <row r="4216" spans="9:16">
      <c r="I4216" s="23" t="str">
        <f>_xlfn.IFNA(VLOOKUP(A4216,A$3524:$H4217,8,0),"")</f>
        <v/>
      </c>
      <c r="J4216" s="40" t="str">
        <f t="shared" si="334"/>
        <v/>
      </c>
      <c r="K4216" s="24" t="str">
        <f t="shared" si="335"/>
        <v/>
      </c>
      <c r="L4216" s="25" t="str">
        <f t="shared" si="336"/>
        <v/>
      </c>
      <c r="O4216" s="33" t="str">
        <f t="shared" si="337"/>
        <v/>
      </c>
      <c r="P4216" s="33" t="str">
        <f t="shared" si="338"/>
        <v/>
      </c>
    </row>
    <row r="4217" spans="9:16">
      <c r="I4217" s="23" t="str">
        <f>_xlfn.IFNA(VLOOKUP(A4217,A$3524:$H4218,8,0),"")</f>
        <v/>
      </c>
      <c r="J4217" s="40" t="str">
        <f t="shared" si="334"/>
        <v/>
      </c>
      <c r="K4217" s="24" t="str">
        <f t="shared" si="335"/>
        <v/>
      </c>
      <c r="L4217" s="25" t="str">
        <f t="shared" si="336"/>
        <v/>
      </c>
      <c r="O4217" s="33" t="str">
        <f t="shared" si="337"/>
        <v/>
      </c>
      <c r="P4217" s="33" t="str">
        <f t="shared" si="338"/>
        <v/>
      </c>
    </row>
    <row r="4218" spans="9:16">
      <c r="I4218" s="23" t="str">
        <f>_xlfn.IFNA(VLOOKUP(A4218,A$3524:$H4219,8,0),"")</f>
        <v/>
      </c>
      <c r="J4218" s="40" t="str">
        <f t="shared" si="334"/>
        <v/>
      </c>
      <c r="K4218" s="24" t="str">
        <f t="shared" si="335"/>
        <v/>
      </c>
      <c r="L4218" s="25" t="str">
        <f t="shared" si="336"/>
        <v/>
      </c>
      <c r="O4218" s="33" t="str">
        <f t="shared" si="337"/>
        <v/>
      </c>
      <c r="P4218" s="33" t="str">
        <f t="shared" si="338"/>
        <v/>
      </c>
    </row>
    <row r="4219" spans="9:16">
      <c r="I4219" s="23" t="str">
        <f>_xlfn.IFNA(VLOOKUP(A4219,A$3524:$H4220,8,0),"")</f>
        <v/>
      </c>
      <c r="J4219" s="40" t="str">
        <f t="shared" si="334"/>
        <v/>
      </c>
      <c r="K4219" s="24" t="str">
        <f t="shared" si="335"/>
        <v/>
      </c>
      <c r="L4219" s="25" t="str">
        <f t="shared" si="336"/>
        <v/>
      </c>
      <c r="O4219" s="33" t="str">
        <f t="shared" si="337"/>
        <v/>
      </c>
      <c r="P4219" s="33" t="str">
        <f t="shared" si="338"/>
        <v/>
      </c>
    </row>
    <row r="4220" spans="9:16">
      <c r="I4220" s="23" t="str">
        <f>_xlfn.IFNA(VLOOKUP(A4220,A$3524:$H4221,8,0),"")</f>
        <v/>
      </c>
      <c r="J4220" s="40" t="str">
        <f t="shared" si="334"/>
        <v/>
      </c>
      <c r="K4220" s="24" t="str">
        <f t="shared" si="335"/>
        <v/>
      </c>
      <c r="L4220" s="25" t="str">
        <f t="shared" si="336"/>
        <v/>
      </c>
      <c r="O4220" s="33" t="str">
        <f t="shared" si="337"/>
        <v/>
      </c>
      <c r="P4220" s="33" t="str">
        <f t="shared" si="338"/>
        <v/>
      </c>
    </row>
    <row r="4221" spans="9:16">
      <c r="I4221" s="23" t="str">
        <f>_xlfn.IFNA(VLOOKUP(A4221,A$3524:$H4222,8,0),"")</f>
        <v/>
      </c>
      <c r="J4221" s="40" t="str">
        <f t="shared" si="334"/>
        <v/>
      </c>
      <c r="K4221" s="24" t="str">
        <f t="shared" si="335"/>
        <v/>
      </c>
      <c r="L4221" s="25" t="str">
        <f t="shared" si="336"/>
        <v/>
      </c>
      <c r="O4221" s="33" t="str">
        <f t="shared" si="337"/>
        <v/>
      </c>
      <c r="P4221" s="33" t="str">
        <f t="shared" si="338"/>
        <v/>
      </c>
    </row>
    <row r="4222" spans="9:16">
      <c r="I4222" s="23" t="str">
        <f>_xlfn.IFNA(VLOOKUP(A4222,A$3524:$H4223,8,0),"")</f>
        <v/>
      </c>
      <c r="J4222" s="40" t="str">
        <f t="shared" si="334"/>
        <v/>
      </c>
      <c r="K4222" s="24" t="str">
        <f t="shared" si="335"/>
        <v/>
      </c>
      <c r="L4222" s="25" t="str">
        <f t="shared" si="336"/>
        <v/>
      </c>
      <c r="O4222" s="33" t="str">
        <f t="shared" si="337"/>
        <v/>
      </c>
      <c r="P4222" s="33" t="str">
        <f t="shared" si="338"/>
        <v/>
      </c>
    </row>
    <row r="4223" spans="9:16">
      <c r="I4223" s="23" t="str">
        <f>_xlfn.IFNA(VLOOKUP(A4223,A$3524:$H4224,8,0),"")</f>
        <v/>
      </c>
      <c r="J4223" s="40" t="str">
        <f t="shared" si="334"/>
        <v/>
      </c>
      <c r="K4223" s="24" t="str">
        <f t="shared" si="335"/>
        <v/>
      </c>
      <c r="L4223" s="25" t="str">
        <f t="shared" si="336"/>
        <v/>
      </c>
      <c r="O4223" s="33" t="str">
        <f t="shared" si="337"/>
        <v/>
      </c>
      <c r="P4223" s="33" t="str">
        <f t="shared" si="338"/>
        <v/>
      </c>
    </row>
    <row r="4224" spans="9:16">
      <c r="I4224" s="23" t="str">
        <f>_xlfn.IFNA(VLOOKUP(A4224,A$3524:$H4225,8,0),"")</f>
        <v/>
      </c>
      <c r="J4224" s="40" t="str">
        <f t="shared" si="334"/>
        <v/>
      </c>
      <c r="K4224" s="24" t="str">
        <f t="shared" si="335"/>
        <v/>
      </c>
      <c r="L4224" s="25" t="str">
        <f t="shared" si="336"/>
        <v/>
      </c>
      <c r="O4224" s="33" t="str">
        <f t="shared" si="337"/>
        <v/>
      </c>
      <c r="P4224" s="33" t="str">
        <f t="shared" si="338"/>
        <v/>
      </c>
    </row>
    <row r="4225" spans="9:16">
      <c r="I4225" s="23" t="str">
        <f>_xlfn.IFNA(VLOOKUP(A4225,A$3524:$H4226,8,0),"")</f>
        <v/>
      </c>
      <c r="J4225" s="40" t="str">
        <f t="shared" si="334"/>
        <v/>
      </c>
      <c r="K4225" s="24" t="str">
        <f t="shared" si="335"/>
        <v/>
      </c>
      <c r="L4225" s="25" t="str">
        <f t="shared" si="336"/>
        <v/>
      </c>
      <c r="O4225" s="33" t="str">
        <f t="shared" si="337"/>
        <v/>
      </c>
      <c r="P4225" s="33" t="str">
        <f t="shared" si="338"/>
        <v/>
      </c>
    </row>
    <row r="4226" spans="9:16">
      <c r="I4226" s="23" t="str">
        <f>_xlfn.IFNA(VLOOKUP(A4226,A$3524:$H4227,8,0),"")</f>
        <v/>
      </c>
      <c r="J4226" s="40" t="str">
        <f t="shared" si="334"/>
        <v/>
      </c>
      <c r="K4226" s="24" t="str">
        <f t="shared" si="335"/>
        <v/>
      </c>
      <c r="L4226" s="25" t="str">
        <f t="shared" si="336"/>
        <v/>
      </c>
      <c r="O4226" s="33" t="str">
        <f t="shared" si="337"/>
        <v/>
      </c>
      <c r="P4226" s="33" t="str">
        <f t="shared" si="338"/>
        <v/>
      </c>
    </row>
    <row r="4227" spans="9:16">
      <c r="I4227" s="23" t="str">
        <f>_xlfn.IFNA(VLOOKUP(A4227,A$3524:$H4228,8,0),"")</f>
        <v/>
      </c>
      <c r="J4227" s="40" t="str">
        <f t="shared" si="334"/>
        <v/>
      </c>
      <c r="K4227" s="24" t="str">
        <f t="shared" si="335"/>
        <v/>
      </c>
      <c r="L4227" s="25" t="str">
        <f t="shared" si="336"/>
        <v/>
      </c>
      <c r="O4227" s="33" t="str">
        <f t="shared" si="337"/>
        <v/>
      </c>
      <c r="P4227" s="33" t="str">
        <f t="shared" si="338"/>
        <v/>
      </c>
    </row>
    <row r="4228" spans="9:16">
      <c r="I4228" s="23" t="str">
        <f>_xlfn.IFNA(VLOOKUP(A4228,A$3524:$H4229,8,0),"")</f>
        <v/>
      </c>
      <c r="J4228" s="40" t="str">
        <f t="shared" si="334"/>
        <v/>
      </c>
      <c r="K4228" s="24" t="str">
        <f t="shared" si="335"/>
        <v/>
      </c>
      <c r="L4228" s="25" t="str">
        <f t="shared" si="336"/>
        <v/>
      </c>
      <c r="O4228" s="33" t="str">
        <f t="shared" si="337"/>
        <v/>
      </c>
      <c r="P4228" s="33" t="str">
        <f t="shared" si="338"/>
        <v/>
      </c>
    </row>
    <row r="4229" spans="9:16">
      <c r="I4229" s="23" t="str">
        <f>_xlfn.IFNA(VLOOKUP(A4229,A$3524:$H4230,8,0),"")</f>
        <v/>
      </c>
      <c r="J4229" s="40" t="str">
        <f t="shared" si="334"/>
        <v/>
      </c>
      <c r="K4229" s="24" t="str">
        <f t="shared" si="335"/>
        <v/>
      </c>
      <c r="L4229" s="25" t="str">
        <f t="shared" si="336"/>
        <v/>
      </c>
      <c r="O4229" s="33" t="str">
        <f t="shared" si="337"/>
        <v/>
      </c>
      <c r="P4229" s="33" t="str">
        <f t="shared" si="338"/>
        <v/>
      </c>
    </row>
    <row r="4230" spans="9:16">
      <c r="I4230" s="23" t="str">
        <f>_xlfn.IFNA(VLOOKUP(A4230,A$3524:$H4231,8,0),"")</f>
        <v/>
      </c>
      <c r="J4230" s="40" t="str">
        <f t="shared" ref="J4230:J4293" si="339">IF(B4230="OFF",0,IF(AND(D4230&lt;&gt;"",E4230&lt;&gt;""),E4230-D4230+1,""))</f>
        <v/>
      </c>
      <c r="K4230" s="24" t="str">
        <f t="shared" si="335"/>
        <v/>
      </c>
      <c r="L4230" s="25" t="str">
        <f t="shared" si="336"/>
        <v/>
      </c>
      <c r="O4230" s="33" t="str">
        <f t="shared" si="337"/>
        <v/>
      </c>
      <c r="P4230" s="33" t="str">
        <f t="shared" si="338"/>
        <v/>
      </c>
    </row>
    <row r="4231" spans="9:16">
      <c r="I4231" s="23" t="str">
        <f>_xlfn.IFNA(VLOOKUP(A4231,A$3524:$H4232,8,0),"")</f>
        <v/>
      </c>
      <c r="J4231" s="40" t="str">
        <f t="shared" si="339"/>
        <v/>
      </c>
      <c r="K4231" s="24" t="str">
        <f t="shared" si="335"/>
        <v/>
      </c>
      <c r="L4231" s="25" t="str">
        <f t="shared" si="336"/>
        <v/>
      </c>
      <c r="O4231" s="33" t="str">
        <f t="shared" si="337"/>
        <v/>
      </c>
      <c r="P4231" s="33" t="str">
        <f t="shared" si="338"/>
        <v/>
      </c>
    </row>
    <row r="4232" spans="9:16">
      <c r="I4232" s="23" t="str">
        <f>_xlfn.IFNA(VLOOKUP(A4232,A$3524:$H4233,8,0),"")</f>
        <v/>
      </c>
      <c r="J4232" s="40" t="str">
        <f t="shared" si="339"/>
        <v/>
      </c>
      <c r="K4232" s="24" t="str">
        <f t="shared" si="335"/>
        <v/>
      </c>
      <c r="L4232" s="25" t="str">
        <f t="shared" si="336"/>
        <v/>
      </c>
      <c r="O4232" s="33" t="str">
        <f t="shared" si="337"/>
        <v/>
      </c>
      <c r="P4232" s="33" t="str">
        <f t="shared" si="338"/>
        <v/>
      </c>
    </row>
    <row r="4233" spans="9:16">
      <c r="I4233" s="23" t="str">
        <f>_xlfn.IFNA(VLOOKUP(A4233,A$3524:$H4234,8,0),"")</f>
        <v/>
      </c>
      <c r="J4233" s="40" t="str">
        <f t="shared" si="339"/>
        <v/>
      </c>
      <c r="K4233" s="24" t="str">
        <f t="shared" si="335"/>
        <v/>
      </c>
      <c r="L4233" s="25" t="str">
        <f t="shared" si="336"/>
        <v/>
      </c>
      <c r="O4233" s="33" t="str">
        <f t="shared" si="337"/>
        <v/>
      </c>
      <c r="P4233" s="33" t="str">
        <f t="shared" si="338"/>
        <v/>
      </c>
    </row>
    <row r="4234" spans="9:16">
      <c r="I4234" s="23" t="str">
        <f>_xlfn.IFNA(VLOOKUP(A4234,A$3524:$H4235,8,0),"")</f>
        <v/>
      </c>
      <c r="J4234" s="40" t="str">
        <f t="shared" si="339"/>
        <v/>
      </c>
      <c r="K4234" s="24" t="str">
        <f t="shared" si="335"/>
        <v/>
      </c>
      <c r="L4234" s="25" t="str">
        <f t="shared" si="336"/>
        <v/>
      </c>
      <c r="O4234" s="33" t="str">
        <f t="shared" si="337"/>
        <v/>
      </c>
      <c r="P4234" s="33" t="str">
        <f t="shared" si="338"/>
        <v/>
      </c>
    </row>
    <row r="4235" spans="9:16">
      <c r="I4235" s="23" t="str">
        <f>_xlfn.IFNA(VLOOKUP(A4235,A$3524:$H4236,8,0),"")</f>
        <v/>
      </c>
      <c r="J4235" s="40" t="str">
        <f t="shared" si="339"/>
        <v/>
      </c>
      <c r="K4235" s="24" t="str">
        <f t="shared" si="335"/>
        <v/>
      </c>
      <c r="L4235" s="25" t="str">
        <f t="shared" si="336"/>
        <v/>
      </c>
      <c r="O4235" s="33" t="str">
        <f t="shared" si="337"/>
        <v/>
      </c>
      <c r="P4235" s="33" t="str">
        <f t="shared" si="338"/>
        <v/>
      </c>
    </row>
    <row r="4236" spans="9:16">
      <c r="I4236" s="23" t="str">
        <f>_xlfn.IFNA(VLOOKUP(A4236,A$3524:$H4237,8,0),"")</f>
        <v/>
      </c>
      <c r="J4236" s="40" t="str">
        <f t="shared" si="339"/>
        <v/>
      </c>
      <c r="K4236" s="24" t="str">
        <f t="shared" si="335"/>
        <v/>
      </c>
      <c r="L4236" s="25" t="str">
        <f t="shared" si="336"/>
        <v/>
      </c>
      <c r="O4236" s="33" t="str">
        <f t="shared" si="337"/>
        <v/>
      </c>
      <c r="P4236" s="33" t="str">
        <f t="shared" si="338"/>
        <v/>
      </c>
    </row>
    <row r="4237" spans="9:16">
      <c r="I4237" s="23" t="str">
        <f>_xlfn.IFNA(VLOOKUP(A4237,A$3524:$H4238,8,0),"")</f>
        <v/>
      </c>
      <c r="J4237" s="40" t="str">
        <f t="shared" si="339"/>
        <v/>
      </c>
      <c r="K4237" s="24" t="str">
        <f t="shared" si="335"/>
        <v/>
      </c>
      <c r="L4237" s="25" t="str">
        <f t="shared" si="336"/>
        <v/>
      </c>
      <c r="O4237" s="33" t="str">
        <f t="shared" si="337"/>
        <v/>
      </c>
      <c r="P4237" s="33" t="str">
        <f t="shared" si="338"/>
        <v/>
      </c>
    </row>
    <row r="4238" spans="9:16">
      <c r="I4238" s="23" t="str">
        <f>_xlfn.IFNA(VLOOKUP(A4238,A$3524:$H4239,8,0),"")</f>
        <v/>
      </c>
      <c r="J4238" s="40" t="str">
        <f t="shared" si="339"/>
        <v/>
      </c>
      <c r="K4238" s="24" t="str">
        <f t="shared" si="335"/>
        <v/>
      </c>
      <c r="L4238" s="25" t="str">
        <f t="shared" si="336"/>
        <v/>
      </c>
      <c r="O4238" s="33" t="str">
        <f t="shared" si="337"/>
        <v/>
      </c>
      <c r="P4238" s="33" t="str">
        <f t="shared" si="338"/>
        <v/>
      </c>
    </row>
    <row r="4239" spans="9:16">
      <c r="I4239" s="23" t="str">
        <f>_xlfn.IFNA(VLOOKUP(A4239,A$3524:$H4240,8,0),"")</f>
        <v/>
      </c>
      <c r="J4239" s="40" t="str">
        <f t="shared" si="339"/>
        <v/>
      </c>
      <c r="K4239" s="24" t="str">
        <f t="shared" si="335"/>
        <v/>
      </c>
      <c r="L4239" s="25" t="str">
        <f t="shared" si="336"/>
        <v/>
      </c>
      <c r="O4239" s="33" t="str">
        <f t="shared" si="337"/>
        <v/>
      </c>
      <c r="P4239" s="33" t="str">
        <f t="shared" si="338"/>
        <v/>
      </c>
    </row>
    <row r="4240" spans="9:16">
      <c r="I4240" s="23" t="str">
        <f>_xlfn.IFNA(VLOOKUP(A4240,A$3524:$H4241,8,0),"")</f>
        <v/>
      </c>
      <c r="J4240" s="40" t="str">
        <f t="shared" si="339"/>
        <v/>
      </c>
      <c r="K4240" s="24" t="str">
        <f t="shared" si="335"/>
        <v/>
      </c>
      <c r="L4240" s="25" t="str">
        <f t="shared" si="336"/>
        <v/>
      </c>
      <c r="O4240" s="33" t="str">
        <f t="shared" si="337"/>
        <v/>
      </c>
      <c r="P4240" s="33" t="str">
        <f t="shared" si="338"/>
        <v/>
      </c>
    </row>
    <row r="4241" spans="9:16">
      <c r="I4241" s="23" t="str">
        <f>_xlfn.IFNA(VLOOKUP(A4241,A$3524:$H4242,8,0),"")</f>
        <v/>
      </c>
      <c r="J4241" s="40" t="str">
        <f t="shared" si="339"/>
        <v/>
      </c>
      <c r="K4241" s="24" t="str">
        <f t="shared" si="335"/>
        <v/>
      </c>
      <c r="L4241" s="25" t="str">
        <f t="shared" si="336"/>
        <v/>
      </c>
      <c r="O4241" s="33" t="str">
        <f t="shared" si="337"/>
        <v/>
      </c>
      <c r="P4241" s="33" t="str">
        <f t="shared" si="338"/>
        <v/>
      </c>
    </row>
    <row r="4242" spans="9:16">
      <c r="I4242" s="23" t="str">
        <f>_xlfn.IFNA(VLOOKUP(A4242,A$3524:$H4243,8,0),"")</f>
        <v/>
      </c>
      <c r="J4242" s="40" t="str">
        <f t="shared" si="339"/>
        <v/>
      </c>
      <c r="K4242" s="24" t="str">
        <f t="shared" si="335"/>
        <v/>
      </c>
      <c r="L4242" s="25" t="str">
        <f t="shared" si="336"/>
        <v/>
      </c>
      <c r="O4242" s="33" t="str">
        <f t="shared" si="337"/>
        <v/>
      </c>
      <c r="P4242" s="33" t="str">
        <f t="shared" si="338"/>
        <v/>
      </c>
    </row>
    <row r="4243" spans="9:16">
      <c r="I4243" s="23" t="str">
        <f>_xlfn.IFNA(VLOOKUP(A4243,A$3524:$H4244,8,0),"")</f>
        <v/>
      </c>
      <c r="J4243" s="40" t="str">
        <f t="shared" si="339"/>
        <v/>
      </c>
      <c r="K4243" s="24" t="str">
        <f t="shared" si="335"/>
        <v/>
      </c>
      <c r="L4243" s="25" t="str">
        <f t="shared" si="336"/>
        <v/>
      </c>
      <c r="O4243" s="33" t="str">
        <f t="shared" si="337"/>
        <v/>
      </c>
      <c r="P4243" s="33" t="str">
        <f t="shared" si="338"/>
        <v/>
      </c>
    </row>
    <row r="4244" spans="9:16">
      <c r="I4244" s="23" t="str">
        <f>_xlfn.IFNA(VLOOKUP(A4244,A$3524:$H4245,8,0),"")</f>
        <v/>
      </c>
      <c r="J4244" s="40" t="str">
        <f t="shared" si="339"/>
        <v/>
      </c>
      <c r="K4244" s="24" t="str">
        <f t="shared" si="335"/>
        <v/>
      </c>
      <c r="L4244" s="25" t="str">
        <f t="shared" si="336"/>
        <v/>
      </c>
      <c r="O4244" s="33" t="str">
        <f t="shared" si="337"/>
        <v/>
      </c>
      <c r="P4244" s="33" t="str">
        <f t="shared" si="338"/>
        <v/>
      </c>
    </row>
    <row r="4245" spans="9:16">
      <c r="I4245" s="23" t="str">
        <f>_xlfn.IFNA(VLOOKUP(A4245,A$3524:$H4246,8,0),"")</f>
        <v/>
      </c>
      <c r="J4245" s="40" t="str">
        <f t="shared" si="339"/>
        <v/>
      </c>
      <c r="K4245" s="24" t="str">
        <f t="shared" si="335"/>
        <v/>
      </c>
      <c r="L4245" s="25" t="str">
        <f t="shared" si="336"/>
        <v/>
      </c>
      <c r="O4245" s="33" t="str">
        <f t="shared" si="337"/>
        <v/>
      </c>
      <c r="P4245" s="33" t="str">
        <f t="shared" si="338"/>
        <v/>
      </c>
    </row>
    <row r="4246" spans="9:16">
      <c r="I4246" s="23" t="str">
        <f>_xlfn.IFNA(VLOOKUP(A4246,A$3524:$H4247,8,0),"")</f>
        <v/>
      </c>
      <c r="J4246" s="40" t="str">
        <f t="shared" si="339"/>
        <v/>
      </c>
      <c r="K4246" s="24" t="str">
        <f t="shared" ref="K4246:K4309" si="340">IF(H4246="","",IFERROR((I4246-H4246)*24,0))</f>
        <v/>
      </c>
      <c r="L4246" s="25" t="str">
        <f t="shared" si="336"/>
        <v/>
      </c>
      <c r="O4246" s="33" t="str">
        <f t="shared" si="337"/>
        <v/>
      </c>
      <c r="P4246" s="33" t="str">
        <f t="shared" si="338"/>
        <v/>
      </c>
    </row>
    <row r="4247" spans="9:16">
      <c r="I4247" s="23" t="str">
        <f>_xlfn.IFNA(VLOOKUP(A4247,A$3524:$H4248,8,0),"")</f>
        <v/>
      </c>
      <c r="J4247" s="40" t="str">
        <f t="shared" si="339"/>
        <v/>
      </c>
      <c r="K4247" s="24" t="str">
        <f t="shared" si="340"/>
        <v/>
      </c>
      <c r="L4247" s="25" t="str">
        <f t="shared" si="336"/>
        <v/>
      </c>
      <c r="O4247" s="33" t="str">
        <f t="shared" si="337"/>
        <v/>
      </c>
      <c r="P4247" s="33" t="str">
        <f t="shared" si="338"/>
        <v/>
      </c>
    </row>
    <row r="4248" spans="9:16">
      <c r="I4248" s="23" t="str">
        <f>_xlfn.IFNA(VLOOKUP(A4248,A$3524:$H4249,8,0),"")</f>
        <v/>
      </c>
      <c r="J4248" s="40" t="str">
        <f t="shared" si="339"/>
        <v/>
      </c>
      <c r="K4248" s="24" t="str">
        <f t="shared" si="340"/>
        <v/>
      </c>
      <c r="L4248" s="25" t="str">
        <f t="shared" si="336"/>
        <v/>
      </c>
      <c r="O4248" s="33" t="str">
        <f t="shared" si="337"/>
        <v/>
      </c>
      <c r="P4248" s="33" t="str">
        <f t="shared" si="338"/>
        <v/>
      </c>
    </row>
    <row r="4249" spans="9:16">
      <c r="I4249" s="23" t="str">
        <f>_xlfn.IFNA(VLOOKUP(A4249,A$3524:$H4250,8,0),"")</f>
        <v/>
      </c>
      <c r="J4249" s="40" t="str">
        <f t="shared" si="339"/>
        <v/>
      </c>
      <c r="K4249" s="24" t="str">
        <f t="shared" si="340"/>
        <v/>
      </c>
      <c r="L4249" s="25" t="str">
        <f t="shared" si="336"/>
        <v/>
      </c>
      <c r="O4249" s="33" t="str">
        <f t="shared" si="337"/>
        <v/>
      </c>
      <c r="P4249" s="33" t="str">
        <f t="shared" si="338"/>
        <v/>
      </c>
    </row>
    <row r="4250" spans="9:16">
      <c r="I4250" s="23" t="str">
        <f>_xlfn.IFNA(VLOOKUP(A4250,A$3524:$H4251,8,0),"")</f>
        <v/>
      </c>
      <c r="J4250" s="40" t="str">
        <f t="shared" si="339"/>
        <v/>
      </c>
      <c r="K4250" s="24" t="str">
        <f t="shared" si="340"/>
        <v/>
      </c>
      <c r="L4250" s="25" t="str">
        <f t="shared" si="336"/>
        <v/>
      </c>
      <c r="O4250" s="33" t="str">
        <f t="shared" si="337"/>
        <v/>
      </c>
      <c r="P4250" s="33" t="str">
        <f t="shared" si="338"/>
        <v/>
      </c>
    </row>
    <row r="4251" spans="9:16">
      <c r="I4251" s="23" t="str">
        <f>_xlfn.IFNA(VLOOKUP(A4251,A$3524:$H4252,8,0),"")</f>
        <v/>
      </c>
      <c r="J4251" s="40" t="str">
        <f t="shared" si="339"/>
        <v/>
      </c>
      <c r="K4251" s="24" t="str">
        <f t="shared" si="340"/>
        <v/>
      </c>
      <c r="L4251" s="25" t="str">
        <f t="shared" si="336"/>
        <v/>
      </c>
      <c r="O4251" s="33" t="str">
        <f t="shared" si="337"/>
        <v/>
      </c>
      <c r="P4251" s="33" t="str">
        <f t="shared" si="338"/>
        <v/>
      </c>
    </row>
    <row r="4252" spans="9:16">
      <c r="I4252" s="23" t="str">
        <f>_xlfn.IFNA(VLOOKUP(A4252,A$3524:$H4253,8,0),"")</f>
        <v/>
      </c>
      <c r="J4252" s="40" t="str">
        <f t="shared" si="339"/>
        <v/>
      </c>
      <c r="K4252" s="24" t="str">
        <f t="shared" si="340"/>
        <v/>
      </c>
      <c r="L4252" s="25" t="str">
        <f t="shared" si="336"/>
        <v/>
      </c>
      <c r="O4252" s="33" t="str">
        <f t="shared" si="337"/>
        <v/>
      </c>
      <c r="P4252" s="33" t="str">
        <f t="shared" si="338"/>
        <v/>
      </c>
    </row>
    <row r="4253" spans="9:16">
      <c r="I4253" s="23" t="str">
        <f>_xlfn.IFNA(VLOOKUP(A4253,A$3524:$H4254,8,0),"")</f>
        <v/>
      </c>
      <c r="J4253" s="40" t="str">
        <f t="shared" si="339"/>
        <v/>
      </c>
      <c r="K4253" s="24" t="str">
        <f t="shared" si="340"/>
        <v/>
      </c>
      <c r="L4253" s="25" t="str">
        <f t="shared" si="336"/>
        <v/>
      </c>
      <c r="O4253" s="33" t="str">
        <f t="shared" si="337"/>
        <v/>
      </c>
      <c r="P4253" s="33" t="str">
        <f t="shared" si="338"/>
        <v/>
      </c>
    </row>
    <row r="4254" spans="9:16">
      <c r="I4254" s="23" t="str">
        <f>_xlfn.IFNA(VLOOKUP(A4254,A$3524:$H4255,8,0),"")</f>
        <v/>
      </c>
      <c r="J4254" s="40" t="str">
        <f t="shared" si="339"/>
        <v/>
      </c>
      <c r="K4254" s="24" t="str">
        <f t="shared" si="340"/>
        <v/>
      </c>
      <c r="L4254" s="25" t="str">
        <f t="shared" si="336"/>
        <v/>
      </c>
      <c r="O4254" s="33" t="str">
        <f t="shared" si="337"/>
        <v/>
      </c>
      <c r="P4254" s="33" t="str">
        <f t="shared" si="338"/>
        <v/>
      </c>
    </row>
    <row r="4255" spans="9:16">
      <c r="I4255" s="23" t="str">
        <f>_xlfn.IFNA(VLOOKUP(A4255,A$3524:$H4256,8,0),"")</f>
        <v/>
      </c>
      <c r="J4255" s="40" t="str">
        <f t="shared" si="339"/>
        <v/>
      </c>
      <c r="K4255" s="24" t="str">
        <f t="shared" si="340"/>
        <v/>
      </c>
      <c r="L4255" s="25" t="str">
        <f t="shared" si="336"/>
        <v/>
      </c>
      <c r="O4255" s="33" t="str">
        <f t="shared" si="337"/>
        <v/>
      </c>
      <c r="P4255" s="33" t="str">
        <f t="shared" si="338"/>
        <v/>
      </c>
    </row>
    <row r="4256" spans="9:16">
      <c r="I4256" s="23" t="str">
        <f>_xlfn.IFNA(VLOOKUP(A4256,A$3524:$H4257,8,0),"")</f>
        <v/>
      </c>
      <c r="J4256" s="40" t="str">
        <f t="shared" si="339"/>
        <v/>
      </c>
      <c r="K4256" s="24" t="str">
        <f t="shared" si="340"/>
        <v/>
      </c>
      <c r="L4256" s="25" t="str">
        <f t="shared" si="336"/>
        <v/>
      </c>
      <c r="O4256" s="33" t="str">
        <f t="shared" si="337"/>
        <v/>
      </c>
      <c r="P4256" s="33" t="str">
        <f t="shared" si="338"/>
        <v/>
      </c>
    </row>
    <row r="4257" spans="9:16">
      <c r="I4257" s="23" t="str">
        <f>_xlfn.IFNA(VLOOKUP(A4257,A$3524:$H4258,8,0),"")</f>
        <v/>
      </c>
      <c r="J4257" s="40" t="str">
        <f t="shared" si="339"/>
        <v/>
      </c>
      <c r="K4257" s="24" t="str">
        <f t="shared" si="340"/>
        <v/>
      </c>
      <c r="L4257" s="25" t="str">
        <f t="shared" si="336"/>
        <v/>
      </c>
      <c r="O4257" s="33" t="str">
        <f t="shared" si="337"/>
        <v/>
      </c>
      <c r="P4257" s="33" t="str">
        <f t="shared" si="338"/>
        <v/>
      </c>
    </row>
    <row r="4258" spans="9:16">
      <c r="I4258" s="23" t="str">
        <f>_xlfn.IFNA(VLOOKUP(A4258,A$3524:$H4259,8,0),"")</f>
        <v/>
      </c>
      <c r="J4258" s="40" t="str">
        <f t="shared" si="339"/>
        <v/>
      </c>
      <c r="K4258" s="24" t="str">
        <f t="shared" si="340"/>
        <v/>
      </c>
      <c r="L4258" s="25" t="str">
        <f t="shared" si="336"/>
        <v/>
      </c>
      <c r="O4258" s="33" t="str">
        <f t="shared" si="337"/>
        <v/>
      </c>
      <c r="P4258" s="33" t="str">
        <f t="shared" si="338"/>
        <v/>
      </c>
    </row>
    <row r="4259" spans="9:16">
      <c r="I4259" s="23" t="str">
        <f>_xlfn.IFNA(VLOOKUP(A4259,A$3524:$H4260,8,0),"")</f>
        <v/>
      </c>
      <c r="J4259" s="40" t="str">
        <f t="shared" si="339"/>
        <v/>
      </c>
      <c r="K4259" s="24" t="str">
        <f t="shared" si="340"/>
        <v/>
      </c>
      <c r="L4259" s="25" t="str">
        <f t="shared" si="336"/>
        <v/>
      </c>
      <c r="O4259" s="33" t="str">
        <f t="shared" si="337"/>
        <v/>
      </c>
      <c r="P4259" s="33" t="str">
        <f t="shared" si="338"/>
        <v/>
      </c>
    </row>
    <row r="4260" spans="9:16">
      <c r="I4260" s="23" t="str">
        <f>_xlfn.IFNA(VLOOKUP(A4260,A$3524:$H4261,8,0),"")</f>
        <v/>
      </c>
      <c r="J4260" s="40" t="str">
        <f t="shared" si="339"/>
        <v/>
      </c>
      <c r="K4260" s="24" t="str">
        <f t="shared" si="340"/>
        <v/>
      </c>
      <c r="L4260" s="25" t="str">
        <f t="shared" si="336"/>
        <v/>
      </c>
      <c r="O4260" s="33" t="str">
        <f t="shared" si="337"/>
        <v/>
      </c>
      <c r="P4260" s="33" t="str">
        <f t="shared" si="338"/>
        <v/>
      </c>
    </row>
    <row r="4261" spans="9:16">
      <c r="I4261" s="23" t="str">
        <f>_xlfn.IFNA(VLOOKUP(A4261,A$3524:$H4262,8,0),"")</f>
        <v/>
      </c>
      <c r="J4261" s="40" t="str">
        <f t="shared" si="339"/>
        <v/>
      </c>
      <c r="K4261" s="24" t="str">
        <f t="shared" si="340"/>
        <v/>
      </c>
      <c r="L4261" s="25" t="str">
        <f t="shared" si="336"/>
        <v/>
      </c>
      <c r="O4261" s="33" t="str">
        <f t="shared" si="337"/>
        <v/>
      </c>
      <c r="P4261" s="33" t="str">
        <f t="shared" si="338"/>
        <v/>
      </c>
    </row>
    <row r="4262" spans="9:16">
      <c r="I4262" s="23" t="str">
        <f>_xlfn.IFNA(VLOOKUP(A4262,A$3524:$H4263,8,0),"")</f>
        <v/>
      </c>
      <c r="J4262" s="40" t="str">
        <f t="shared" si="339"/>
        <v/>
      </c>
      <c r="K4262" s="24" t="str">
        <f t="shared" si="340"/>
        <v/>
      </c>
      <c r="L4262" s="25" t="str">
        <f t="shared" si="336"/>
        <v/>
      </c>
      <c r="O4262" s="33" t="str">
        <f t="shared" si="337"/>
        <v/>
      </c>
      <c r="P4262" s="33" t="str">
        <f t="shared" si="338"/>
        <v/>
      </c>
    </row>
    <row r="4263" spans="9:16">
      <c r="I4263" s="23" t="str">
        <f>_xlfn.IFNA(VLOOKUP(A4263,A$3524:$H4264,8,0),"")</f>
        <v/>
      </c>
      <c r="J4263" s="40" t="str">
        <f t="shared" si="339"/>
        <v/>
      </c>
      <c r="K4263" s="24" t="str">
        <f t="shared" si="340"/>
        <v/>
      </c>
      <c r="L4263" s="25" t="str">
        <f t="shared" si="336"/>
        <v/>
      </c>
      <c r="O4263" s="33" t="str">
        <f t="shared" si="337"/>
        <v/>
      </c>
      <c r="P4263" s="33" t="str">
        <f t="shared" si="338"/>
        <v/>
      </c>
    </row>
    <row r="4264" spans="9:16">
      <c r="I4264" s="23" t="str">
        <f>_xlfn.IFNA(VLOOKUP(A4264,A$3524:$H4265,8,0),"")</f>
        <v/>
      </c>
      <c r="J4264" s="40" t="str">
        <f t="shared" si="339"/>
        <v/>
      </c>
      <c r="K4264" s="24" t="str">
        <f t="shared" si="340"/>
        <v/>
      </c>
      <c r="L4264" s="25" t="str">
        <f t="shared" si="336"/>
        <v/>
      </c>
      <c r="O4264" s="33" t="str">
        <f t="shared" si="337"/>
        <v/>
      </c>
      <c r="P4264" s="33" t="str">
        <f t="shared" si="338"/>
        <v/>
      </c>
    </row>
    <row r="4265" spans="9:16">
      <c r="I4265" s="23" t="str">
        <f>_xlfn.IFNA(VLOOKUP(A4265,A$3524:$H4266,8,0),"")</f>
        <v/>
      </c>
      <c r="J4265" s="40" t="str">
        <f t="shared" si="339"/>
        <v/>
      </c>
      <c r="K4265" s="24" t="str">
        <f t="shared" si="340"/>
        <v/>
      </c>
      <c r="L4265" s="25" t="str">
        <f t="shared" si="336"/>
        <v/>
      </c>
      <c r="O4265" s="33" t="str">
        <f t="shared" si="337"/>
        <v/>
      </c>
      <c r="P4265" s="33" t="str">
        <f t="shared" si="338"/>
        <v/>
      </c>
    </row>
    <row r="4266" spans="9:16">
      <c r="I4266" s="23" t="str">
        <f>_xlfn.IFNA(VLOOKUP(A4266,A$3524:$H4267,8,0),"")</f>
        <v/>
      </c>
      <c r="J4266" s="40" t="str">
        <f t="shared" si="339"/>
        <v/>
      </c>
      <c r="K4266" s="24" t="str">
        <f t="shared" si="340"/>
        <v/>
      </c>
      <c r="L4266" s="25" t="str">
        <f t="shared" si="336"/>
        <v/>
      </c>
      <c r="O4266" s="33" t="str">
        <f t="shared" si="337"/>
        <v/>
      </c>
      <c r="P4266" s="33" t="str">
        <f t="shared" si="338"/>
        <v/>
      </c>
    </row>
    <row r="4267" spans="9:16">
      <c r="I4267" s="23" t="str">
        <f>_xlfn.IFNA(VLOOKUP(A4267,A$3524:$H4268,8,0),"")</f>
        <v/>
      </c>
      <c r="J4267" s="40" t="str">
        <f t="shared" si="339"/>
        <v/>
      </c>
      <c r="K4267" s="24" t="str">
        <f t="shared" si="340"/>
        <v/>
      </c>
      <c r="L4267" s="25" t="str">
        <f t="shared" si="336"/>
        <v/>
      </c>
      <c r="O4267" s="33" t="str">
        <f t="shared" si="337"/>
        <v/>
      </c>
      <c r="P4267" s="33" t="str">
        <f t="shared" si="338"/>
        <v/>
      </c>
    </row>
    <row r="4268" spans="9:16">
      <c r="I4268" s="23" t="str">
        <f>_xlfn.IFNA(VLOOKUP(A4268,A$3524:$H4269,8,0),"")</f>
        <v/>
      </c>
      <c r="J4268" s="40" t="str">
        <f t="shared" si="339"/>
        <v/>
      </c>
      <c r="K4268" s="24" t="str">
        <f t="shared" si="340"/>
        <v/>
      </c>
      <c r="L4268" s="25" t="str">
        <f t="shared" si="336"/>
        <v/>
      </c>
      <c r="O4268" s="33" t="str">
        <f t="shared" si="337"/>
        <v/>
      </c>
      <c r="P4268" s="33" t="str">
        <f t="shared" si="338"/>
        <v/>
      </c>
    </row>
    <row r="4269" spans="9:16">
      <c r="I4269" s="23" t="str">
        <f>_xlfn.IFNA(VLOOKUP(A4269,A$3524:$H4270,8,0),"")</f>
        <v/>
      </c>
      <c r="J4269" s="40" t="str">
        <f t="shared" si="339"/>
        <v/>
      </c>
      <c r="K4269" s="24" t="str">
        <f t="shared" si="340"/>
        <v/>
      </c>
      <c r="L4269" s="25" t="str">
        <f t="shared" si="336"/>
        <v/>
      </c>
      <c r="O4269" s="33" t="str">
        <f t="shared" si="337"/>
        <v/>
      </c>
      <c r="P4269" s="33" t="str">
        <f t="shared" si="338"/>
        <v/>
      </c>
    </row>
    <row r="4270" spans="9:16">
      <c r="I4270" s="23" t="str">
        <f>_xlfn.IFNA(VLOOKUP(A4270,A$3524:$H4271,8,0),"")</f>
        <v/>
      </c>
      <c r="J4270" s="40" t="str">
        <f t="shared" si="339"/>
        <v/>
      </c>
      <c r="K4270" s="24" t="str">
        <f t="shared" si="340"/>
        <v/>
      </c>
      <c r="L4270" s="25" t="str">
        <f t="shared" si="336"/>
        <v/>
      </c>
      <c r="O4270" s="33" t="str">
        <f t="shared" si="337"/>
        <v/>
      </c>
      <c r="P4270" s="33" t="str">
        <f t="shared" si="338"/>
        <v/>
      </c>
    </row>
    <row r="4271" spans="9:16">
      <c r="I4271" s="23" t="str">
        <f>_xlfn.IFNA(VLOOKUP(A4271,A$3524:$H4272,8,0),"")</f>
        <v/>
      </c>
      <c r="J4271" s="40" t="str">
        <f t="shared" si="339"/>
        <v/>
      </c>
      <c r="K4271" s="24" t="str">
        <f t="shared" si="340"/>
        <v/>
      </c>
      <c r="L4271" s="25" t="str">
        <f t="shared" si="336"/>
        <v/>
      </c>
      <c r="O4271" s="33" t="str">
        <f t="shared" si="337"/>
        <v/>
      </c>
      <c r="P4271" s="33" t="str">
        <f t="shared" si="338"/>
        <v/>
      </c>
    </row>
    <row r="4272" spans="9:16">
      <c r="I4272" s="23" t="str">
        <f>_xlfn.IFNA(VLOOKUP(A4272,A$3524:$H4273,8,0),"")</f>
        <v/>
      </c>
      <c r="J4272" s="40" t="str">
        <f t="shared" si="339"/>
        <v/>
      </c>
      <c r="K4272" s="24" t="str">
        <f t="shared" si="340"/>
        <v/>
      </c>
      <c r="L4272" s="25" t="str">
        <f t="shared" si="336"/>
        <v/>
      </c>
      <c r="O4272" s="33" t="str">
        <f t="shared" si="337"/>
        <v/>
      </c>
      <c r="P4272" s="33" t="str">
        <f t="shared" si="338"/>
        <v/>
      </c>
    </row>
    <row r="4273" spans="9:16">
      <c r="I4273" s="23" t="str">
        <f>_xlfn.IFNA(VLOOKUP(A4273,A$3524:$H4274,8,0),"")</f>
        <v/>
      </c>
      <c r="J4273" s="40" t="str">
        <f t="shared" si="339"/>
        <v/>
      </c>
      <c r="K4273" s="24" t="str">
        <f t="shared" si="340"/>
        <v/>
      </c>
      <c r="L4273" s="25" t="str">
        <f t="shared" si="336"/>
        <v/>
      </c>
      <c r="O4273" s="33" t="str">
        <f t="shared" si="337"/>
        <v/>
      </c>
      <c r="P4273" s="33" t="str">
        <f t="shared" si="338"/>
        <v/>
      </c>
    </row>
    <row r="4274" spans="9:16">
      <c r="I4274" s="23" t="str">
        <f>_xlfn.IFNA(VLOOKUP(A4274,A$3524:$H4275,8,0),"")</f>
        <v/>
      </c>
      <c r="J4274" s="40" t="str">
        <f t="shared" si="339"/>
        <v/>
      </c>
      <c r="K4274" s="24" t="str">
        <f t="shared" si="340"/>
        <v/>
      </c>
      <c r="L4274" s="25" t="str">
        <f t="shared" si="336"/>
        <v/>
      </c>
      <c r="O4274" s="33" t="str">
        <f t="shared" si="337"/>
        <v/>
      </c>
      <c r="P4274" s="33" t="str">
        <f t="shared" si="338"/>
        <v/>
      </c>
    </row>
    <row r="4275" spans="9:16">
      <c r="I4275" s="23" t="str">
        <f>_xlfn.IFNA(VLOOKUP(A4275,A$3524:$H4276,8,0),"")</f>
        <v/>
      </c>
      <c r="J4275" s="40" t="str">
        <f t="shared" si="339"/>
        <v/>
      </c>
      <c r="K4275" s="24" t="str">
        <f t="shared" si="340"/>
        <v/>
      </c>
      <c r="L4275" s="25" t="str">
        <f t="shared" si="336"/>
        <v/>
      </c>
      <c r="O4275" s="33" t="str">
        <f t="shared" si="337"/>
        <v/>
      </c>
      <c r="P4275" s="33" t="str">
        <f t="shared" si="338"/>
        <v/>
      </c>
    </row>
    <row r="4276" spans="9:16">
      <c r="I4276" s="23" t="str">
        <f>_xlfn.IFNA(VLOOKUP(A4276,A$3524:$H4277,8,0),"")</f>
        <v/>
      </c>
      <c r="J4276" s="40" t="str">
        <f t="shared" si="339"/>
        <v/>
      </c>
      <c r="K4276" s="24" t="str">
        <f t="shared" si="340"/>
        <v/>
      </c>
      <c r="L4276" s="25" t="str">
        <f t="shared" si="336"/>
        <v/>
      </c>
      <c r="O4276" s="33" t="str">
        <f t="shared" si="337"/>
        <v/>
      </c>
      <c r="P4276" s="33" t="str">
        <f t="shared" si="338"/>
        <v/>
      </c>
    </row>
    <row r="4277" spans="9:16">
      <c r="I4277" s="23" t="str">
        <f>_xlfn.IFNA(VLOOKUP(A4277,A$3524:$H4278,8,0),"")</f>
        <v/>
      </c>
      <c r="J4277" s="40" t="str">
        <f t="shared" si="339"/>
        <v/>
      </c>
      <c r="K4277" s="24" t="str">
        <f t="shared" si="340"/>
        <v/>
      </c>
      <c r="L4277" s="25" t="str">
        <f t="shared" si="336"/>
        <v/>
      </c>
      <c r="O4277" s="33" t="str">
        <f t="shared" si="337"/>
        <v/>
      </c>
      <c r="P4277" s="33" t="str">
        <f t="shared" si="338"/>
        <v/>
      </c>
    </row>
    <row r="4278" spans="9:16">
      <c r="I4278" s="23" t="str">
        <f>_xlfn.IFNA(VLOOKUP(A4278,A$3524:$H4279,8,0),"")</f>
        <v/>
      </c>
      <c r="J4278" s="40" t="str">
        <f t="shared" si="339"/>
        <v/>
      </c>
      <c r="K4278" s="24" t="str">
        <f t="shared" si="340"/>
        <v/>
      </c>
      <c r="L4278" s="25" t="str">
        <f t="shared" si="336"/>
        <v/>
      </c>
      <c r="O4278" s="33" t="str">
        <f t="shared" si="337"/>
        <v/>
      </c>
      <c r="P4278" s="33" t="str">
        <f t="shared" si="338"/>
        <v/>
      </c>
    </row>
    <row r="4279" spans="9:16">
      <c r="I4279" s="23" t="str">
        <f>_xlfn.IFNA(VLOOKUP(A4279,A$3524:$H4280,8,0),"")</f>
        <v/>
      </c>
      <c r="J4279" s="40" t="str">
        <f t="shared" si="339"/>
        <v/>
      </c>
      <c r="K4279" s="24" t="str">
        <f t="shared" si="340"/>
        <v/>
      </c>
      <c r="L4279" s="25" t="str">
        <f t="shared" ref="L4279:L4342" si="341">IF(K4279="","",IF(B4279="Break","Break",IF(K4279&lt;&gt;0,"Work Finished",IF(B4279="OFF","Work Finished",IF(I4279="","Working","Work Finished")))))</f>
        <v/>
      </c>
      <c r="O4279" s="33" t="str">
        <f t="shared" ref="O4279:O4342" si="342">IF(AND(J4279="",M4279="",N4279=""),"",J4279-M4279-N4279)</f>
        <v/>
      </c>
      <c r="P4279" s="33" t="str">
        <f t="shared" ref="P4279:P4342" si="343">IF(HOUR(H4279)=0,"",HOUR(H4279))</f>
        <v/>
      </c>
    </row>
    <row r="4280" spans="9:16">
      <c r="I4280" s="23" t="str">
        <f>_xlfn.IFNA(VLOOKUP(A4280,A$3524:$H4281,8,0),"")</f>
        <v/>
      </c>
      <c r="J4280" s="40" t="str">
        <f t="shared" si="339"/>
        <v/>
      </c>
      <c r="K4280" s="24" t="str">
        <f t="shared" si="340"/>
        <v/>
      </c>
      <c r="L4280" s="25" t="str">
        <f t="shared" si="341"/>
        <v/>
      </c>
      <c r="O4280" s="33" t="str">
        <f t="shared" si="342"/>
        <v/>
      </c>
      <c r="P4280" s="33" t="str">
        <f t="shared" si="343"/>
        <v/>
      </c>
    </row>
    <row r="4281" spans="9:16">
      <c r="I4281" s="23" t="str">
        <f>_xlfn.IFNA(VLOOKUP(A4281,A$3524:$H4282,8,0),"")</f>
        <v/>
      </c>
      <c r="J4281" s="40" t="str">
        <f t="shared" si="339"/>
        <v/>
      </c>
      <c r="K4281" s="24" t="str">
        <f t="shared" si="340"/>
        <v/>
      </c>
      <c r="L4281" s="25" t="str">
        <f t="shared" si="341"/>
        <v/>
      </c>
      <c r="O4281" s="33" t="str">
        <f t="shared" si="342"/>
        <v/>
      </c>
      <c r="P4281" s="33" t="str">
        <f t="shared" si="343"/>
        <v/>
      </c>
    </row>
    <row r="4282" spans="9:16">
      <c r="I4282" s="23" t="str">
        <f>_xlfn.IFNA(VLOOKUP(A4282,A$3524:$H4283,8,0),"")</f>
        <v/>
      </c>
      <c r="J4282" s="40" t="str">
        <f t="shared" si="339"/>
        <v/>
      </c>
      <c r="K4282" s="24" t="str">
        <f t="shared" si="340"/>
        <v/>
      </c>
      <c r="L4282" s="25" t="str">
        <f t="shared" si="341"/>
        <v/>
      </c>
      <c r="O4282" s="33" t="str">
        <f t="shared" si="342"/>
        <v/>
      </c>
      <c r="P4282" s="33" t="str">
        <f t="shared" si="343"/>
        <v/>
      </c>
    </row>
    <row r="4283" spans="9:16">
      <c r="I4283" s="23" t="str">
        <f>_xlfn.IFNA(VLOOKUP(A4283,A$3524:$H4284,8,0),"")</f>
        <v/>
      </c>
      <c r="J4283" s="40" t="str">
        <f t="shared" si="339"/>
        <v/>
      </c>
      <c r="K4283" s="24" t="str">
        <f t="shared" si="340"/>
        <v/>
      </c>
      <c r="L4283" s="25" t="str">
        <f t="shared" si="341"/>
        <v/>
      </c>
      <c r="O4283" s="33" t="str">
        <f t="shared" si="342"/>
        <v/>
      </c>
      <c r="P4283" s="33" t="str">
        <f t="shared" si="343"/>
        <v/>
      </c>
    </row>
    <row r="4284" spans="9:16">
      <c r="I4284" s="23" t="str">
        <f>_xlfn.IFNA(VLOOKUP(A4284,A$3524:$H4285,8,0),"")</f>
        <v/>
      </c>
      <c r="J4284" s="40" t="str">
        <f t="shared" si="339"/>
        <v/>
      </c>
      <c r="K4284" s="24" t="str">
        <f t="shared" si="340"/>
        <v/>
      </c>
      <c r="L4284" s="25" t="str">
        <f t="shared" si="341"/>
        <v/>
      </c>
      <c r="O4284" s="33" t="str">
        <f t="shared" si="342"/>
        <v/>
      </c>
      <c r="P4284" s="33" t="str">
        <f t="shared" si="343"/>
        <v/>
      </c>
    </row>
    <row r="4285" spans="9:16">
      <c r="I4285" s="23" t="str">
        <f>_xlfn.IFNA(VLOOKUP(A4285,A$3524:$H4286,8,0),"")</f>
        <v/>
      </c>
      <c r="J4285" s="40" t="str">
        <f t="shared" si="339"/>
        <v/>
      </c>
      <c r="K4285" s="24" t="str">
        <f t="shared" si="340"/>
        <v/>
      </c>
      <c r="L4285" s="25" t="str">
        <f t="shared" si="341"/>
        <v/>
      </c>
      <c r="O4285" s="33" t="str">
        <f t="shared" si="342"/>
        <v/>
      </c>
      <c r="P4285" s="33" t="str">
        <f t="shared" si="343"/>
        <v/>
      </c>
    </row>
    <row r="4286" spans="9:16">
      <c r="I4286" s="23" t="str">
        <f>_xlfn.IFNA(VLOOKUP(A4286,A$3524:$H4287,8,0),"")</f>
        <v/>
      </c>
      <c r="J4286" s="40" t="str">
        <f t="shared" si="339"/>
        <v/>
      </c>
      <c r="K4286" s="24" t="str">
        <f t="shared" si="340"/>
        <v/>
      </c>
      <c r="L4286" s="25" t="str">
        <f t="shared" si="341"/>
        <v/>
      </c>
      <c r="O4286" s="33" t="str">
        <f t="shared" si="342"/>
        <v/>
      </c>
      <c r="P4286" s="33" t="str">
        <f t="shared" si="343"/>
        <v/>
      </c>
    </row>
    <row r="4287" spans="9:16">
      <c r="I4287" s="23" t="str">
        <f>_xlfn.IFNA(VLOOKUP(A4287,A$3524:$H4288,8,0),"")</f>
        <v/>
      </c>
      <c r="J4287" s="40" t="str">
        <f t="shared" si="339"/>
        <v/>
      </c>
      <c r="K4287" s="24" t="str">
        <f t="shared" si="340"/>
        <v/>
      </c>
      <c r="L4287" s="25" t="str">
        <f t="shared" si="341"/>
        <v/>
      </c>
      <c r="O4287" s="33" t="str">
        <f t="shared" si="342"/>
        <v/>
      </c>
      <c r="P4287" s="33" t="str">
        <f t="shared" si="343"/>
        <v/>
      </c>
    </row>
    <row r="4288" spans="9:16">
      <c r="I4288" s="23" t="str">
        <f>_xlfn.IFNA(VLOOKUP(A4288,A$3524:$H4289,8,0),"")</f>
        <v/>
      </c>
      <c r="J4288" s="40" t="str">
        <f t="shared" si="339"/>
        <v/>
      </c>
      <c r="K4288" s="24" t="str">
        <f t="shared" si="340"/>
        <v/>
      </c>
      <c r="L4288" s="25" t="str">
        <f t="shared" si="341"/>
        <v/>
      </c>
      <c r="O4288" s="33" t="str">
        <f t="shared" si="342"/>
        <v/>
      </c>
      <c r="P4288" s="33" t="str">
        <f t="shared" si="343"/>
        <v/>
      </c>
    </row>
    <row r="4289" spans="9:16">
      <c r="I4289" s="23" t="str">
        <f>_xlfn.IFNA(VLOOKUP(A4289,A$3524:$H4290,8,0),"")</f>
        <v/>
      </c>
      <c r="J4289" s="40" t="str">
        <f t="shared" si="339"/>
        <v/>
      </c>
      <c r="K4289" s="24" t="str">
        <f t="shared" si="340"/>
        <v/>
      </c>
      <c r="L4289" s="25" t="str">
        <f t="shared" si="341"/>
        <v/>
      </c>
      <c r="O4289" s="33" t="str">
        <f t="shared" si="342"/>
        <v/>
      </c>
      <c r="P4289" s="33" t="str">
        <f t="shared" si="343"/>
        <v/>
      </c>
    </row>
    <row r="4290" spans="9:16">
      <c r="I4290" s="23" t="str">
        <f>_xlfn.IFNA(VLOOKUP(A4290,A$3524:$H4291,8,0),"")</f>
        <v/>
      </c>
      <c r="J4290" s="40" t="str">
        <f t="shared" si="339"/>
        <v/>
      </c>
      <c r="K4290" s="24" t="str">
        <f t="shared" si="340"/>
        <v/>
      </c>
      <c r="L4290" s="25" t="str">
        <f t="shared" si="341"/>
        <v/>
      </c>
      <c r="O4290" s="33" t="str">
        <f t="shared" si="342"/>
        <v/>
      </c>
      <c r="P4290" s="33" t="str">
        <f t="shared" si="343"/>
        <v/>
      </c>
    </row>
    <row r="4291" spans="9:16">
      <c r="I4291" s="23" t="str">
        <f>_xlfn.IFNA(VLOOKUP(A4291,A$3524:$H4292,8,0),"")</f>
        <v/>
      </c>
      <c r="J4291" s="40" t="str">
        <f t="shared" si="339"/>
        <v/>
      </c>
      <c r="K4291" s="24" t="str">
        <f t="shared" si="340"/>
        <v/>
      </c>
      <c r="L4291" s="25" t="str">
        <f t="shared" si="341"/>
        <v/>
      </c>
      <c r="O4291" s="33" t="str">
        <f t="shared" si="342"/>
        <v/>
      </c>
      <c r="P4291" s="33" t="str">
        <f t="shared" si="343"/>
        <v/>
      </c>
    </row>
    <row r="4292" spans="9:16">
      <c r="I4292" s="23" t="str">
        <f>_xlfn.IFNA(VLOOKUP(A4292,A$3524:$H4293,8,0),"")</f>
        <v/>
      </c>
      <c r="J4292" s="40" t="str">
        <f t="shared" si="339"/>
        <v/>
      </c>
      <c r="K4292" s="24" t="str">
        <f t="shared" si="340"/>
        <v/>
      </c>
      <c r="L4292" s="25" t="str">
        <f t="shared" si="341"/>
        <v/>
      </c>
      <c r="O4292" s="33" t="str">
        <f t="shared" si="342"/>
        <v/>
      </c>
      <c r="P4292" s="33" t="str">
        <f t="shared" si="343"/>
        <v/>
      </c>
    </row>
    <row r="4293" spans="9:16">
      <c r="I4293" s="23" t="str">
        <f>_xlfn.IFNA(VLOOKUP(A4293,A$3524:$H4294,8,0),"")</f>
        <v/>
      </c>
      <c r="J4293" s="40" t="str">
        <f t="shared" si="339"/>
        <v/>
      </c>
      <c r="K4293" s="24" t="str">
        <f t="shared" si="340"/>
        <v/>
      </c>
      <c r="L4293" s="25" t="str">
        <f t="shared" si="341"/>
        <v/>
      </c>
      <c r="O4293" s="33" t="str">
        <f t="shared" si="342"/>
        <v/>
      </c>
      <c r="P4293" s="33" t="str">
        <f t="shared" si="343"/>
        <v/>
      </c>
    </row>
    <row r="4294" spans="9:16">
      <c r="I4294" s="23" t="str">
        <f>_xlfn.IFNA(VLOOKUP(A4294,A$3524:$H4295,8,0),"")</f>
        <v/>
      </c>
      <c r="J4294" s="40" t="str">
        <f t="shared" ref="J4294:J4357" si="344">IF(B4294="OFF",0,IF(AND(D4294&lt;&gt;"",E4294&lt;&gt;""),E4294-D4294+1,""))</f>
        <v/>
      </c>
      <c r="K4294" s="24" t="str">
        <f t="shared" si="340"/>
        <v/>
      </c>
      <c r="L4294" s="25" t="str">
        <f t="shared" si="341"/>
        <v/>
      </c>
      <c r="O4294" s="33" t="str">
        <f t="shared" si="342"/>
        <v/>
      </c>
      <c r="P4294" s="33" t="str">
        <f t="shared" si="343"/>
        <v/>
      </c>
    </row>
    <row r="4295" spans="9:16">
      <c r="I4295" s="23" t="str">
        <f>_xlfn.IFNA(VLOOKUP(A4295,A$3524:$H4296,8,0),"")</f>
        <v/>
      </c>
      <c r="J4295" s="40" t="str">
        <f t="shared" si="344"/>
        <v/>
      </c>
      <c r="K4295" s="24" t="str">
        <f t="shared" si="340"/>
        <v/>
      </c>
      <c r="L4295" s="25" t="str">
        <f t="shared" si="341"/>
        <v/>
      </c>
      <c r="O4295" s="33" t="str">
        <f t="shared" si="342"/>
        <v/>
      </c>
      <c r="P4295" s="33" t="str">
        <f t="shared" si="343"/>
        <v/>
      </c>
    </row>
    <row r="4296" spans="9:16">
      <c r="I4296" s="23" t="str">
        <f>_xlfn.IFNA(VLOOKUP(A4296,A$3524:$H4297,8,0),"")</f>
        <v/>
      </c>
      <c r="J4296" s="40" t="str">
        <f t="shared" si="344"/>
        <v/>
      </c>
      <c r="K4296" s="24" t="str">
        <f t="shared" si="340"/>
        <v/>
      </c>
      <c r="L4296" s="25" t="str">
        <f t="shared" si="341"/>
        <v/>
      </c>
      <c r="O4296" s="33" t="str">
        <f t="shared" si="342"/>
        <v/>
      </c>
      <c r="P4296" s="33" t="str">
        <f t="shared" si="343"/>
        <v/>
      </c>
    </row>
    <row r="4297" spans="9:16">
      <c r="I4297" s="23" t="str">
        <f>_xlfn.IFNA(VLOOKUP(A4297,A$3524:$H4298,8,0),"")</f>
        <v/>
      </c>
      <c r="J4297" s="40" t="str">
        <f t="shared" si="344"/>
        <v/>
      </c>
      <c r="K4297" s="24" t="str">
        <f t="shared" si="340"/>
        <v/>
      </c>
      <c r="L4297" s="25" t="str">
        <f t="shared" si="341"/>
        <v/>
      </c>
      <c r="O4297" s="33" t="str">
        <f t="shared" si="342"/>
        <v/>
      </c>
      <c r="P4297" s="33" t="str">
        <f t="shared" si="343"/>
        <v/>
      </c>
    </row>
    <row r="4298" spans="9:16">
      <c r="I4298" s="23" t="str">
        <f>_xlfn.IFNA(VLOOKUP(A4298,A$3524:$H4299,8,0),"")</f>
        <v/>
      </c>
      <c r="J4298" s="40" t="str">
        <f t="shared" si="344"/>
        <v/>
      </c>
      <c r="K4298" s="24" t="str">
        <f t="shared" si="340"/>
        <v/>
      </c>
      <c r="L4298" s="25" t="str">
        <f t="shared" si="341"/>
        <v/>
      </c>
      <c r="O4298" s="33" t="str">
        <f t="shared" si="342"/>
        <v/>
      </c>
      <c r="P4298" s="33" t="str">
        <f t="shared" si="343"/>
        <v/>
      </c>
    </row>
    <row r="4299" spans="9:16">
      <c r="I4299" s="23" t="str">
        <f>_xlfn.IFNA(VLOOKUP(A4299,A$3524:$H4300,8,0),"")</f>
        <v/>
      </c>
      <c r="J4299" s="40" t="str">
        <f t="shared" si="344"/>
        <v/>
      </c>
      <c r="K4299" s="24" t="str">
        <f t="shared" si="340"/>
        <v/>
      </c>
      <c r="L4299" s="25" t="str">
        <f t="shared" si="341"/>
        <v/>
      </c>
      <c r="O4299" s="33" t="str">
        <f t="shared" si="342"/>
        <v/>
      </c>
      <c r="P4299" s="33" t="str">
        <f t="shared" si="343"/>
        <v/>
      </c>
    </row>
    <row r="4300" spans="9:16">
      <c r="I4300" s="23" t="str">
        <f>_xlfn.IFNA(VLOOKUP(A4300,A$3524:$H4301,8,0),"")</f>
        <v/>
      </c>
      <c r="J4300" s="40" t="str">
        <f t="shared" si="344"/>
        <v/>
      </c>
      <c r="K4300" s="24" t="str">
        <f t="shared" si="340"/>
        <v/>
      </c>
      <c r="L4300" s="25" t="str">
        <f t="shared" si="341"/>
        <v/>
      </c>
      <c r="O4300" s="33" t="str">
        <f t="shared" si="342"/>
        <v/>
      </c>
      <c r="P4300" s="33" t="str">
        <f t="shared" si="343"/>
        <v/>
      </c>
    </row>
    <row r="4301" spans="9:16">
      <c r="I4301" s="23" t="str">
        <f>_xlfn.IFNA(VLOOKUP(A4301,A$3524:$H4302,8,0),"")</f>
        <v/>
      </c>
      <c r="J4301" s="40" t="str">
        <f t="shared" si="344"/>
        <v/>
      </c>
      <c r="K4301" s="24" t="str">
        <f t="shared" si="340"/>
        <v/>
      </c>
      <c r="L4301" s="25" t="str">
        <f t="shared" si="341"/>
        <v/>
      </c>
      <c r="O4301" s="33" t="str">
        <f t="shared" si="342"/>
        <v/>
      </c>
      <c r="P4301" s="33" t="str">
        <f t="shared" si="343"/>
        <v/>
      </c>
    </row>
    <row r="4302" spans="9:16">
      <c r="I4302" s="23" t="str">
        <f>_xlfn.IFNA(VLOOKUP(A4302,A$3524:$H4303,8,0),"")</f>
        <v/>
      </c>
      <c r="J4302" s="40" t="str">
        <f t="shared" si="344"/>
        <v/>
      </c>
      <c r="K4302" s="24" t="str">
        <f t="shared" si="340"/>
        <v/>
      </c>
      <c r="L4302" s="25" t="str">
        <f t="shared" si="341"/>
        <v/>
      </c>
      <c r="O4302" s="33" t="str">
        <f t="shared" si="342"/>
        <v/>
      </c>
      <c r="P4302" s="33" t="str">
        <f t="shared" si="343"/>
        <v/>
      </c>
    </row>
    <row r="4303" spans="9:16">
      <c r="I4303" s="23" t="str">
        <f>_xlfn.IFNA(VLOOKUP(A4303,A$3524:$H4304,8,0),"")</f>
        <v/>
      </c>
      <c r="J4303" s="40" t="str">
        <f t="shared" si="344"/>
        <v/>
      </c>
      <c r="K4303" s="24" t="str">
        <f t="shared" si="340"/>
        <v/>
      </c>
      <c r="L4303" s="25" t="str">
        <f t="shared" si="341"/>
        <v/>
      </c>
      <c r="O4303" s="33" t="str">
        <f t="shared" si="342"/>
        <v/>
      </c>
      <c r="P4303" s="33" t="str">
        <f t="shared" si="343"/>
        <v/>
      </c>
    </row>
    <row r="4304" spans="9:16">
      <c r="I4304" s="23" t="str">
        <f>_xlfn.IFNA(VLOOKUP(A4304,A$3524:$H4305,8,0),"")</f>
        <v/>
      </c>
      <c r="J4304" s="40" t="str">
        <f t="shared" si="344"/>
        <v/>
      </c>
      <c r="K4304" s="24" t="str">
        <f t="shared" si="340"/>
        <v/>
      </c>
      <c r="L4304" s="25" t="str">
        <f t="shared" si="341"/>
        <v/>
      </c>
      <c r="O4304" s="33" t="str">
        <f t="shared" si="342"/>
        <v/>
      </c>
      <c r="P4304" s="33" t="str">
        <f t="shared" si="343"/>
        <v/>
      </c>
    </row>
    <row r="4305" spans="9:16">
      <c r="I4305" s="23" t="str">
        <f>_xlfn.IFNA(VLOOKUP(A4305,A$3524:$H4306,8,0),"")</f>
        <v/>
      </c>
      <c r="J4305" s="40" t="str">
        <f t="shared" si="344"/>
        <v/>
      </c>
      <c r="K4305" s="24" t="str">
        <f t="shared" si="340"/>
        <v/>
      </c>
      <c r="L4305" s="25" t="str">
        <f t="shared" si="341"/>
        <v/>
      </c>
      <c r="O4305" s="33" t="str">
        <f t="shared" si="342"/>
        <v/>
      </c>
      <c r="P4305" s="33" t="str">
        <f t="shared" si="343"/>
        <v/>
      </c>
    </row>
    <row r="4306" spans="9:16">
      <c r="I4306" s="23" t="str">
        <f>_xlfn.IFNA(VLOOKUP(A4306,A$3524:$H4307,8,0),"")</f>
        <v/>
      </c>
      <c r="J4306" s="40" t="str">
        <f t="shared" si="344"/>
        <v/>
      </c>
      <c r="K4306" s="24" t="str">
        <f t="shared" si="340"/>
        <v/>
      </c>
      <c r="L4306" s="25" t="str">
        <f t="shared" si="341"/>
        <v/>
      </c>
      <c r="O4306" s="33" t="str">
        <f t="shared" si="342"/>
        <v/>
      </c>
      <c r="P4306" s="33" t="str">
        <f t="shared" si="343"/>
        <v/>
      </c>
    </row>
    <row r="4307" spans="9:16">
      <c r="I4307" s="23" t="str">
        <f>_xlfn.IFNA(VLOOKUP(A4307,A$3524:$H4308,8,0),"")</f>
        <v/>
      </c>
      <c r="J4307" s="40" t="str">
        <f t="shared" si="344"/>
        <v/>
      </c>
      <c r="K4307" s="24" t="str">
        <f t="shared" si="340"/>
        <v/>
      </c>
      <c r="L4307" s="25" t="str">
        <f t="shared" si="341"/>
        <v/>
      </c>
      <c r="O4307" s="33" t="str">
        <f t="shared" si="342"/>
        <v/>
      </c>
      <c r="P4307" s="33" t="str">
        <f t="shared" si="343"/>
        <v/>
      </c>
    </row>
    <row r="4308" spans="9:16">
      <c r="I4308" s="23" t="str">
        <f>_xlfn.IFNA(VLOOKUP(A4308,A$3524:$H4309,8,0),"")</f>
        <v/>
      </c>
      <c r="J4308" s="40" t="str">
        <f t="shared" si="344"/>
        <v/>
      </c>
      <c r="K4308" s="24" t="str">
        <f t="shared" si="340"/>
        <v/>
      </c>
      <c r="L4308" s="25" t="str">
        <f t="shared" si="341"/>
        <v/>
      </c>
      <c r="O4308" s="33" t="str">
        <f t="shared" si="342"/>
        <v/>
      </c>
      <c r="P4308" s="33" t="str">
        <f t="shared" si="343"/>
        <v/>
      </c>
    </row>
    <row r="4309" spans="9:16">
      <c r="I4309" s="23" t="str">
        <f>_xlfn.IFNA(VLOOKUP(A4309,A$3524:$H4310,8,0),"")</f>
        <v/>
      </c>
      <c r="J4309" s="40" t="str">
        <f t="shared" si="344"/>
        <v/>
      </c>
      <c r="K4309" s="24" t="str">
        <f t="shared" si="340"/>
        <v/>
      </c>
      <c r="L4309" s="25" t="str">
        <f t="shared" si="341"/>
        <v/>
      </c>
      <c r="O4309" s="33" t="str">
        <f t="shared" si="342"/>
        <v/>
      </c>
      <c r="P4309" s="33" t="str">
        <f t="shared" si="343"/>
        <v/>
      </c>
    </row>
    <row r="4310" spans="9:16">
      <c r="I4310" s="23" t="str">
        <f>_xlfn.IFNA(VLOOKUP(A4310,A$3524:$H4311,8,0),"")</f>
        <v/>
      </c>
      <c r="J4310" s="40" t="str">
        <f t="shared" si="344"/>
        <v/>
      </c>
      <c r="K4310" s="24" t="str">
        <f t="shared" ref="K4310:K4373" si="345">IF(H4310="","",IFERROR((I4310-H4310)*24,0))</f>
        <v/>
      </c>
      <c r="L4310" s="25" t="str">
        <f t="shared" si="341"/>
        <v/>
      </c>
      <c r="O4310" s="33" t="str">
        <f t="shared" si="342"/>
        <v/>
      </c>
      <c r="P4310" s="33" t="str">
        <f t="shared" si="343"/>
        <v/>
      </c>
    </row>
    <row r="4311" spans="9:16">
      <c r="I4311" s="23" t="str">
        <f>_xlfn.IFNA(VLOOKUP(A4311,A$3524:$H4312,8,0),"")</f>
        <v/>
      </c>
      <c r="J4311" s="40" t="str">
        <f t="shared" si="344"/>
        <v/>
      </c>
      <c r="K4311" s="24" t="str">
        <f t="shared" si="345"/>
        <v/>
      </c>
      <c r="L4311" s="25" t="str">
        <f t="shared" si="341"/>
        <v/>
      </c>
      <c r="O4311" s="33" t="str">
        <f t="shared" si="342"/>
        <v/>
      </c>
      <c r="P4311" s="33" t="str">
        <f t="shared" si="343"/>
        <v/>
      </c>
    </row>
    <row r="4312" spans="9:16">
      <c r="I4312" s="23" t="str">
        <f>_xlfn.IFNA(VLOOKUP(A4312,A$3524:$H4313,8,0),"")</f>
        <v/>
      </c>
      <c r="J4312" s="40" t="str">
        <f t="shared" si="344"/>
        <v/>
      </c>
      <c r="K4312" s="24" t="str">
        <f t="shared" si="345"/>
        <v/>
      </c>
      <c r="L4312" s="25" t="str">
        <f t="shared" si="341"/>
        <v/>
      </c>
      <c r="O4312" s="33" t="str">
        <f t="shared" si="342"/>
        <v/>
      </c>
      <c r="P4312" s="33" t="str">
        <f t="shared" si="343"/>
        <v/>
      </c>
    </row>
    <row r="4313" spans="9:16">
      <c r="I4313" s="23" t="str">
        <f>_xlfn.IFNA(VLOOKUP(A4313,A$3524:$H4314,8,0),"")</f>
        <v/>
      </c>
      <c r="J4313" s="40" t="str">
        <f t="shared" si="344"/>
        <v/>
      </c>
      <c r="K4313" s="24" t="str">
        <f t="shared" si="345"/>
        <v/>
      </c>
      <c r="L4313" s="25" t="str">
        <f t="shared" si="341"/>
        <v/>
      </c>
      <c r="O4313" s="33" t="str">
        <f t="shared" si="342"/>
        <v/>
      </c>
      <c r="P4313" s="33" t="str">
        <f t="shared" si="343"/>
        <v/>
      </c>
    </row>
    <row r="4314" spans="9:16">
      <c r="I4314" s="23" t="str">
        <f>_xlfn.IFNA(VLOOKUP(A4314,A$3524:$H4315,8,0),"")</f>
        <v/>
      </c>
      <c r="J4314" s="40" t="str">
        <f t="shared" si="344"/>
        <v/>
      </c>
      <c r="K4314" s="24" t="str">
        <f t="shared" si="345"/>
        <v/>
      </c>
      <c r="L4314" s="25" t="str">
        <f t="shared" si="341"/>
        <v/>
      </c>
      <c r="O4314" s="33" t="str">
        <f t="shared" si="342"/>
        <v/>
      </c>
      <c r="P4314" s="33" t="str">
        <f t="shared" si="343"/>
        <v/>
      </c>
    </row>
    <row r="4315" spans="9:16">
      <c r="I4315" s="23" t="str">
        <f>_xlfn.IFNA(VLOOKUP(A4315,A$3524:$H4316,8,0),"")</f>
        <v/>
      </c>
      <c r="J4315" s="40" t="str">
        <f t="shared" si="344"/>
        <v/>
      </c>
      <c r="K4315" s="24" t="str">
        <f t="shared" si="345"/>
        <v/>
      </c>
      <c r="L4315" s="25" t="str">
        <f t="shared" si="341"/>
        <v/>
      </c>
      <c r="O4315" s="33" t="str">
        <f t="shared" si="342"/>
        <v/>
      </c>
      <c r="P4315" s="33" t="str">
        <f t="shared" si="343"/>
        <v/>
      </c>
    </row>
    <row r="4316" spans="9:16">
      <c r="I4316" s="23" t="str">
        <f>_xlfn.IFNA(VLOOKUP(A4316,A$3524:$H4317,8,0),"")</f>
        <v/>
      </c>
      <c r="J4316" s="40" t="str">
        <f t="shared" si="344"/>
        <v/>
      </c>
      <c r="K4316" s="24" t="str">
        <f t="shared" si="345"/>
        <v/>
      </c>
      <c r="L4316" s="25" t="str">
        <f t="shared" si="341"/>
        <v/>
      </c>
      <c r="O4316" s="33" t="str">
        <f t="shared" si="342"/>
        <v/>
      </c>
      <c r="P4316" s="33" t="str">
        <f t="shared" si="343"/>
        <v/>
      </c>
    </row>
    <row r="4317" spans="9:16">
      <c r="I4317" s="23" t="str">
        <f>_xlfn.IFNA(VLOOKUP(A4317,A$3524:$H4318,8,0),"")</f>
        <v/>
      </c>
      <c r="J4317" s="40" t="str">
        <f t="shared" si="344"/>
        <v/>
      </c>
      <c r="K4317" s="24" t="str">
        <f t="shared" si="345"/>
        <v/>
      </c>
      <c r="L4317" s="25" t="str">
        <f t="shared" si="341"/>
        <v/>
      </c>
      <c r="O4317" s="33" t="str">
        <f t="shared" si="342"/>
        <v/>
      </c>
      <c r="P4317" s="33" t="str">
        <f t="shared" si="343"/>
        <v/>
      </c>
    </row>
    <row r="4318" spans="9:16">
      <c r="I4318" s="23" t="str">
        <f>_xlfn.IFNA(VLOOKUP(A4318,A$3524:$H4319,8,0),"")</f>
        <v/>
      </c>
      <c r="J4318" s="40" t="str">
        <f t="shared" si="344"/>
        <v/>
      </c>
      <c r="K4318" s="24" t="str">
        <f t="shared" si="345"/>
        <v/>
      </c>
      <c r="L4318" s="25" t="str">
        <f t="shared" si="341"/>
        <v/>
      </c>
      <c r="O4318" s="33" t="str">
        <f t="shared" si="342"/>
        <v/>
      </c>
      <c r="P4318" s="33" t="str">
        <f t="shared" si="343"/>
        <v/>
      </c>
    </row>
    <row r="4319" spans="9:16">
      <c r="I4319" s="23" t="str">
        <f>_xlfn.IFNA(VLOOKUP(A4319,A$3524:$H4320,8,0),"")</f>
        <v/>
      </c>
      <c r="J4319" s="40" t="str">
        <f t="shared" si="344"/>
        <v/>
      </c>
      <c r="K4319" s="24" t="str">
        <f t="shared" si="345"/>
        <v/>
      </c>
      <c r="L4319" s="25" t="str">
        <f t="shared" si="341"/>
        <v/>
      </c>
      <c r="O4319" s="33" t="str">
        <f t="shared" si="342"/>
        <v/>
      </c>
      <c r="P4319" s="33" t="str">
        <f t="shared" si="343"/>
        <v/>
      </c>
    </row>
    <row r="4320" spans="9:16">
      <c r="I4320" s="23" t="str">
        <f>_xlfn.IFNA(VLOOKUP(A4320,A$3524:$H4321,8,0),"")</f>
        <v/>
      </c>
      <c r="J4320" s="40" t="str">
        <f t="shared" si="344"/>
        <v/>
      </c>
      <c r="K4320" s="24" t="str">
        <f t="shared" si="345"/>
        <v/>
      </c>
      <c r="L4320" s="25" t="str">
        <f t="shared" si="341"/>
        <v/>
      </c>
      <c r="O4320" s="33" t="str">
        <f t="shared" si="342"/>
        <v/>
      </c>
      <c r="P4320" s="33" t="str">
        <f t="shared" si="343"/>
        <v/>
      </c>
    </row>
    <row r="4321" spans="9:16">
      <c r="I4321" s="23" t="str">
        <f>_xlfn.IFNA(VLOOKUP(A4321,A$3524:$H4322,8,0),"")</f>
        <v/>
      </c>
      <c r="J4321" s="40" t="str">
        <f t="shared" si="344"/>
        <v/>
      </c>
      <c r="K4321" s="24" t="str">
        <f t="shared" si="345"/>
        <v/>
      </c>
      <c r="L4321" s="25" t="str">
        <f t="shared" si="341"/>
        <v/>
      </c>
      <c r="O4321" s="33" t="str">
        <f t="shared" si="342"/>
        <v/>
      </c>
      <c r="P4321" s="33" t="str">
        <f t="shared" si="343"/>
        <v/>
      </c>
    </row>
    <row r="4322" spans="9:16">
      <c r="I4322" s="23" t="str">
        <f>_xlfn.IFNA(VLOOKUP(A4322,A$3524:$H4323,8,0),"")</f>
        <v/>
      </c>
      <c r="J4322" s="40" t="str">
        <f t="shared" si="344"/>
        <v/>
      </c>
      <c r="K4322" s="24" t="str">
        <f t="shared" si="345"/>
        <v/>
      </c>
      <c r="L4322" s="25" t="str">
        <f t="shared" si="341"/>
        <v/>
      </c>
      <c r="O4322" s="33" t="str">
        <f t="shared" si="342"/>
        <v/>
      </c>
      <c r="P4322" s="33" t="str">
        <f t="shared" si="343"/>
        <v/>
      </c>
    </row>
    <row r="4323" spans="9:16">
      <c r="I4323" s="23" t="str">
        <f>_xlfn.IFNA(VLOOKUP(A4323,A$3524:$H4324,8,0),"")</f>
        <v/>
      </c>
      <c r="J4323" s="40" t="str">
        <f t="shared" si="344"/>
        <v/>
      </c>
      <c r="K4323" s="24" t="str">
        <f t="shared" si="345"/>
        <v/>
      </c>
      <c r="L4323" s="25" t="str">
        <f t="shared" si="341"/>
        <v/>
      </c>
      <c r="O4323" s="33" t="str">
        <f t="shared" si="342"/>
        <v/>
      </c>
      <c r="P4323" s="33" t="str">
        <f t="shared" si="343"/>
        <v/>
      </c>
    </row>
    <row r="4324" spans="9:16">
      <c r="I4324" s="23" t="str">
        <f>_xlfn.IFNA(VLOOKUP(A4324,A$3524:$H4325,8,0),"")</f>
        <v/>
      </c>
      <c r="J4324" s="40" t="str">
        <f t="shared" si="344"/>
        <v/>
      </c>
      <c r="K4324" s="24" t="str">
        <f t="shared" si="345"/>
        <v/>
      </c>
      <c r="L4324" s="25" t="str">
        <f t="shared" si="341"/>
        <v/>
      </c>
      <c r="O4324" s="33" t="str">
        <f t="shared" si="342"/>
        <v/>
      </c>
      <c r="P4324" s="33" t="str">
        <f t="shared" si="343"/>
        <v/>
      </c>
    </row>
    <row r="4325" spans="9:16">
      <c r="I4325" s="23" t="str">
        <f>_xlfn.IFNA(VLOOKUP(A4325,A$3524:$H4326,8,0),"")</f>
        <v/>
      </c>
      <c r="J4325" s="40" t="str">
        <f t="shared" si="344"/>
        <v/>
      </c>
      <c r="K4325" s="24" t="str">
        <f t="shared" si="345"/>
        <v/>
      </c>
      <c r="L4325" s="25" t="str">
        <f t="shared" si="341"/>
        <v/>
      </c>
      <c r="O4325" s="33" t="str">
        <f t="shared" si="342"/>
        <v/>
      </c>
      <c r="P4325" s="33" t="str">
        <f t="shared" si="343"/>
        <v/>
      </c>
    </row>
    <row r="4326" spans="9:16">
      <c r="I4326" s="23" t="str">
        <f>_xlfn.IFNA(VLOOKUP(A4326,A$3524:$H4327,8,0),"")</f>
        <v/>
      </c>
      <c r="J4326" s="40" t="str">
        <f t="shared" si="344"/>
        <v/>
      </c>
      <c r="K4326" s="24" t="str">
        <f t="shared" si="345"/>
        <v/>
      </c>
      <c r="L4326" s="25" t="str">
        <f t="shared" si="341"/>
        <v/>
      </c>
      <c r="O4326" s="33" t="str">
        <f t="shared" si="342"/>
        <v/>
      </c>
      <c r="P4326" s="33" t="str">
        <f t="shared" si="343"/>
        <v/>
      </c>
    </row>
    <row r="4327" spans="9:16">
      <c r="I4327" s="23" t="str">
        <f>_xlfn.IFNA(VLOOKUP(A4327,A$3524:$H4328,8,0),"")</f>
        <v/>
      </c>
      <c r="J4327" s="40" t="str">
        <f t="shared" si="344"/>
        <v/>
      </c>
      <c r="K4327" s="24" t="str">
        <f t="shared" si="345"/>
        <v/>
      </c>
      <c r="L4327" s="25" t="str">
        <f t="shared" si="341"/>
        <v/>
      </c>
      <c r="O4327" s="33" t="str">
        <f t="shared" si="342"/>
        <v/>
      </c>
      <c r="P4327" s="33" t="str">
        <f t="shared" si="343"/>
        <v/>
      </c>
    </row>
    <row r="4328" spans="9:16">
      <c r="I4328" s="23" t="str">
        <f>_xlfn.IFNA(VLOOKUP(A4328,A$3524:$H4329,8,0),"")</f>
        <v/>
      </c>
      <c r="J4328" s="40" t="str">
        <f t="shared" si="344"/>
        <v/>
      </c>
      <c r="K4328" s="24" t="str">
        <f t="shared" si="345"/>
        <v/>
      </c>
      <c r="L4328" s="25" t="str">
        <f t="shared" si="341"/>
        <v/>
      </c>
      <c r="O4328" s="33" t="str">
        <f t="shared" si="342"/>
        <v/>
      </c>
      <c r="P4328" s="33" t="str">
        <f t="shared" si="343"/>
        <v/>
      </c>
    </row>
    <row r="4329" spans="9:16">
      <c r="I4329" s="23" t="str">
        <f>_xlfn.IFNA(VLOOKUP(A4329,A$3524:$H4330,8,0),"")</f>
        <v/>
      </c>
      <c r="J4329" s="40" t="str">
        <f t="shared" si="344"/>
        <v/>
      </c>
      <c r="K4329" s="24" t="str">
        <f t="shared" si="345"/>
        <v/>
      </c>
      <c r="L4329" s="25" t="str">
        <f t="shared" si="341"/>
        <v/>
      </c>
      <c r="O4329" s="33" t="str">
        <f t="shared" si="342"/>
        <v/>
      </c>
      <c r="P4329" s="33" t="str">
        <f t="shared" si="343"/>
        <v/>
      </c>
    </row>
    <row r="4330" spans="9:16">
      <c r="I4330" s="23" t="str">
        <f>_xlfn.IFNA(VLOOKUP(A4330,A$3524:$H4331,8,0),"")</f>
        <v/>
      </c>
      <c r="J4330" s="40" t="str">
        <f t="shared" si="344"/>
        <v/>
      </c>
      <c r="K4330" s="24" t="str">
        <f t="shared" si="345"/>
        <v/>
      </c>
      <c r="L4330" s="25" t="str">
        <f t="shared" si="341"/>
        <v/>
      </c>
      <c r="O4330" s="33" t="str">
        <f t="shared" si="342"/>
        <v/>
      </c>
      <c r="P4330" s="33" t="str">
        <f t="shared" si="343"/>
        <v/>
      </c>
    </row>
    <row r="4331" spans="9:16">
      <c r="I4331" s="23" t="str">
        <f>_xlfn.IFNA(VLOOKUP(A4331,A$3524:$H4332,8,0),"")</f>
        <v/>
      </c>
      <c r="J4331" s="40" t="str">
        <f t="shared" si="344"/>
        <v/>
      </c>
      <c r="K4331" s="24" t="str">
        <f t="shared" si="345"/>
        <v/>
      </c>
      <c r="L4331" s="25" t="str">
        <f t="shared" si="341"/>
        <v/>
      </c>
      <c r="O4331" s="33" t="str">
        <f t="shared" si="342"/>
        <v/>
      </c>
      <c r="P4331" s="33" t="str">
        <f t="shared" si="343"/>
        <v/>
      </c>
    </row>
    <row r="4332" spans="9:16">
      <c r="I4332" s="23" t="str">
        <f>_xlfn.IFNA(VLOOKUP(A4332,A$3524:$H4333,8,0),"")</f>
        <v/>
      </c>
      <c r="J4332" s="40" t="str">
        <f t="shared" si="344"/>
        <v/>
      </c>
      <c r="K4332" s="24" t="str">
        <f t="shared" si="345"/>
        <v/>
      </c>
      <c r="L4332" s="25" t="str">
        <f t="shared" si="341"/>
        <v/>
      </c>
      <c r="O4332" s="33" t="str">
        <f t="shared" si="342"/>
        <v/>
      </c>
      <c r="P4332" s="33" t="str">
        <f t="shared" si="343"/>
        <v/>
      </c>
    </row>
    <row r="4333" spans="9:16">
      <c r="I4333" s="23" t="str">
        <f>_xlfn.IFNA(VLOOKUP(A4333,A$3524:$H4334,8,0),"")</f>
        <v/>
      </c>
      <c r="J4333" s="40" t="str">
        <f t="shared" si="344"/>
        <v/>
      </c>
      <c r="K4333" s="24" t="str">
        <f t="shared" si="345"/>
        <v/>
      </c>
      <c r="L4333" s="25" t="str">
        <f t="shared" si="341"/>
        <v/>
      </c>
      <c r="O4333" s="33" t="str">
        <f t="shared" si="342"/>
        <v/>
      </c>
      <c r="P4333" s="33" t="str">
        <f t="shared" si="343"/>
        <v/>
      </c>
    </row>
    <row r="4334" spans="9:16">
      <c r="I4334" s="23" t="str">
        <f>_xlfn.IFNA(VLOOKUP(A4334,A$3524:$H4335,8,0),"")</f>
        <v/>
      </c>
      <c r="J4334" s="40" t="str">
        <f t="shared" si="344"/>
        <v/>
      </c>
      <c r="K4334" s="24" t="str">
        <f t="shared" si="345"/>
        <v/>
      </c>
      <c r="L4334" s="25" t="str">
        <f t="shared" si="341"/>
        <v/>
      </c>
      <c r="O4334" s="33" t="str">
        <f t="shared" si="342"/>
        <v/>
      </c>
      <c r="P4334" s="33" t="str">
        <f t="shared" si="343"/>
        <v/>
      </c>
    </row>
    <row r="4335" spans="9:16">
      <c r="I4335" s="23" t="str">
        <f>_xlfn.IFNA(VLOOKUP(A4335,A$3524:$H4336,8,0),"")</f>
        <v/>
      </c>
      <c r="J4335" s="40" t="str">
        <f t="shared" si="344"/>
        <v/>
      </c>
      <c r="K4335" s="24" t="str">
        <f t="shared" si="345"/>
        <v/>
      </c>
      <c r="L4335" s="25" t="str">
        <f t="shared" si="341"/>
        <v/>
      </c>
      <c r="O4335" s="33" t="str">
        <f t="shared" si="342"/>
        <v/>
      </c>
      <c r="P4335" s="33" t="str">
        <f t="shared" si="343"/>
        <v/>
      </c>
    </row>
    <row r="4336" spans="9:16">
      <c r="I4336" s="23" t="str">
        <f>_xlfn.IFNA(VLOOKUP(A4336,A$3524:$H4337,8,0),"")</f>
        <v/>
      </c>
      <c r="J4336" s="40" t="str">
        <f t="shared" si="344"/>
        <v/>
      </c>
      <c r="K4336" s="24" t="str">
        <f t="shared" si="345"/>
        <v/>
      </c>
      <c r="L4336" s="25" t="str">
        <f t="shared" si="341"/>
        <v/>
      </c>
      <c r="O4336" s="33" t="str">
        <f t="shared" si="342"/>
        <v/>
      </c>
      <c r="P4336" s="33" t="str">
        <f t="shared" si="343"/>
        <v/>
      </c>
    </row>
    <row r="4337" spans="9:16">
      <c r="I4337" s="23" t="str">
        <f>_xlfn.IFNA(VLOOKUP(A4337,A$3524:$H4338,8,0),"")</f>
        <v/>
      </c>
      <c r="J4337" s="40" t="str">
        <f t="shared" si="344"/>
        <v/>
      </c>
      <c r="K4337" s="24" t="str">
        <f t="shared" si="345"/>
        <v/>
      </c>
      <c r="L4337" s="25" t="str">
        <f t="shared" si="341"/>
        <v/>
      </c>
      <c r="O4337" s="33" t="str">
        <f t="shared" si="342"/>
        <v/>
      </c>
      <c r="P4337" s="33" t="str">
        <f t="shared" si="343"/>
        <v/>
      </c>
    </row>
    <row r="4338" spans="9:16">
      <c r="I4338" s="23" t="str">
        <f>_xlfn.IFNA(VLOOKUP(A4338,A$3524:$H4339,8,0),"")</f>
        <v/>
      </c>
      <c r="J4338" s="40" t="str">
        <f t="shared" si="344"/>
        <v/>
      </c>
      <c r="K4338" s="24" t="str">
        <f t="shared" si="345"/>
        <v/>
      </c>
      <c r="L4338" s="25" t="str">
        <f t="shared" si="341"/>
        <v/>
      </c>
      <c r="O4338" s="33" t="str">
        <f t="shared" si="342"/>
        <v/>
      </c>
      <c r="P4338" s="33" t="str">
        <f t="shared" si="343"/>
        <v/>
      </c>
    </row>
    <row r="4339" spans="9:16">
      <c r="I4339" s="23" t="str">
        <f>_xlfn.IFNA(VLOOKUP(A4339,A$3524:$H4340,8,0),"")</f>
        <v/>
      </c>
      <c r="J4339" s="40" t="str">
        <f t="shared" si="344"/>
        <v/>
      </c>
      <c r="K4339" s="24" t="str">
        <f t="shared" si="345"/>
        <v/>
      </c>
      <c r="L4339" s="25" t="str">
        <f t="shared" si="341"/>
        <v/>
      </c>
      <c r="O4339" s="33" t="str">
        <f t="shared" si="342"/>
        <v/>
      </c>
      <c r="P4339" s="33" t="str">
        <f t="shared" si="343"/>
        <v/>
      </c>
    </row>
    <row r="4340" spans="9:16">
      <c r="I4340" s="23" t="str">
        <f>_xlfn.IFNA(VLOOKUP(A4340,A$3524:$H4341,8,0),"")</f>
        <v/>
      </c>
      <c r="J4340" s="40" t="str">
        <f t="shared" si="344"/>
        <v/>
      </c>
      <c r="K4340" s="24" t="str">
        <f t="shared" si="345"/>
        <v/>
      </c>
      <c r="L4340" s="25" t="str">
        <f t="shared" si="341"/>
        <v/>
      </c>
      <c r="O4340" s="33" t="str">
        <f t="shared" si="342"/>
        <v/>
      </c>
      <c r="P4340" s="33" t="str">
        <f t="shared" si="343"/>
        <v/>
      </c>
    </row>
    <row r="4341" spans="9:16">
      <c r="I4341" s="23" t="str">
        <f>_xlfn.IFNA(VLOOKUP(A4341,A$3524:$H4342,8,0),"")</f>
        <v/>
      </c>
      <c r="J4341" s="40" t="str">
        <f t="shared" si="344"/>
        <v/>
      </c>
      <c r="K4341" s="24" t="str">
        <f t="shared" si="345"/>
        <v/>
      </c>
      <c r="L4341" s="25" t="str">
        <f t="shared" si="341"/>
        <v/>
      </c>
      <c r="O4341" s="33" t="str">
        <f t="shared" si="342"/>
        <v/>
      </c>
      <c r="P4341" s="33" t="str">
        <f t="shared" si="343"/>
        <v/>
      </c>
    </row>
    <row r="4342" spans="9:16">
      <c r="I4342" s="23" t="str">
        <f>_xlfn.IFNA(VLOOKUP(A4342,A$3524:$H4343,8,0),"")</f>
        <v/>
      </c>
      <c r="J4342" s="40" t="str">
        <f t="shared" si="344"/>
        <v/>
      </c>
      <c r="K4342" s="24" t="str">
        <f t="shared" si="345"/>
        <v/>
      </c>
      <c r="L4342" s="25" t="str">
        <f t="shared" si="341"/>
        <v/>
      </c>
      <c r="O4342" s="33" t="str">
        <f t="shared" si="342"/>
        <v/>
      </c>
      <c r="P4342" s="33" t="str">
        <f t="shared" si="343"/>
        <v/>
      </c>
    </row>
    <row r="4343" spans="9:16">
      <c r="I4343" s="23" t="str">
        <f>_xlfn.IFNA(VLOOKUP(A4343,A$3524:$H4344,8,0),"")</f>
        <v/>
      </c>
      <c r="J4343" s="40" t="str">
        <f t="shared" si="344"/>
        <v/>
      </c>
      <c r="K4343" s="24" t="str">
        <f t="shared" si="345"/>
        <v/>
      </c>
      <c r="L4343" s="25" t="str">
        <f t="shared" ref="L4343:L4406" si="346">IF(K4343="","",IF(B4343="Break","Break",IF(K4343&lt;&gt;0,"Work Finished",IF(B4343="OFF","Work Finished",IF(I4343="","Working","Work Finished")))))</f>
        <v/>
      </c>
      <c r="O4343" s="33" t="str">
        <f t="shared" ref="O4343:O4406" si="347">IF(AND(J4343="",M4343="",N4343=""),"",J4343-M4343-N4343)</f>
        <v/>
      </c>
      <c r="P4343" s="33" t="str">
        <f t="shared" ref="P4343:P4406" si="348">IF(HOUR(H4343)=0,"",HOUR(H4343))</f>
        <v/>
      </c>
    </row>
    <row r="4344" spans="9:16">
      <c r="I4344" s="23" t="str">
        <f>_xlfn.IFNA(VLOOKUP(A4344,A$3524:$H4345,8,0),"")</f>
        <v/>
      </c>
      <c r="J4344" s="40" t="str">
        <f t="shared" si="344"/>
        <v/>
      </c>
      <c r="K4344" s="24" t="str">
        <f t="shared" si="345"/>
        <v/>
      </c>
      <c r="L4344" s="25" t="str">
        <f t="shared" si="346"/>
        <v/>
      </c>
      <c r="O4344" s="33" t="str">
        <f t="shared" si="347"/>
        <v/>
      </c>
      <c r="P4344" s="33" t="str">
        <f t="shared" si="348"/>
        <v/>
      </c>
    </row>
    <row r="4345" spans="9:16">
      <c r="I4345" s="23" t="str">
        <f>_xlfn.IFNA(VLOOKUP(A4345,A$3524:$H4346,8,0),"")</f>
        <v/>
      </c>
      <c r="J4345" s="40" t="str">
        <f t="shared" si="344"/>
        <v/>
      </c>
      <c r="K4345" s="24" t="str">
        <f t="shared" si="345"/>
        <v/>
      </c>
      <c r="L4345" s="25" t="str">
        <f t="shared" si="346"/>
        <v/>
      </c>
      <c r="O4345" s="33" t="str">
        <f t="shared" si="347"/>
        <v/>
      </c>
      <c r="P4345" s="33" t="str">
        <f t="shared" si="348"/>
        <v/>
      </c>
    </row>
    <row r="4346" spans="9:16">
      <c r="I4346" s="23" t="str">
        <f>_xlfn.IFNA(VLOOKUP(A4346,A$3524:$H4347,8,0),"")</f>
        <v/>
      </c>
      <c r="J4346" s="40" t="str">
        <f t="shared" si="344"/>
        <v/>
      </c>
      <c r="K4346" s="24" t="str">
        <f t="shared" si="345"/>
        <v/>
      </c>
      <c r="L4346" s="25" t="str">
        <f t="shared" si="346"/>
        <v/>
      </c>
      <c r="O4346" s="33" t="str">
        <f t="shared" si="347"/>
        <v/>
      </c>
      <c r="P4346" s="33" t="str">
        <f t="shared" si="348"/>
        <v/>
      </c>
    </row>
    <row r="4347" spans="9:16">
      <c r="I4347" s="23" t="str">
        <f>_xlfn.IFNA(VLOOKUP(A4347,A$3524:$H4348,8,0),"")</f>
        <v/>
      </c>
      <c r="J4347" s="40" t="str">
        <f t="shared" si="344"/>
        <v/>
      </c>
      <c r="K4347" s="24" t="str">
        <f t="shared" si="345"/>
        <v/>
      </c>
      <c r="L4347" s="25" t="str">
        <f t="shared" si="346"/>
        <v/>
      </c>
      <c r="O4347" s="33" t="str">
        <f t="shared" si="347"/>
        <v/>
      </c>
      <c r="P4347" s="33" t="str">
        <f t="shared" si="348"/>
        <v/>
      </c>
    </row>
    <row r="4348" spans="9:16">
      <c r="I4348" s="23" t="str">
        <f>_xlfn.IFNA(VLOOKUP(A4348,A$3524:$H4349,8,0),"")</f>
        <v/>
      </c>
      <c r="J4348" s="40" t="str">
        <f t="shared" si="344"/>
        <v/>
      </c>
      <c r="K4348" s="24" t="str">
        <f t="shared" si="345"/>
        <v/>
      </c>
      <c r="L4348" s="25" t="str">
        <f t="shared" si="346"/>
        <v/>
      </c>
      <c r="O4348" s="33" t="str">
        <f t="shared" si="347"/>
        <v/>
      </c>
      <c r="P4348" s="33" t="str">
        <f t="shared" si="348"/>
        <v/>
      </c>
    </row>
    <row r="4349" spans="9:16">
      <c r="I4349" s="23" t="str">
        <f>_xlfn.IFNA(VLOOKUP(A4349,A$3524:$H4350,8,0),"")</f>
        <v/>
      </c>
      <c r="J4349" s="40" t="str">
        <f t="shared" si="344"/>
        <v/>
      </c>
      <c r="K4349" s="24" t="str">
        <f t="shared" si="345"/>
        <v/>
      </c>
      <c r="L4349" s="25" t="str">
        <f t="shared" si="346"/>
        <v/>
      </c>
      <c r="O4349" s="33" t="str">
        <f t="shared" si="347"/>
        <v/>
      </c>
      <c r="P4349" s="33" t="str">
        <f t="shared" si="348"/>
        <v/>
      </c>
    </row>
    <row r="4350" spans="9:16">
      <c r="I4350" s="23" t="str">
        <f>_xlfn.IFNA(VLOOKUP(A4350,A$3524:$H4351,8,0),"")</f>
        <v/>
      </c>
      <c r="J4350" s="40" t="str">
        <f t="shared" si="344"/>
        <v/>
      </c>
      <c r="K4350" s="24" t="str">
        <f t="shared" si="345"/>
        <v/>
      </c>
      <c r="L4350" s="25" t="str">
        <f t="shared" si="346"/>
        <v/>
      </c>
      <c r="O4350" s="33" t="str">
        <f t="shared" si="347"/>
        <v/>
      </c>
      <c r="P4350" s="33" t="str">
        <f t="shared" si="348"/>
        <v/>
      </c>
    </row>
    <row r="4351" spans="9:16">
      <c r="I4351" s="23" t="str">
        <f>_xlfn.IFNA(VLOOKUP(A4351,A$3524:$H4352,8,0),"")</f>
        <v/>
      </c>
      <c r="J4351" s="40" t="str">
        <f t="shared" si="344"/>
        <v/>
      </c>
      <c r="K4351" s="24" t="str">
        <f t="shared" si="345"/>
        <v/>
      </c>
      <c r="L4351" s="25" t="str">
        <f t="shared" si="346"/>
        <v/>
      </c>
      <c r="O4351" s="33" t="str">
        <f t="shared" si="347"/>
        <v/>
      </c>
      <c r="P4351" s="33" t="str">
        <f t="shared" si="348"/>
        <v/>
      </c>
    </row>
    <row r="4352" spans="9:16">
      <c r="I4352" s="23" t="str">
        <f>_xlfn.IFNA(VLOOKUP(A4352,A$3524:$H4353,8,0),"")</f>
        <v/>
      </c>
      <c r="J4352" s="40" t="str">
        <f t="shared" si="344"/>
        <v/>
      </c>
      <c r="K4352" s="24" t="str">
        <f t="shared" si="345"/>
        <v/>
      </c>
      <c r="L4352" s="25" t="str">
        <f t="shared" si="346"/>
        <v/>
      </c>
      <c r="O4352" s="33" t="str">
        <f t="shared" si="347"/>
        <v/>
      </c>
      <c r="P4352" s="33" t="str">
        <f t="shared" si="348"/>
        <v/>
      </c>
    </row>
    <row r="4353" spans="9:16">
      <c r="I4353" s="23" t="str">
        <f>_xlfn.IFNA(VLOOKUP(A4353,A$3524:$H4354,8,0),"")</f>
        <v/>
      </c>
      <c r="J4353" s="40" t="str">
        <f t="shared" si="344"/>
        <v/>
      </c>
      <c r="K4353" s="24" t="str">
        <f t="shared" si="345"/>
        <v/>
      </c>
      <c r="L4353" s="25" t="str">
        <f t="shared" si="346"/>
        <v/>
      </c>
      <c r="O4353" s="33" t="str">
        <f t="shared" si="347"/>
        <v/>
      </c>
      <c r="P4353" s="33" t="str">
        <f t="shared" si="348"/>
        <v/>
      </c>
    </row>
    <row r="4354" spans="9:16">
      <c r="I4354" s="23" t="str">
        <f>_xlfn.IFNA(VLOOKUP(A4354,A$3524:$H4355,8,0),"")</f>
        <v/>
      </c>
      <c r="J4354" s="40" t="str">
        <f t="shared" si="344"/>
        <v/>
      </c>
      <c r="K4354" s="24" t="str">
        <f t="shared" si="345"/>
        <v/>
      </c>
      <c r="L4354" s="25" t="str">
        <f t="shared" si="346"/>
        <v/>
      </c>
      <c r="O4354" s="33" t="str">
        <f t="shared" si="347"/>
        <v/>
      </c>
      <c r="P4354" s="33" t="str">
        <f t="shared" si="348"/>
        <v/>
      </c>
    </row>
    <row r="4355" spans="9:16">
      <c r="I4355" s="23" t="str">
        <f>_xlfn.IFNA(VLOOKUP(A4355,A$3524:$H4356,8,0),"")</f>
        <v/>
      </c>
      <c r="J4355" s="40" t="str">
        <f t="shared" si="344"/>
        <v/>
      </c>
      <c r="K4355" s="24" t="str">
        <f t="shared" si="345"/>
        <v/>
      </c>
      <c r="L4355" s="25" t="str">
        <f t="shared" si="346"/>
        <v/>
      </c>
      <c r="O4355" s="33" t="str">
        <f t="shared" si="347"/>
        <v/>
      </c>
      <c r="P4355" s="33" t="str">
        <f t="shared" si="348"/>
        <v/>
      </c>
    </row>
    <row r="4356" spans="9:16">
      <c r="I4356" s="23" t="str">
        <f>_xlfn.IFNA(VLOOKUP(A4356,A$3524:$H4357,8,0),"")</f>
        <v/>
      </c>
      <c r="J4356" s="40" t="str">
        <f t="shared" si="344"/>
        <v/>
      </c>
      <c r="K4356" s="24" t="str">
        <f t="shared" si="345"/>
        <v/>
      </c>
      <c r="L4356" s="25" t="str">
        <f t="shared" si="346"/>
        <v/>
      </c>
      <c r="O4356" s="33" t="str">
        <f t="shared" si="347"/>
        <v/>
      </c>
      <c r="P4356" s="33" t="str">
        <f t="shared" si="348"/>
        <v/>
      </c>
    </row>
    <row r="4357" spans="9:16">
      <c r="I4357" s="23" t="str">
        <f>_xlfn.IFNA(VLOOKUP(A4357,A$3524:$H4358,8,0),"")</f>
        <v/>
      </c>
      <c r="J4357" s="40" t="str">
        <f t="shared" si="344"/>
        <v/>
      </c>
      <c r="K4357" s="24" t="str">
        <f t="shared" si="345"/>
        <v/>
      </c>
      <c r="L4357" s="25" t="str">
        <f t="shared" si="346"/>
        <v/>
      </c>
      <c r="O4357" s="33" t="str">
        <f t="shared" si="347"/>
        <v/>
      </c>
      <c r="P4357" s="33" t="str">
        <f t="shared" si="348"/>
        <v/>
      </c>
    </row>
    <row r="4358" spans="9:16">
      <c r="I4358" s="23" t="str">
        <f>_xlfn.IFNA(VLOOKUP(A4358,A$3524:$H4359,8,0),"")</f>
        <v/>
      </c>
      <c r="J4358" s="40" t="str">
        <f t="shared" ref="J4358:J4421" si="349">IF(B4358="OFF",0,IF(AND(D4358&lt;&gt;"",E4358&lt;&gt;""),E4358-D4358+1,""))</f>
        <v/>
      </c>
      <c r="K4358" s="24" t="str">
        <f t="shared" si="345"/>
        <v/>
      </c>
      <c r="L4358" s="25" t="str">
        <f t="shared" si="346"/>
        <v/>
      </c>
      <c r="O4358" s="33" t="str">
        <f t="shared" si="347"/>
        <v/>
      </c>
      <c r="P4358" s="33" t="str">
        <f t="shared" si="348"/>
        <v/>
      </c>
    </row>
    <row r="4359" spans="9:16">
      <c r="I4359" s="23" t="str">
        <f>_xlfn.IFNA(VLOOKUP(A4359,A$3524:$H4360,8,0),"")</f>
        <v/>
      </c>
      <c r="J4359" s="40" t="str">
        <f t="shared" si="349"/>
        <v/>
      </c>
      <c r="K4359" s="24" t="str">
        <f t="shared" si="345"/>
        <v/>
      </c>
      <c r="L4359" s="25" t="str">
        <f t="shared" si="346"/>
        <v/>
      </c>
      <c r="O4359" s="33" t="str">
        <f t="shared" si="347"/>
        <v/>
      </c>
      <c r="P4359" s="33" t="str">
        <f t="shared" si="348"/>
        <v/>
      </c>
    </row>
    <row r="4360" spans="9:16">
      <c r="I4360" s="23" t="str">
        <f>_xlfn.IFNA(VLOOKUP(A4360,A$3524:$H4361,8,0),"")</f>
        <v/>
      </c>
      <c r="J4360" s="40" t="str">
        <f t="shared" si="349"/>
        <v/>
      </c>
      <c r="K4360" s="24" t="str">
        <f t="shared" si="345"/>
        <v/>
      </c>
      <c r="L4360" s="25" t="str">
        <f t="shared" si="346"/>
        <v/>
      </c>
      <c r="O4360" s="33" t="str">
        <f t="shared" si="347"/>
        <v/>
      </c>
      <c r="P4360" s="33" t="str">
        <f t="shared" si="348"/>
        <v/>
      </c>
    </row>
    <row r="4361" spans="9:16">
      <c r="I4361" s="23" t="str">
        <f>_xlfn.IFNA(VLOOKUP(A4361,A$3524:$H4362,8,0),"")</f>
        <v/>
      </c>
      <c r="J4361" s="40" t="str">
        <f t="shared" si="349"/>
        <v/>
      </c>
      <c r="K4361" s="24" t="str">
        <f t="shared" si="345"/>
        <v/>
      </c>
      <c r="L4361" s="25" t="str">
        <f t="shared" si="346"/>
        <v/>
      </c>
      <c r="O4361" s="33" t="str">
        <f t="shared" si="347"/>
        <v/>
      </c>
      <c r="P4361" s="33" t="str">
        <f t="shared" si="348"/>
        <v/>
      </c>
    </row>
    <row r="4362" spans="9:16">
      <c r="I4362" s="23" t="str">
        <f>_xlfn.IFNA(VLOOKUP(A4362,A$3524:$H4363,8,0),"")</f>
        <v/>
      </c>
      <c r="J4362" s="40" t="str">
        <f t="shared" si="349"/>
        <v/>
      </c>
      <c r="K4362" s="24" t="str">
        <f t="shared" si="345"/>
        <v/>
      </c>
      <c r="L4362" s="25" t="str">
        <f t="shared" si="346"/>
        <v/>
      </c>
      <c r="O4362" s="33" t="str">
        <f t="shared" si="347"/>
        <v/>
      </c>
      <c r="P4362" s="33" t="str">
        <f t="shared" si="348"/>
        <v/>
      </c>
    </row>
    <row r="4363" spans="9:16">
      <c r="I4363" s="23" t="str">
        <f>_xlfn.IFNA(VLOOKUP(A4363,A$3524:$H4364,8,0),"")</f>
        <v/>
      </c>
      <c r="J4363" s="40" t="str">
        <f t="shared" si="349"/>
        <v/>
      </c>
      <c r="K4363" s="24" t="str">
        <f t="shared" si="345"/>
        <v/>
      </c>
      <c r="L4363" s="25" t="str">
        <f t="shared" si="346"/>
        <v/>
      </c>
      <c r="O4363" s="33" t="str">
        <f t="shared" si="347"/>
        <v/>
      </c>
      <c r="P4363" s="33" t="str">
        <f t="shared" si="348"/>
        <v/>
      </c>
    </row>
    <row r="4364" spans="9:16">
      <c r="I4364" s="23" t="str">
        <f>_xlfn.IFNA(VLOOKUP(A4364,A$3524:$H4365,8,0),"")</f>
        <v/>
      </c>
      <c r="J4364" s="40" t="str">
        <f t="shared" si="349"/>
        <v/>
      </c>
      <c r="K4364" s="24" t="str">
        <f t="shared" si="345"/>
        <v/>
      </c>
      <c r="L4364" s="25" t="str">
        <f t="shared" si="346"/>
        <v/>
      </c>
      <c r="O4364" s="33" t="str">
        <f t="shared" si="347"/>
        <v/>
      </c>
      <c r="P4364" s="33" t="str">
        <f t="shared" si="348"/>
        <v/>
      </c>
    </row>
    <row r="4365" spans="9:16">
      <c r="I4365" s="23" t="str">
        <f>_xlfn.IFNA(VLOOKUP(A4365,A$3524:$H4366,8,0),"")</f>
        <v/>
      </c>
      <c r="J4365" s="40" t="str">
        <f t="shared" si="349"/>
        <v/>
      </c>
      <c r="K4365" s="24" t="str">
        <f t="shared" si="345"/>
        <v/>
      </c>
      <c r="L4365" s="25" t="str">
        <f t="shared" si="346"/>
        <v/>
      </c>
      <c r="O4365" s="33" t="str">
        <f t="shared" si="347"/>
        <v/>
      </c>
      <c r="P4365" s="33" t="str">
        <f t="shared" si="348"/>
        <v/>
      </c>
    </row>
    <row r="4366" spans="9:16">
      <c r="I4366" s="23" t="str">
        <f>_xlfn.IFNA(VLOOKUP(A4366,A$3524:$H4367,8,0),"")</f>
        <v/>
      </c>
      <c r="J4366" s="40" t="str">
        <f t="shared" si="349"/>
        <v/>
      </c>
      <c r="K4366" s="24" t="str">
        <f t="shared" si="345"/>
        <v/>
      </c>
      <c r="L4366" s="25" t="str">
        <f t="shared" si="346"/>
        <v/>
      </c>
      <c r="O4366" s="33" t="str">
        <f t="shared" si="347"/>
        <v/>
      </c>
      <c r="P4366" s="33" t="str">
        <f t="shared" si="348"/>
        <v/>
      </c>
    </row>
    <row r="4367" spans="9:16">
      <c r="I4367" s="23" t="str">
        <f>_xlfn.IFNA(VLOOKUP(A4367,A$3524:$H4368,8,0),"")</f>
        <v/>
      </c>
      <c r="J4367" s="40" t="str">
        <f t="shared" si="349"/>
        <v/>
      </c>
      <c r="K4367" s="24" t="str">
        <f t="shared" si="345"/>
        <v/>
      </c>
      <c r="L4367" s="25" t="str">
        <f t="shared" si="346"/>
        <v/>
      </c>
      <c r="O4367" s="33" t="str">
        <f t="shared" si="347"/>
        <v/>
      </c>
      <c r="P4367" s="33" t="str">
        <f t="shared" si="348"/>
        <v/>
      </c>
    </row>
    <row r="4368" spans="9:16">
      <c r="I4368" s="23" t="str">
        <f>_xlfn.IFNA(VLOOKUP(A4368,A$3524:$H4369,8,0),"")</f>
        <v/>
      </c>
      <c r="J4368" s="40" t="str">
        <f t="shared" si="349"/>
        <v/>
      </c>
      <c r="K4368" s="24" t="str">
        <f t="shared" si="345"/>
        <v/>
      </c>
      <c r="L4368" s="25" t="str">
        <f t="shared" si="346"/>
        <v/>
      </c>
      <c r="O4368" s="33" t="str">
        <f t="shared" si="347"/>
        <v/>
      </c>
      <c r="P4368" s="33" t="str">
        <f t="shared" si="348"/>
        <v/>
      </c>
    </row>
    <row r="4369" spans="9:16">
      <c r="I4369" s="23" t="str">
        <f>_xlfn.IFNA(VLOOKUP(A4369,A$3524:$H4370,8,0),"")</f>
        <v/>
      </c>
      <c r="J4369" s="40" t="str">
        <f t="shared" si="349"/>
        <v/>
      </c>
      <c r="K4369" s="24" t="str">
        <f t="shared" si="345"/>
        <v/>
      </c>
      <c r="L4369" s="25" t="str">
        <f t="shared" si="346"/>
        <v/>
      </c>
      <c r="O4369" s="33" t="str">
        <f t="shared" si="347"/>
        <v/>
      </c>
      <c r="P4369" s="33" t="str">
        <f t="shared" si="348"/>
        <v/>
      </c>
    </row>
    <row r="4370" spans="9:16">
      <c r="I4370" s="23" t="str">
        <f>_xlfn.IFNA(VLOOKUP(A4370,A$3524:$H4371,8,0),"")</f>
        <v/>
      </c>
      <c r="J4370" s="40" t="str">
        <f t="shared" si="349"/>
        <v/>
      </c>
      <c r="K4370" s="24" t="str">
        <f t="shared" si="345"/>
        <v/>
      </c>
      <c r="L4370" s="25" t="str">
        <f t="shared" si="346"/>
        <v/>
      </c>
      <c r="O4370" s="33" t="str">
        <f t="shared" si="347"/>
        <v/>
      </c>
      <c r="P4370" s="33" t="str">
        <f t="shared" si="348"/>
        <v/>
      </c>
    </row>
    <row r="4371" spans="9:16">
      <c r="I4371" s="23" t="str">
        <f>_xlfn.IFNA(VLOOKUP(A4371,A$3524:$H4372,8,0),"")</f>
        <v/>
      </c>
      <c r="J4371" s="40" t="str">
        <f t="shared" si="349"/>
        <v/>
      </c>
      <c r="K4371" s="24" t="str">
        <f t="shared" si="345"/>
        <v/>
      </c>
      <c r="L4371" s="25" t="str">
        <f t="shared" si="346"/>
        <v/>
      </c>
      <c r="O4371" s="33" t="str">
        <f t="shared" si="347"/>
        <v/>
      </c>
      <c r="P4371" s="33" t="str">
        <f t="shared" si="348"/>
        <v/>
      </c>
    </row>
    <row r="4372" spans="9:16">
      <c r="I4372" s="23" t="str">
        <f>_xlfn.IFNA(VLOOKUP(A4372,A$3524:$H4373,8,0),"")</f>
        <v/>
      </c>
      <c r="J4372" s="40" t="str">
        <f t="shared" si="349"/>
        <v/>
      </c>
      <c r="K4372" s="24" t="str">
        <f t="shared" si="345"/>
        <v/>
      </c>
      <c r="L4372" s="25" t="str">
        <f t="shared" si="346"/>
        <v/>
      </c>
      <c r="O4372" s="33" t="str">
        <f t="shared" si="347"/>
        <v/>
      </c>
      <c r="P4372" s="33" t="str">
        <f t="shared" si="348"/>
        <v/>
      </c>
    </row>
    <row r="4373" spans="9:16">
      <c r="I4373" s="23" t="str">
        <f>_xlfn.IFNA(VLOOKUP(A4373,A$3524:$H4374,8,0),"")</f>
        <v/>
      </c>
      <c r="J4373" s="40" t="str">
        <f t="shared" si="349"/>
        <v/>
      </c>
      <c r="K4373" s="24" t="str">
        <f t="shared" si="345"/>
        <v/>
      </c>
      <c r="L4373" s="25" t="str">
        <f t="shared" si="346"/>
        <v/>
      </c>
      <c r="O4373" s="33" t="str">
        <f t="shared" si="347"/>
        <v/>
      </c>
      <c r="P4373" s="33" t="str">
        <f t="shared" si="348"/>
        <v/>
      </c>
    </row>
    <row r="4374" spans="9:16">
      <c r="I4374" s="23" t="str">
        <f>_xlfn.IFNA(VLOOKUP(A4374,A$3524:$H4375,8,0),"")</f>
        <v/>
      </c>
      <c r="J4374" s="40" t="str">
        <f t="shared" si="349"/>
        <v/>
      </c>
      <c r="K4374" s="24" t="str">
        <f t="shared" ref="K4374:K4437" si="350">IF(H4374="","",IFERROR((I4374-H4374)*24,0))</f>
        <v/>
      </c>
      <c r="L4374" s="25" t="str">
        <f t="shared" si="346"/>
        <v/>
      </c>
      <c r="O4374" s="33" t="str">
        <f t="shared" si="347"/>
        <v/>
      </c>
      <c r="P4374" s="33" t="str">
        <f t="shared" si="348"/>
        <v/>
      </c>
    </row>
    <row r="4375" spans="9:16">
      <c r="I4375" s="23" t="str">
        <f>_xlfn.IFNA(VLOOKUP(A4375,A$3524:$H4376,8,0),"")</f>
        <v/>
      </c>
      <c r="J4375" s="40" t="str">
        <f t="shared" si="349"/>
        <v/>
      </c>
      <c r="K4375" s="24" t="str">
        <f t="shared" si="350"/>
        <v/>
      </c>
      <c r="L4375" s="25" t="str">
        <f t="shared" si="346"/>
        <v/>
      </c>
      <c r="O4375" s="33" t="str">
        <f t="shared" si="347"/>
        <v/>
      </c>
      <c r="P4375" s="33" t="str">
        <f t="shared" si="348"/>
        <v/>
      </c>
    </row>
    <row r="4376" spans="9:16">
      <c r="I4376" s="23" t="str">
        <f>_xlfn.IFNA(VLOOKUP(A4376,A$3524:$H4377,8,0),"")</f>
        <v/>
      </c>
      <c r="J4376" s="40" t="str">
        <f t="shared" si="349"/>
        <v/>
      </c>
      <c r="K4376" s="24" t="str">
        <f t="shared" si="350"/>
        <v/>
      </c>
      <c r="L4376" s="25" t="str">
        <f t="shared" si="346"/>
        <v/>
      </c>
      <c r="O4376" s="33" t="str">
        <f t="shared" si="347"/>
        <v/>
      </c>
      <c r="P4376" s="33" t="str">
        <f t="shared" si="348"/>
        <v/>
      </c>
    </row>
    <row r="4377" spans="9:16">
      <c r="I4377" s="23" t="str">
        <f>_xlfn.IFNA(VLOOKUP(A4377,A$3524:$H4378,8,0),"")</f>
        <v/>
      </c>
      <c r="J4377" s="40" t="str">
        <f t="shared" si="349"/>
        <v/>
      </c>
      <c r="K4377" s="24" t="str">
        <f t="shared" si="350"/>
        <v/>
      </c>
      <c r="L4377" s="25" t="str">
        <f t="shared" si="346"/>
        <v/>
      </c>
      <c r="O4377" s="33" t="str">
        <f t="shared" si="347"/>
        <v/>
      </c>
      <c r="P4377" s="33" t="str">
        <f t="shared" si="348"/>
        <v/>
      </c>
    </row>
    <row r="4378" spans="9:16">
      <c r="I4378" s="23" t="str">
        <f>_xlfn.IFNA(VLOOKUP(A4378,A$3524:$H4379,8,0),"")</f>
        <v/>
      </c>
      <c r="J4378" s="40" t="str">
        <f t="shared" si="349"/>
        <v/>
      </c>
      <c r="K4378" s="24" t="str">
        <f t="shared" si="350"/>
        <v/>
      </c>
      <c r="L4378" s="25" t="str">
        <f t="shared" si="346"/>
        <v/>
      </c>
      <c r="O4378" s="33" t="str">
        <f t="shared" si="347"/>
        <v/>
      </c>
      <c r="P4378" s="33" t="str">
        <f t="shared" si="348"/>
        <v/>
      </c>
    </row>
    <row r="4379" spans="9:16">
      <c r="I4379" s="23" t="str">
        <f>_xlfn.IFNA(VLOOKUP(A4379,A$3524:$H4380,8,0),"")</f>
        <v/>
      </c>
      <c r="J4379" s="40" t="str">
        <f t="shared" si="349"/>
        <v/>
      </c>
      <c r="K4379" s="24" t="str">
        <f t="shared" si="350"/>
        <v/>
      </c>
      <c r="L4379" s="25" t="str">
        <f t="shared" si="346"/>
        <v/>
      </c>
      <c r="O4379" s="33" t="str">
        <f t="shared" si="347"/>
        <v/>
      </c>
      <c r="P4379" s="33" t="str">
        <f t="shared" si="348"/>
        <v/>
      </c>
    </row>
    <row r="4380" spans="9:16">
      <c r="I4380" s="23" t="str">
        <f>_xlfn.IFNA(VLOOKUP(A4380,A$3524:$H4381,8,0),"")</f>
        <v/>
      </c>
      <c r="J4380" s="40" t="str">
        <f t="shared" si="349"/>
        <v/>
      </c>
      <c r="K4380" s="24" t="str">
        <f t="shared" si="350"/>
        <v/>
      </c>
      <c r="L4380" s="25" t="str">
        <f t="shared" si="346"/>
        <v/>
      </c>
      <c r="O4380" s="33" t="str">
        <f t="shared" si="347"/>
        <v/>
      </c>
      <c r="P4380" s="33" t="str">
        <f t="shared" si="348"/>
        <v/>
      </c>
    </row>
    <row r="4381" spans="9:16">
      <c r="I4381" s="23" t="str">
        <f>_xlfn.IFNA(VLOOKUP(A4381,A$3524:$H4382,8,0),"")</f>
        <v/>
      </c>
      <c r="J4381" s="40" t="str">
        <f t="shared" si="349"/>
        <v/>
      </c>
      <c r="K4381" s="24" t="str">
        <f t="shared" si="350"/>
        <v/>
      </c>
      <c r="L4381" s="25" t="str">
        <f t="shared" si="346"/>
        <v/>
      </c>
      <c r="O4381" s="33" t="str">
        <f t="shared" si="347"/>
        <v/>
      </c>
      <c r="P4381" s="33" t="str">
        <f t="shared" si="348"/>
        <v/>
      </c>
    </row>
    <row r="4382" spans="9:16">
      <c r="I4382" s="23" t="str">
        <f>_xlfn.IFNA(VLOOKUP(A4382,A$3524:$H4383,8,0),"")</f>
        <v/>
      </c>
      <c r="J4382" s="40" t="str">
        <f t="shared" si="349"/>
        <v/>
      </c>
      <c r="K4382" s="24" t="str">
        <f t="shared" si="350"/>
        <v/>
      </c>
      <c r="L4382" s="25" t="str">
        <f t="shared" si="346"/>
        <v/>
      </c>
      <c r="O4382" s="33" t="str">
        <f t="shared" si="347"/>
        <v/>
      </c>
      <c r="P4382" s="33" t="str">
        <f t="shared" si="348"/>
        <v/>
      </c>
    </row>
    <row r="4383" spans="9:16">
      <c r="I4383" s="23" t="str">
        <f>_xlfn.IFNA(VLOOKUP(A4383,A$3524:$H4384,8,0),"")</f>
        <v/>
      </c>
      <c r="J4383" s="40" t="str">
        <f t="shared" si="349"/>
        <v/>
      </c>
      <c r="K4383" s="24" t="str">
        <f t="shared" si="350"/>
        <v/>
      </c>
      <c r="L4383" s="25" t="str">
        <f t="shared" si="346"/>
        <v/>
      </c>
      <c r="O4383" s="33" t="str">
        <f t="shared" si="347"/>
        <v/>
      </c>
      <c r="P4383" s="33" t="str">
        <f t="shared" si="348"/>
        <v/>
      </c>
    </row>
    <row r="4384" spans="9:16">
      <c r="I4384" s="23" t="str">
        <f>_xlfn.IFNA(VLOOKUP(A4384,A$3524:$H4385,8,0),"")</f>
        <v/>
      </c>
      <c r="J4384" s="40" t="str">
        <f t="shared" si="349"/>
        <v/>
      </c>
      <c r="K4384" s="24" t="str">
        <f t="shared" si="350"/>
        <v/>
      </c>
      <c r="L4384" s="25" t="str">
        <f t="shared" si="346"/>
        <v/>
      </c>
      <c r="O4384" s="33" t="str">
        <f t="shared" si="347"/>
        <v/>
      </c>
      <c r="P4384" s="33" t="str">
        <f t="shared" si="348"/>
        <v/>
      </c>
    </row>
    <row r="4385" spans="9:16">
      <c r="I4385" s="23" t="str">
        <f>_xlfn.IFNA(VLOOKUP(A4385,A$3524:$H4386,8,0),"")</f>
        <v/>
      </c>
      <c r="J4385" s="40" t="str">
        <f t="shared" si="349"/>
        <v/>
      </c>
      <c r="K4385" s="24" t="str">
        <f t="shared" si="350"/>
        <v/>
      </c>
      <c r="L4385" s="25" t="str">
        <f t="shared" si="346"/>
        <v/>
      </c>
      <c r="O4385" s="33" t="str">
        <f t="shared" si="347"/>
        <v/>
      </c>
      <c r="P4385" s="33" t="str">
        <f t="shared" si="348"/>
        <v/>
      </c>
    </row>
    <row r="4386" spans="9:16">
      <c r="I4386" s="23" t="str">
        <f>_xlfn.IFNA(VLOOKUP(A4386,A$3524:$H4387,8,0),"")</f>
        <v/>
      </c>
      <c r="J4386" s="40" t="str">
        <f t="shared" si="349"/>
        <v/>
      </c>
      <c r="K4386" s="24" t="str">
        <f t="shared" si="350"/>
        <v/>
      </c>
      <c r="L4386" s="25" t="str">
        <f t="shared" si="346"/>
        <v/>
      </c>
      <c r="O4386" s="33" t="str">
        <f t="shared" si="347"/>
        <v/>
      </c>
      <c r="P4386" s="33" t="str">
        <f t="shared" si="348"/>
        <v/>
      </c>
    </row>
    <row r="4387" spans="9:16">
      <c r="I4387" s="23" t="str">
        <f>_xlfn.IFNA(VLOOKUP(A4387,A$3524:$H4388,8,0),"")</f>
        <v/>
      </c>
      <c r="J4387" s="40" t="str">
        <f t="shared" si="349"/>
        <v/>
      </c>
      <c r="K4387" s="24" t="str">
        <f t="shared" si="350"/>
        <v/>
      </c>
      <c r="L4387" s="25" t="str">
        <f t="shared" si="346"/>
        <v/>
      </c>
      <c r="O4387" s="33" t="str">
        <f t="shared" si="347"/>
        <v/>
      </c>
      <c r="P4387" s="33" t="str">
        <f t="shared" si="348"/>
        <v/>
      </c>
    </row>
    <row r="4388" spans="9:16">
      <c r="I4388" s="23" t="str">
        <f>_xlfn.IFNA(VLOOKUP(A4388,A$3524:$H4389,8,0),"")</f>
        <v/>
      </c>
      <c r="J4388" s="40" t="str">
        <f t="shared" si="349"/>
        <v/>
      </c>
      <c r="K4388" s="24" t="str">
        <f t="shared" si="350"/>
        <v/>
      </c>
      <c r="L4388" s="25" t="str">
        <f t="shared" si="346"/>
        <v/>
      </c>
      <c r="O4388" s="33" t="str">
        <f t="shared" si="347"/>
        <v/>
      </c>
      <c r="P4388" s="33" t="str">
        <f t="shared" si="348"/>
        <v/>
      </c>
    </row>
    <row r="4389" spans="9:16">
      <c r="I4389" s="23" t="str">
        <f>_xlfn.IFNA(VLOOKUP(A4389,A$3524:$H4390,8,0),"")</f>
        <v/>
      </c>
      <c r="J4389" s="40" t="str">
        <f t="shared" si="349"/>
        <v/>
      </c>
      <c r="K4389" s="24" t="str">
        <f t="shared" si="350"/>
        <v/>
      </c>
      <c r="L4389" s="25" t="str">
        <f t="shared" si="346"/>
        <v/>
      </c>
      <c r="O4389" s="33" t="str">
        <f t="shared" si="347"/>
        <v/>
      </c>
      <c r="P4389" s="33" t="str">
        <f t="shared" si="348"/>
        <v/>
      </c>
    </row>
    <row r="4390" spans="9:16">
      <c r="I4390" s="23" t="str">
        <f>_xlfn.IFNA(VLOOKUP(A4390,A$3524:$H4391,8,0),"")</f>
        <v/>
      </c>
      <c r="J4390" s="40" t="str">
        <f t="shared" si="349"/>
        <v/>
      </c>
      <c r="K4390" s="24" t="str">
        <f t="shared" si="350"/>
        <v/>
      </c>
      <c r="L4390" s="25" t="str">
        <f t="shared" si="346"/>
        <v/>
      </c>
      <c r="O4390" s="33" t="str">
        <f t="shared" si="347"/>
        <v/>
      </c>
      <c r="P4390" s="33" t="str">
        <f t="shared" si="348"/>
        <v/>
      </c>
    </row>
    <row r="4391" spans="9:16">
      <c r="I4391" s="23" t="str">
        <f>_xlfn.IFNA(VLOOKUP(A4391,A$3524:$H4392,8,0),"")</f>
        <v/>
      </c>
      <c r="J4391" s="40" t="str">
        <f t="shared" si="349"/>
        <v/>
      </c>
      <c r="K4391" s="24" t="str">
        <f t="shared" si="350"/>
        <v/>
      </c>
      <c r="L4391" s="25" t="str">
        <f t="shared" si="346"/>
        <v/>
      </c>
      <c r="O4391" s="33" t="str">
        <f t="shared" si="347"/>
        <v/>
      </c>
      <c r="P4391" s="33" t="str">
        <f t="shared" si="348"/>
        <v/>
      </c>
    </row>
    <row r="4392" spans="9:16">
      <c r="I4392" s="23" t="str">
        <f>_xlfn.IFNA(VLOOKUP(A4392,A$3524:$H4393,8,0),"")</f>
        <v/>
      </c>
      <c r="J4392" s="40" t="str">
        <f t="shared" si="349"/>
        <v/>
      </c>
      <c r="K4392" s="24" t="str">
        <f t="shared" si="350"/>
        <v/>
      </c>
      <c r="L4392" s="25" t="str">
        <f t="shared" si="346"/>
        <v/>
      </c>
      <c r="O4392" s="33" t="str">
        <f t="shared" si="347"/>
        <v/>
      </c>
      <c r="P4392" s="33" t="str">
        <f t="shared" si="348"/>
        <v/>
      </c>
    </row>
    <row r="4393" spans="9:16">
      <c r="I4393" s="23" t="str">
        <f>_xlfn.IFNA(VLOOKUP(A4393,A$3524:$H4394,8,0),"")</f>
        <v/>
      </c>
      <c r="J4393" s="40" t="str">
        <f t="shared" si="349"/>
        <v/>
      </c>
      <c r="K4393" s="24" t="str">
        <f t="shared" si="350"/>
        <v/>
      </c>
      <c r="L4393" s="25" t="str">
        <f t="shared" si="346"/>
        <v/>
      </c>
      <c r="O4393" s="33" t="str">
        <f t="shared" si="347"/>
        <v/>
      </c>
      <c r="P4393" s="33" t="str">
        <f t="shared" si="348"/>
        <v/>
      </c>
    </row>
    <row r="4394" spans="9:16">
      <c r="I4394" s="23" t="str">
        <f>_xlfn.IFNA(VLOOKUP(A4394,A$3524:$H4395,8,0),"")</f>
        <v/>
      </c>
      <c r="J4394" s="40" t="str">
        <f t="shared" si="349"/>
        <v/>
      </c>
      <c r="K4394" s="24" t="str">
        <f t="shared" si="350"/>
        <v/>
      </c>
      <c r="L4394" s="25" t="str">
        <f t="shared" si="346"/>
        <v/>
      </c>
      <c r="O4394" s="33" t="str">
        <f t="shared" si="347"/>
        <v/>
      </c>
      <c r="P4394" s="33" t="str">
        <f t="shared" si="348"/>
        <v/>
      </c>
    </row>
    <row r="4395" spans="9:16">
      <c r="I4395" s="23" t="str">
        <f>_xlfn.IFNA(VLOOKUP(A4395,A$3524:$H4396,8,0),"")</f>
        <v/>
      </c>
      <c r="J4395" s="40" t="str">
        <f t="shared" si="349"/>
        <v/>
      </c>
      <c r="K4395" s="24" t="str">
        <f t="shared" si="350"/>
        <v/>
      </c>
      <c r="L4395" s="25" t="str">
        <f t="shared" si="346"/>
        <v/>
      </c>
      <c r="O4395" s="33" t="str">
        <f t="shared" si="347"/>
        <v/>
      </c>
      <c r="P4395" s="33" t="str">
        <f t="shared" si="348"/>
        <v/>
      </c>
    </row>
    <row r="4396" spans="9:16">
      <c r="I4396" s="23" t="str">
        <f>_xlfn.IFNA(VLOOKUP(A4396,A$3524:$H4397,8,0),"")</f>
        <v/>
      </c>
      <c r="J4396" s="40" t="str">
        <f t="shared" si="349"/>
        <v/>
      </c>
      <c r="K4396" s="24" t="str">
        <f t="shared" si="350"/>
        <v/>
      </c>
      <c r="L4396" s="25" t="str">
        <f t="shared" si="346"/>
        <v/>
      </c>
      <c r="O4396" s="33" t="str">
        <f t="shared" si="347"/>
        <v/>
      </c>
      <c r="P4396" s="33" t="str">
        <f t="shared" si="348"/>
        <v/>
      </c>
    </row>
    <row r="4397" spans="9:16">
      <c r="I4397" s="23" t="str">
        <f>_xlfn.IFNA(VLOOKUP(A4397,A$3524:$H4398,8,0),"")</f>
        <v/>
      </c>
      <c r="J4397" s="40" t="str">
        <f t="shared" si="349"/>
        <v/>
      </c>
      <c r="K4397" s="24" t="str">
        <f t="shared" si="350"/>
        <v/>
      </c>
      <c r="L4397" s="25" t="str">
        <f t="shared" si="346"/>
        <v/>
      </c>
      <c r="O4397" s="33" t="str">
        <f t="shared" si="347"/>
        <v/>
      </c>
      <c r="P4397" s="33" t="str">
        <f t="shared" si="348"/>
        <v/>
      </c>
    </row>
    <row r="4398" spans="9:16">
      <c r="I4398" s="23" t="str">
        <f>_xlfn.IFNA(VLOOKUP(A4398,A$3524:$H4399,8,0),"")</f>
        <v/>
      </c>
      <c r="J4398" s="40" t="str">
        <f t="shared" si="349"/>
        <v/>
      </c>
      <c r="K4398" s="24" t="str">
        <f t="shared" si="350"/>
        <v/>
      </c>
      <c r="L4398" s="25" t="str">
        <f t="shared" si="346"/>
        <v/>
      </c>
      <c r="O4398" s="33" t="str">
        <f t="shared" si="347"/>
        <v/>
      </c>
      <c r="P4398" s="33" t="str">
        <f t="shared" si="348"/>
        <v/>
      </c>
    </row>
    <row r="4399" spans="9:16">
      <c r="I4399" s="23" t="str">
        <f>_xlfn.IFNA(VLOOKUP(A4399,A$3524:$H4400,8,0),"")</f>
        <v/>
      </c>
      <c r="J4399" s="40" t="str">
        <f t="shared" si="349"/>
        <v/>
      </c>
      <c r="K4399" s="24" t="str">
        <f t="shared" si="350"/>
        <v/>
      </c>
      <c r="L4399" s="25" t="str">
        <f t="shared" si="346"/>
        <v/>
      </c>
      <c r="O4399" s="33" t="str">
        <f t="shared" si="347"/>
        <v/>
      </c>
      <c r="P4399" s="33" t="str">
        <f t="shared" si="348"/>
        <v/>
      </c>
    </row>
    <row r="4400" spans="9:16">
      <c r="I4400" s="23" t="str">
        <f>_xlfn.IFNA(VLOOKUP(A4400,A$3524:$H4401,8,0),"")</f>
        <v/>
      </c>
      <c r="J4400" s="40" t="str">
        <f t="shared" si="349"/>
        <v/>
      </c>
      <c r="K4400" s="24" t="str">
        <f t="shared" si="350"/>
        <v/>
      </c>
      <c r="L4400" s="25" t="str">
        <f t="shared" si="346"/>
        <v/>
      </c>
      <c r="O4400" s="33" t="str">
        <f t="shared" si="347"/>
        <v/>
      </c>
      <c r="P4400" s="33" t="str">
        <f t="shared" si="348"/>
        <v/>
      </c>
    </row>
    <row r="4401" spans="9:16">
      <c r="I4401" s="23" t="str">
        <f>_xlfn.IFNA(VLOOKUP(A4401,A$3524:$H4402,8,0),"")</f>
        <v/>
      </c>
      <c r="J4401" s="40" t="str">
        <f t="shared" si="349"/>
        <v/>
      </c>
      <c r="K4401" s="24" t="str">
        <f t="shared" si="350"/>
        <v/>
      </c>
      <c r="L4401" s="25" t="str">
        <f t="shared" si="346"/>
        <v/>
      </c>
      <c r="O4401" s="33" t="str">
        <f t="shared" si="347"/>
        <v/>
      </c>
      <c r="P4401" s="33" t="str">
        <f t="shared" si="348"/>
        <v/>
      </c>
    </row>
    <row r="4402" spans="9:16">
      <c r="I4402" s="23" t="str">
        <f>_xlfn.IFNA(VLOOKUP(A4402,A$3524:$H4403,8,0),"")</f>
        <v/>
      </c>
      <c r="J4402" s="40" t="str">
        <f t="shared" si="349"/>
        <v/>
      </c>
      <c r="K4402" s="24" t="str">
        <f t="shared" si="350"/>
        <v/>
      </c>
      <c r="L4402" s="25" t="str">
        <f t="shared" si="346"/>
        <v/>
      </c>
      <c r="O4402" s="33" t="str">
        <f t="shared" si="347"/>
        <v/>
      </c>
      <c r="P4402" s="33" t="str">
        <f t="shared" si="348"/>
        <v/>
      </c>
    </row>
    <row r="4403" spans="9:16">
      <c r="I4403" s="23" t="str">
        <f>_xlfn.IFNA(VLOOKUP(A4403,A$3524:$H4404,8,0),"")</f>
        <v/>
      </c>
      <c r="J4403" s="40" t="str">
        <f t="shared" si="349"/>
        <v/>
      </c>
      <c r="K4403" s="24" t="str">
        <f t="shared" si="350"/>
        <v/>
      </c>
      <c r="L4403" s="25" t="str">
        <f t="shared" si="346"/>
        <v/>
      </c>
      <c r="O4403" s="33" t="str">
        <f t="shared" si="347"/>
        <v/>
      </c>
      <c r="P4403" s="33" t="str">
        <f t="shared" si="348"/>
        <v/>
      </c>
    </row>
    <row r="4404" spans="9:16">
      <c r="I4404" s="23" t="str">
        <f>_xlfn.IFNA(VLOOKUP(A4404,A$3524:$H4405,8,0),"")</f>
        <v/>
      </c>
      <c r="J4404" s="40" t="str">
        <f t="shared" si="349"/>
        <v/>
      </c>
      <c r="K4404" s="24" t="str">
        <f t="shared" si="350"/>
        <v/>
      </c>
      <c r="L4404" s="25" t="str">
        <f t="shared" si="346"/>
        <v/>
      </c>
      <c r="O4404" s="33" t="str">
        <f t="shared" si="347"/>
        <v/>
      </c>
      <c r="P4404" s="33" t="str">
        <f t="shared" si="348"/>
        <v/>
      </c>
    </row>
    <row r="4405" spans="9:16">
      <c r="I4405" s="23" t="str">
        <f>_xlfn.IFNA(VLOOKUP(A4405,A$3524:$H4406,8,0),"")</f>
        <v/>
      </c>
      <c r="J4405" s="40" t="str">
        <f t="shared" si="349"/>
        <v/>
      </c>
      <c r="K4405" s="24" t="str">
        <f t="shared" si="350"/>
        <v/>
      </c>
      <c r="L4405" s="25" t="str">
        <f t="shared" si="346"/>
        <v/>
      </c>
      <c r="O4405" s="33" t="str">
        <f t="shared" si="347"/>
        <v/>
      </c>
      <c r="P4405" s="33" t="str">
        <f t="shared" si="348"/>
        <v/>
      </c>
    </row>
    <row r="4406" spans="9:16">
      <c r="I4406" s="23" t="str">
        <f>_xlfn.IFNA(VLOOKUP(A4406,A$3524:$H4407,8,0),"")</f>
        <v/>
      </c>
      <c r="J4406" s="40" t="str">
        <f t="shared" si="349"/>
        <v/>
      </c>
      <c r="K4406" s="24" t="str">
        <f t="shared" si="350"/>
        <v/>
      </c>
      <c r="L4406" s="25" t="str">
        <f t="shared" si="346"/>
        <v/>
      </c>
      <c r="O4406" s="33" t="str">
        <f t="shared" si="347"/>
        <v/>
      </c>
      <c r="P4406" s="33" t="str">
        <f t="shared" si="348"/>
        <v/>
      </c>
    </row>
    <row r="4407" spans="9:16">
      <c r="I4407" s="23" t="str">
        <f>_xlfn.IFNA(VLOOKUP(A4407,A$3524:$H4408,8,0),"")</f>
        <v/>
      </c>
      <c r="J4407" s="40" t="str">
        <f t="shared" si="349"/>
        <v/>
      </c>
      <c r="K4407" s="24" t="str">
        <f t="shared" si="350"/>
        <v/>
      </c>
      <c r="L4407" s="25" t="str">
        <f t="shared" ref="L4407:L4470" si="351">IF(K4407="","",IF(B4407="Break","Break",IF(K4407&lt;&gt;0,"Work Finished",IF(B4407="OFF","Work Finished",IF(I4407="","Working","Work Finished")))))</f>
        <v/>
      </c>
      <c r="O4407" s="33" t="str">
        <f t="shared" ref="O4407:O4470" si="352">IF(AND(J4407="",M4407="",N4407=""),"",J4407-M4407-N4407)</f>
        <v/>
      </c>
      <c r="P4407" s="33" t="str">
        <f t="shared" ref="P4407:P4470" si="353">IF(HOUR(H4407)=0,"",HOUR(H4407))</f>
        <v/>
      </c>
    </row>
    <row r="4408" spans="9:16">
      <c r="I4408" s="23" t="str">
        <f>_xlfn.IFNA(VLOOKUP(A4408,A$3524:$H4409,8,0),"")</f>
        <v/>
      </c>
      <c r="J4408" s="40" t="str">
        <f t="shared" si="349"/>
        <v/>
      </c>
      <c r="K4408" s="24" t="str">
        <f t="shared" si="350"/>
        <v/>
      </c>
      <c r="L4408" s="25" t="str">
        <f t="shared" si="351"/>
        <v/>
      </c>
      <c r="O4408" s="33" t="str">
        <f t="shared" si="352"/>
        <v/>
      </c>
      <c r="P4408" s="33" t="str">
        <f t="shared" si="353"/>
        <v/>
      </c>
    </row>
    <row r="4409" spans="9:16">
      <c r="I4409" s="23" t="str">
        <f>_xlfn.IFNA(VLOOKUP(A4409,A$3524:$H4410,8,0),"")</f>
        <v/>
      </c>
      <c r="J4409" s="40" t="str">
        <f t="shared" si="349"/>
        <v/>
      </c>
      <c r="K4409" s="24" t="str">
        <f t="shared" si="350"/>
        <v/>
      </c>
      <c r="L4409" s="25" t="str">
        <f t="shared" si="351"/>
        <v/>
      </c>
      <c r="O4409" s="33" t="str">
        <f t="shared" si="352"/>
        <v/>
      </c>
      <c r="P4409" s="33" t="str">
        <f t="shared" si="353"/>
        <v/>
      </c>
    </row>
    <row r="4410" spans="9:16">
      <c r="I4410" s="23" t="str">
        <f>_xlfn.IFNA(VLOOKUP(A4410,A$3524:$H4411,8,0),"")</f>
        <v/>
      </c>
      <c r="J4410" s="40" t="str">
        <f t="shared" si="349"/>
        <v/>
      </c>
      <c r="K4410" s="24" t="str">
        <f t="shared" si="350"/>
        <v/>
      </c>
      <c r="L4410" s="25" t="str">
        <f t="shared" si="351"/>
        <v/>
      </c>
      <c r="O4410" s="33" t="str">
        <f t="shared" si="352"/>
        <v/>
      </c>
      <c r="P4410" s="33" t="str">
        <f t="shared" si="353"/>
        <v/>
      </c>
    </row>
    <row r="4411" spans="9:16">
      <c r="I4411" s="23" t="str">
        <f>_xlfn.IFNA(VLOOKUP(A4411,A$3524:$H4412,8,0),"")</f>
        <v/>
      </c>
      <c r="J4411" s="40" t="str">
        <f t="shared" si="349"/>
        <v/>
      </c>
      <c r="K4411" s="24" t="str">
        <f t="shared" si="350"/>
        <v/>
      </c>
      <c r="L4411" s="25" t="str">
        <f t="shared" si="351"/>
        <v/>
      </c>
      <c r="O4411" s="33" t="str">
        <f t="shared" si="352"/>
        <v/>
      </c>
      <c r="P4411" s="33" t="str">
        <f t="shared" si="353"/>
        <v/>
      </c>
    </row>
    <row r="4412" spans="9:16">
      <c r="I4412" s="23" t="str">
        <f>_xlfn.IFNA(VLOOKUP(A4412,A$3524:$H4413,8,0),"")</f>
        <v/>
      </c>
      <c r="J4412" s="40" t="str">
        <f t="shared" si="349"/>
        <v/>
      </c>
      <c r="K4412" s="24" t="str">
        <f t="shared" si="350"/>
        <v/>
      </c>
      <c r="L4412" s="25" t="str">
        <f t="shared" si="351"/>
        <v/>
      </c>
      <c r="O4412" s="33" t="str">
        <f t="shared" si="352"/>
        <v/>
      </c>
      <c r="P4412" s="33" t="str">
        <f t="shared" si="353"/>
        <v/>
      </c>
    </row>
    <row r="4413" spans="9:16">
      <c r="I4413" s="23" t="str">
        <f>_xlfn.IFNA(VLOOKUP(A4413,A$3524:$H4414,8,0),"")</f>
        <v/>
      </c>
      <c r="J4413" s="40" t="str">
        <f t="shared" si="349"/>
        <v/>
      </c>
      <c r="K4413" s="24" t="str">
        <f t="shared" si="350"/>
        <v/>
      </c>
      <c r="L4413" s="25" t="str">
        <f t="shared" si="351"/>
        <v/>
      </c>
      <c r="O4413" s="33" t="str">
        <f t="shared" si="352"/>
        <v/>
      </c>
      <c r="P4413" s="33" t="str">
        <f t="shared" si="353"/>
        <v/>
      </c>
    </row>
    <row r="4414" spans="9:16">
      <c r="I4414" s="23" t="str">
        <f>_xlfn.IFNA(VLOOKUP(A4414,A$3524:$H4415,8,0),"")</f>
        <v/>
      </c>
      <c r="J4414" s="40" t="str">
        <f t="shared" si="349"/>
        <v/>
      </c>
      <c r="K4414" s="24" t="str">
        <f t="shared" si="350"/>
        <v/>
      </c>
      <c r="L4414" s="25" t="str">
        <f t="shared" si="351"/>
        <v/>
      </c>
      <c r="O4414" s="33" t="str">
        <f t="shared" si="352"/>
        <v/>
      </c>
      <c r="P4414" s="33" t="str">
        <f t="shared" si="353"/>
        <v/>
      </c>
    </row>
    <row r="4415" spans="9:16">
      <c r="I4415" s="23" t="str">
        <f>_xlfn.IFNA(VLOOKUP(A4415,A$3524:$H4416,8,0),"")</f>
        <v/>
      </c>
      <c r="J4415" s="40" t="str">
        <f t="shared" si="349"/>
        <v/>
      </c>
      <c r="K4415" s="24" t="str">
        <f t="shared" si="350"/>
        <v/>
      </c>
      <c r="L4415" s="25" t="str">
        <f t="shared" si="351"/>
        <v/>
      </c>
      <c r="O4415" s="33" t="str">
        <f t="shared" si="352"/>
        <v/>
      </c>
      <c r="P4415" s="33" t="str">
        <f t="shared" si="353"/>
        <v/>
      </c>
    </row>
    <row r="4416" spans="9:16">
      <c r="I4416" s="23" t="str">
        <f>_xlfn.IFNA(VLOOKUP(A4416,A$3524:$H4417,8,0),"")</f>
        <v/>
      </c>
      <c r="J4416" s="40" t="str">
        <f t="shared" si="349"/>
        <v/>
      </c>
      <c r="K4416" s="24" t="str">
        <f t="shared" si="350"/>
        <v/>
      </c>
      <c r="L4416" s="25" t="str">
        <f t="shared" si="351"/>
        <v/>
      </c>
      <c r="O4416" s="33" t="str">
        <f t="shared" si="352"/>
        <v/>
      </c>
      <c r="P4416" s="33" t="str">
        <f t="shared" si="353"/>
        <v/>
      </c>
    </row>
    <row r="4417" spans="9:16">
      <c r="I4417" s="23" t="str">
        <f>_xlfn.IFNA(VLOOKUP(A4417,A$3524:$H4418,8,0),"")</f>
        <v/>
      </c>
      <c r="J4417" s="40" t="str">
        <f t="shared" si="349"/>
        <v/>
      </c>
      <c r="K4417" s="24" t="str">
        <f t="shared" si="350"/>
        <v/>
      </c>
      <c r="L4417" s="25" t="str">
        <f t="shared" si="351"/>
        <v/>
      </c>
      <c r="O4417" s="33" t="str">
        <f t="shared" si="352"/>
        <v/>
      </c>
      <c r="P4417" s="33" t="str">
        <f t="shared" si="353"/>
        <v/>
      </c>
    </row>
    <row r="4418" spans="9:16">
      <c r="I4418" s="23" t="str">
        <f>_xlfn.IFNA(VLOOKUP(A4418,A$3524:$H4419,8,0),"")</f>
        <v/>
      </c>
      <c r="J4418" s="40" t="str">
        <f t="shared" si="349"/>
        <v/>
      </c>
      <c r="K4418" s="24" t="str">
        <f t="shared" si="350"/>
        <v/>
      </c>
      <c r="L4418" s="25" t="str">
        <f t="shared" si="351"/>
        <v/>
      </c>
      <c r="O4418" s="33" t="str">
        <f t="shared" si="352"/>
        <v/>
      </c>
      <c r="P4418" s="33" t="str">
        <f t="shared" si="353"/>
        <v/>
      </c>
    </row>
    <row r="4419" spans="9:16">
      <c r="I4419" s="23" t="str">
        <f>_xlfn.IFNA(VLOOKUP(A4419,A$3524:$H4420,8,0),"")</f>
        <v/>
      </c>
      <c r="J4419" s="40" t="str">
        <f t="shared" si="349"/>
        <v/>
      </c>
      <c r="K4419" s="24" t="str">
        <f t="shared" si="350"/>
        <v/>
      </c>
      <c r="L4419" s="25" t="str">
        <f t="shared" si="351"/>
        <v/>
      </c>
      <c r="O4419" s="33" t="str">
        <f t="shared" si="352"/>
        <v/>
      </c>
      <c r="P4419" s="33" t="str">
        <f t="shared" si="353"/>
        <v/>
      </c>
    </row>
    <row r="4420" spans="9:16">
      <c r="I4420" s="23" t="str">
        <f>_xlfn.IFNA(VLOOKUP(A4420,A$3524:$H4421,8,0),"")</f>
        <v/>
      </c>
      <c r="J4420" s="40" t="str">
        <f t="shared" si="349"/>
        <v/>
      </c>
      <c r="K4420" s="24" t="str">
        <f t="shared" si="350"/>
        <v/>
      </c>
      <c r="L4420" s="25" t="str">
        <f t="shared" si="351"/>
        <v/>
      </c>
      <c r="O4420" s="33" t="str">
        <f t="shared" si="352"/>
        <v/>
      </c>
      <c r="P4420" s="33" t="str">
        <f t="shared" si="353"/>
        <v/>
      </c>
    </row>
    <row r="4421" spans="9:16">
      <c r="I4421" s="23" t="str">
        <f>_xlfn.IFNA(VLOOKUP(A4421,A$3524:$H4422,8,0),"")</f>
        <v/>
      </c>
      <c r="J4421" s="40" t="str">
        <f t="shared" si="349"/>
        <v/>
      </c>
      <c r="K4421" s="24" t="str">
        <f t="shared" si="350"/>
        <v/>
      </c>
      <c r="L4421" s="25" t="str">
        <f t="shared" si="351"/>
        <v/>
      </c>
      <c r="O4421" s="33" t="str">
        <f t="shared" si="352"/>
        <v/>
      </c>
      <c r="P4421" s="33" t="str">
        <f t="shared" si="353"/>
        <v/>
      </c>
    </row>
    <row r="4422" spans="9:16">
      <c r="I4422" s="23" t="str">
        <f>_xlfn.IFNA(VLOOKUP(A4422,A$3524:$H4423,8,0),"")</f>
        <v/>
      </c>
      <c r="J4422" s="40" t="str">
        <f t="shared" ref="J4422:J4485" si="354">IF(B4422="OFF",0,IF(AND(D4422&lt;&gt;"",E4422&lt;&gt;""),E4422-D4422+1,""))</f>
        <v/>
      </c>
      <c r="K4422" s="24" t="str">
        <f t="shared" si="350"/>
        <v/>
      </c>
      <c r="L4422" s="25" t="str">
        <f t="shared" si="351"/>
        <v/>
      </c>
      <c r="O4422" s="33" t="str">
        <f t="shared" si="352"/>
        <v/>
      </c>
      <c r="P4422" s="33" t="str">
        <f t="shared" si="353"/>
        <v/>
      </c>
    </row>
    <row r="4423" spans="9:16">
      <c r="I4423" s="23" t="str">
        <f>_xlfn.IFNA(VLOOKUP(A4423,A$3524:$H4424,8,0),"")</f>
        <v/>
      </c>
      <c r="J4423" s="40" t="str">
        <f t="shared" si="354"/>
        <v/>
      </c>
      <c r="K4423" s="24" t="str">
        <f t="shared" si="350"/>
        <v/>
      </c>
      <c r="L4423" s="25" t="str">
        <f t="shared" si="351"/>
        <v/>
      </c>
      <c r="O4423" s="33" t="str">
        <f t="shared" si="352"/>
        <v/>
      </c>
      <c r="P4423" s="33" t="str">
        <f t="shared" si="353"/>
        <v/>
      </c>
    </row>
    <row r="4424" spans="9:16">
      <c r="I4424" s="23" t="str">
        <f>_xlfn.IFNA(VLOOKUP(A4424,A$3524:$H4425,8,0),"")</f>
        <v/>
      </c>
      <c r="J4424" s="40" t="str">
        <f t="shared" si="354"/>
        <v/>
      </c>
      <c r="K4424" s="24" t="str">
        <f t="shared" si="350"/>
        <v/>
      </c>
      <c r="L4424" s="25" t="str">
        <f t="shared" si="351"/>
        <v/>
      </c>
      <c r="O4424" s="33" t="str">
        <f t="shared" si="352"/>
        <v/>
      </c>
      <c r="P4424" s="33" t="str">
        <f t="shared" si="353"/>
        <v/>
      </c>
    </row>
    <row r="4425" spans="9:16">
      <c r="I4425" s="23" t="str">
        <f>_xlfn.IFNA(VLOOKUP(A4425,A$3524:$H4426,8,0),"")</f>
        <v/>
      </c>
      <c r="J4425" s="40" t="str">
        <f t="shared" si="354"/>
        <v/>
      </c>
      <c r="K4425" s="24" t="str">
        <f t="shared" si="350"/>
        <v/>
      </c>
      <c r="L4425" s="25" t="str">
        <f t="shared" si="351"/>
        <v/>
      </c>
      <c r="O4425" s="33" t="str">
        <f t="shared" si="352"/>
        <v/>
      </c>
      <c r="P4425" s="33" t="str">
        <f t="shared" si="353"/>
        <v/>
      </c>
    </row>
    <row r="4426" spans="9:16">
      <c r="I4426" s="23" t="str">
        <f>_xlfn.IFNA(VLOOKUP(A4426,A$3524:$H4427,8,0),"")</f>
        <v/>
      </c>
      <c r="J4426" s="40" t="str">
        <f t="shared" si="354"/>
        <v/>
      </c>
      <c r="K4426" s="24" t="str">
        <f t="shared" si="350"/>
        <v/>
      </c>
      <c r="L4426" s="25" t="str">
        <f t="shared" si="351"/>
        <v/>
      </c>
      <c r="O4426" s="33" t="str">
        <f t="shared" si="352"/>
        <v/>
      </c>
      <c r="P4426" s="33" t="str">
        <f t="shared" si="353"/>
        <v/>
      </c>
    </row>
    <row r="4427" spans="9:16">
      <c r="I4427" s="23" t="str">
        <f>_xlfn.IFNA(VLOOKUP(A4427,A$3524:$H4428,8,0),"")</f>
        <v/>
      </c>
      <c r="J4427" s="40" t="str">
        <f t="shared" si="354"/>
        <v/>
      </c>
      <c r="K4427" s="24" t="str">
        <f t="shared" si="350"/>
        <v/>
      </c>
      <c r="L4427" s="25" t="str">
        <f t="shared" si="351"/>
        <v/>
      </c>
      <c r="O4427" s="33" t="str">
        <f t="shared" si="352"/>
        <v/>
      </c>
      <c r="P4427" s="33" t="str">
        <f t="shared" si="353"/>
        <v/>
      </c>
    </row>
    <row r="4428" spans="9:16">
      <c r="I4428" s="23" t="str">
        <f>_xlfn.IFNA(VLOOKUP(A4428,A$3524:$H4429,8,0),"")</f>
        <v/>
      </c>
      <c r="J4428" s="40" t="str">
        <f t="shared" si="354"/>
        <v/>
      </c>
      <c r="K4428" s="24" t="str">
        <f t="shared" si="350"/>
        <v/>
      </c>
      <c r="L4428" s="25" t="str">
        <f t="shared" si="351"/>
        <v/>
      </c>
      <c r="O4428" s="33" t="str">
        <f t="shared" si="352"/>
        <v/>
      </c>
      <c r="P4428" s="33" t="str">
        <f t="shared" si="353"/>
        <v/>
      </c>
    </row>
    <row r="4429" spans="9:16">
      <c r="I4429" s="23" t="str">
        <f>_xlfn.IFNA(VLOOKUP(A4429,A$3524:$H4430,8,0),"")</f>
        <v/>
      </c>
      <c r="J4429" s="40" t="str">
        <f t="shared" si="354"/>
        <v/>
      </c>
      <c r="K4429" s="24" t="str">
        <f t="shared" si="350"/>
        <v/>
      </c>
      <c r="L4429" s="25" t="str">
        <f t="shared" si="351"/>
        <v/>
      </c>
      <c r="O4429" s="33" t="str">
        <f t="shared" si="352"/>
        <v/>
      </c>
      <c r="P4429" s="33" t="str">
        <f t="shared" si="353"/>
        <v/>
      </c>
    </row>
    <row r="4430" spans="9:16">
      <c r="I4430" s="23" t="str">
        <f>_xlfn.IFNA(VLOOKUP(A4430,A$3524:$H4431,8,0),"")</f>
        <v/>
      </c>
      <c r="J4430" s="40" t="str">
        <f t="shared" si="354"/>
        <v/>
      </c>
      <c r="K4430" s="24" t="str">
        <f t="shared" si="350"/>
        <v/>
      </c>
      <c r="L4430" s="25" t="str">
        <f t="shared" si="351"/>
        <v/>
      </c>
      <c r="O4430" s="33" t="str">
        <f t="shared" si="352"/>
        <v/>
      </c>
      <c r="P4430" s="33" t="str">
        <f t="shared" si="353"/>
        <v/>
      </c>
    </row>
    <row r="4431" spans="9:16">
      <c r="I4431" s="23" t="str">
        <f>_xlfn.IFNA(VLOOKUP(A4431,A$3524:$H4432,8,0),"")</f>
        <v/>
      </c>
      <c r="J4431" s="40" t="str">
        <f t="shared" si="354"/>
        <v/>
      </c>
      <c r="K4431" s="24" t="str">
        <f t="shared" si="350"/>
        <v/>
      </c>
      <c r="L4431" s="25" t="str">
        <f t="shared" si="351"/>
        <v/>
      </c>
      <c r="O4431" s="33" t="str">
        <f t="shared" si="352"/>
        <v/>
      </c>
      <c r="P4431" s="33" t="str">
        <f t="shared" si="353"/>
        <v/>
      </c>
    </row>
    <row r="4432" spans="9:16">
      <c r="I4432" s="23" t="str">
        <f>_xlfn.IFNA(VLOOKUP(A4432,A$3524:$H4433,8,0),"")</f>
        <v/>
      </c>
      <c r="J4432" s="40" t="str">
        <f t="shared" si="354"/>
        <v/>
      </c>
      <c r="K4432" s="24" t="str">
        <f t="shared" si="350"/>
        <v/>
      </c>
      <c r="L4432" s="25" t="str">
        <f t="shared" si="351"/>
        <v/>
      </c>
      <c r="O4432" s="33" t="str">
        <f t="shared" si="352"/>
        <v/>
      </c>
      <c r="P4432" s="33" t="str">
        <f t="shared" si="353"/>
        <v/>
      </c>
    </row>
    <row r="4433" spans="9:16">
      <c r="I4433" s="23" t="str">
        <f>_xlfn.IFNA(VLOOKUP(A4433,A$3524:$H4434,8,0),"")</f>
        <v/>
      </c>
      <c r="J4433" s="40" t="str">
        <f t="shared" si="354"/>
        <v/>
      </c>
      <c r="K4433" s="24" t="str">
        <f t="shared" si="350"/>
        <v/>
      </c>
      <c r="L4433" s="25" t="str">
        <f t="shared" si="351"/>
        <v/>
      </c>
      <c r="O4433" s="33" t="str">
        <f t="shared" si="352"/>
        <v/>
      </c>
      <c r="P4433" s="33" t="str">
        <f t="shared" si="353"/>
        <v/>
      </c>
    </row>
    <row r="4434" spans="9:16">
      <c r="I4434" s="23" t="str">
        <f>_xlfn.IFNA(VLOOKUP(A4434,A$3524:$H4435,8,0),"")</f>
        <v/>
      </c>
      <c r="J4434" s="40" t="str">
        <f t="shared" si="354"/>
        <v/>
      </c>
      <c r="K4434" s="24" t="str">
        <f t="shared" si="350"/>
        <v/>
      </c>
      <c r="L4434" s="25" t="str">
        <f t="shared" si="351"/>
        <v/>
      </c>
      <c r="O4434" s="33" t="str">
        <f t="shared" si="352"/>
        <v/>
      </c>
      <c r="P4434" s="33" t="str">
        <f t="shared" si="353"/>
        <v/>
      </c>
    </row>
    <row r="4435" spans="9:16">
      <c r="I4435" s="23" t="str">
        <f>_xlfn.IFNA(VLOOKUP(A4435,A$3524:$H4436,8,0),"")</f>
        <v/>
      </c>
      <c r="J4435" s="40" t="str">
        <f t="shared" si="354"/>
        <v/>
      </c>
      <c r="K4435" s="24" t="str">
        <f t="shared" si="350"/>
        <v/>
      </c>
      <c r="L4435" s="25" t="str">
        <f t="shared" si="351"/>
        <v/>
      </c>
      <c r="O4435" s="33" t="str">
        <f t="shared" si="352"/>
        <v/>
      </c>
      <c r="P4435" s="33" t="str">
        <f t="shared" si="353"/>
        <v/>
      </c>
    </row>
    <row r="4436" spans="9:16">
      <c r="I4436" s="23" t="str">
        <f>_xlfn.IFNA(VLOOKUP(A4436,A$3524:$H4437,8,0),"")</f>
        <v/>
      </c>
      <c r="J4436" s="40" t="str">
        <f t="shared" si="354"/>
        <v/>
      </c>
      <c r="K4436" s="24" t="str">
        <f t="shared" si="350"/>
        <v/>
      </c>
      <c r="L4436" s="25" t="str">
        <f t="shared" si="351"/>
        <v/>
      </c>
      <c r="O4436" s="33" t="str">
        <f t="shared" si="352"/>
        <v/>
      </c>
      <c r="P4436" s="33" t="str">
        <f t="shared" si="353"/>
        <v/>
      </c>
    </row>
    <row r="4437" spans="9:16">
      <c r="I4437" s="23" t="str">
        <f>_xlfn.IFNA(VLOOKUP(A4437,A$3524:$H4438,8,0),"")</f>
        <v/>
      </c>
      <c r="J4437" s="40" t="str">
        <f t="shared" si="354"/>
        <v/>
      </c>
      <c r="K4437" s="24" t="str">
        <f t="shared" si="350"/>
        <v/>
      </c>
      <c r="L4437" s="25" t="str">
        <f t="shared" si="351"/>
        <v/>
      </c>
      <c r="O4437" s="33" t="str">
        <f t="shared" si="352"/>
        <v/>
      </c>
      <c r="P4437" s="33" t="str">
        <f t="shared" si="353"/>
        <v/>
      </c>
    </row>
    <row r="4438" spans="9:16">
      <c r="I4438" s="23" t="str">
        <f>_xlfn.IFNA(VLOOKUP(A4438,A$3524:$H4439,8,0),"")</f>
        <v/>
      </c>
      <c r="J4438" s="40" t="str">
        <f t="shared" si="354"/>
        <v/>
      </c>
      <c r="K4438" s="24" t="str">
        <f t="shared" ref="K4438:K4501" si="355">IF(H4438="","",IFERROR((I4438-H4438)*24,0))</f>
        <v/>
      </c>
      <c r="L4438" s="25" t="str">
        <f t="shared" si="351"/>
        <v/>
      </c>
      <c r="O4438" s="33" t="str">
        <f t="shared" si="352"/>
        <v/>
      </c>
      <c r="P4438" s="33" t="str">
        <f t="shared" si="353"/>
        <v/>
      </c>
    </row>
    <row r="4439" spans="9:16">
      <c r="I4439" s="23" t="str">
        <f>_xlfn.IFNA(VLOOKUP(A4439,A$3524:$H4440,8,0),"")</f>
        <v/>
      </c>
      <c r="J4439" s="40" t="str">
        <f t="shared" si="354"/>
        <v/>
      </c>
      <c r="K4439" s="24" t="str">
        <f t="shared" si="355"/>
        <v/>
      </c>
      <c r="L4439" s="25" t="str">
        <f t="shared" si="351"/>
        <v/>
      </c>
      <c r="O4439" s="33" t="str">
        <f t="shared" si="352"/>
        <v/>
      </c>
      <c r="P4439" s="33" t="str">
        <f t="shared" si="353"/>
        <v/>
      </c>
    </row>
    <row r="4440" spans="9:16">
      <c r="I4440" s="23" t="str">
        <f>_xlfn.IFNA(VLOOKUP(A4440,A$3524:$H4441,8,0),"")</f>
        <v/>
      </c>
      <c r="J4440" s="40" t="str">
        <f t="shared" si="354"/>
        <v/>
      </c>
      <c r="K4440" s="24" t="str">
        <f t="shared" si="355"/>
        <v/>
      </c>
      <c r="L4440" s="25" t="str">
        <f t="shared" si="351"/>
        <v/>
      </c>
      <c r="O4440" s="33" t="str">
        <f t="shared" si="352"/>
        <v/>
      </c>
      <c r="P4440" s="33" t="str">
        <f t="shared" si="353"/>
        <v/>
      </c>
    </row>
    <row r="4441" spans="9:16">
      <c r="I4441" s="23" t="str">
        <f>_xlfn.IFNA(VLOOKUP(A4441,A$3524:$H4442,8,0),"")</f>
        <v/>
      </c>
      <c r="J4441" s="40" t="str">
        <f t="shared" si="354"/>
        <v/>
      </c>
      <c r="K4441" s="24" t="str">
        <f t="shared" si="355"/>
        <v/>
      </c>
      <c r="L4441" s="25" t="str">
        <f t="shared" si="351"/>
        <v/>
      </c>
      <c r="O4441" s="33" t="str">
        <f t="shared" si="352"/>
        <v/>
      </c>
      <c r="P4441" s="33" t="str">
        <f t="shared" si="353"/>
        <v/>
      </c>
    </row>
    <row r="4442" spans="9:16">
      <c r="I4442" s="23" t="str">
        <f>_xlfn.IFNA(VLOOKUP(A4442,A$3524:$H4443,8,0),"")</f>
        <v/>
      </c>
      <c r="J4442" s="40" t="str">
        <f t="shared" si="354"/>
        <v/>
      </c>
      <c r="K4442" s="24" t="str">
        <f t="shared" si="355"/>
        <v/>
      </c>
      <c r="L4442" s="25" t="str">
        <f t="shared" si="351"/>
        <v/>
      </c>
      <c r="O4442" s="33" t="str">
        <f t="shared" si="352"/>
        <v/>
      </c>
      <c r="P4442" s="33" t="str">
        <f t="shared" si="353"/>
        <v/>
      </c>
    </row>
    <row r="4443" spans="9:16">
      <c r="I4443" s="23" t="str">
        <f>_xlfn.IFNA(VLOOKUP(A4443,A$3524:$H4444,8,0),"")</f>
        <v/>
      </c>
      <c r="J4443" s="40" t="str">
        <f t="shared" si="354"/>
        <v/>
      </c>
      <c r="K4443" s="24" t="str">
        <f t="shared" si="355"/>
        <v/>
      </c>
      <c r="L4443" s="25" t="str">
        <f t="shared" si="351"/>
        <v/>
      </c>
      <c r="O4443" s="33" t="str">
        <f t="shared" si="352"/>
        <v/>
      </c>
      <c r="P4443" s="33" t="str">
        <f t="shared" si="353"/>
        <v/>
      </c>
    </row>
    <row r="4444" spans="9:16">
      <c r="I4444" s="23" t="str">
        <f>_xlfn.IFNA(VLOOKUP(A4444,A$3524:$H4445,8,0),"")</f>
        <v/>
      </c>
      <c r="J4444" s="40" t="str">
        <f t="shared" si="354"/>
        <v/>
      </c>
      <c r="K4444" s="24" t="str">
        <f t="shared" si="355"/>
        <v/>
      </c>
      <c r="L4444" s="25" t="str">
        <f t="shared" si="351"/>
        <v/>
      </c>
      <c r="O4444" s="33" t="str">
        <f t="shared" si="352"/>
        <v/>
      </c>
      <c r="P4444" s="33" t="str">
        <f t="shared" si="353"/>
        <v/>
      </c>
    </row>
    <row r="4445" spans="9:16">
      <c r="I4445" s="23" t="str">
        <f>_xlfn.IFNA(VLOOKUP(A4445,A$3524:$H4446,8,0),"")</f>
        <v/>
      </c>
      <c r="J4445" s="40" t="str">
        <f t="shared" si="354"/>
        <v/>
      </c>
      <c r="K4445" s="24" t="str">
        <f t="shared" si="355"/>
        <v/>
      </c>
      <c r="L4445" s="25" t="str">
        <f t="shared" si="351"/>
        <v/>
      </c>
      <c r="O4445" s="33" t="str">
        <f t="shared" si="352"/>
        <v/>
      </c>
      <c r="P4445" s="33" t="str">
        <f t="shared" si="353"/>
        <v/>
      </c>
    </row>
    <row r="4446" spans="9:16">
      <c r="I4446" s="23" t="str">
        <f>_xlfn.IFNA(VLOOKUP(A4446,A$3524:$H4447,8,0),"")</f>
        <v/>
      </c>
      <c r="J4446" s="40" t="str">
        <f t="shared" si="354"/>
        <v/>
      </c>
      <c r="K4446" s="24" t="str">
        <f t="shared" si="355"/>
        <v/>
      </c>
      <c r="L4446" s="25" t="str">
        <f t="shared" si="351"/>
        <v/>
      </c>
      <c r="O4446" s="33" t="str">
        <f t="shared" si="352"/>
        <v/>
      </c>
      <c r="P4446" s="33" t="str">
        <f t="shared" si="353"/>
        <v/>
      </c>
    </row>
    <row r="4447" spans="9:16">
      <c r="I4447" s="23" t="str">
        <f>_xlfn.IFNA(VLOOKUP(A4447,A$3524:$H4448,8,0),"")</f>
        <v/>
      </c>
      <c r="J4447" s="40" t="str">
        <f t="shared" si="354"/>
        <v/>
      </c>
      <c r="K4447" s="24" t="str">
        <f t="shared" si="355"/>
        <v/>
      </c>
      <c r="L4447" s="25" t="str">
        <f t="shared" si="351"/>
        <v/>
      </c>
      <c r="O4447" s="33" t="str">
        <f t="shared" si="352"/>
        <v/>
      </c>
      <c r="P4447" s="33" t="str">
        <f t="shared" si="353"/>
        <v/>
      </c>
    </row>
    <row r="4448" spans="9:16">
      <c r="I4448" s="23" t="str">
        <f>_xlfn.IFNA(VLOOKUP(A4448,A$3524:$H4449,8,0),"")</f>
        <v/>
      </c>
      <c r="J4448" s="40" t="str">
        <f t="shared" si="354"/>
        <v/>
      </c>
      <c r="K4448" s="24" t="str">
        <f t="shared" si="355"/>
        <v/>
      </c>
      <c r="L4448" s="25" t="str">
        <f t="shared" si="351"/>
        <v/>
      </c>
      <c r="O4448" s="33" t="str">
        <f t="shared" si="352"/>
        <v/>
      </c>
      <c r="P4448" s="33" t="str">
        <f t="shared" si="353"/>
        <v/>
      </c>
    </row>
    <row r="4449" spans="9:16">
      <c r="I4449" s="23" t="str">
        <f>_xlfn.IFNA(VLOOKUP(A4449,A$3524:$H4450,8,0),"")</f>
        <v/>
      </c>
      <c r="J4449" s="40" t="str">
        <f t="shared" si="354"/>
        <v/>
      </c>
      <c r="K4449" s="24" t="str">
        <f t="shared" si="355"/>
        <v/>
      </c>
      <c r="L4449" s="25" t="str">
        <f t="shared" si="351"/>
        <v/>
      </c>
      <c r="O4449" s="33" t="str">
        <f t="shared" si="352"/>
        <v/>
      </c>
      <c r="P4449" s="33" t="str">
        <f t="shared" si="353"/>
        <v/>
      </c>
    </row>
    <row r="4450" spans="9:16">
      <c r="I4450" s="23" t="str">
        <f>_xlfn.IFNA(VLOOKUP(A4450,A$3524:$H4451,8,0),"")</f>
        <v/>
      </c>
      <c r="J4450" s="40" t="str">
        <f t="shared" si="354"/>
        <v/>
      </c>
      <c r="K4450" s="24" t="str">
        <f t="shared" si="355"/>
        <v/>
      </c>
      <c r="L4450" s="25" t="str">
        <f t="shared" si="351"/>
        <v/>
      </c>
      <c r="O4450" s="33" t="str">
        <f t="shared" si="352"/>
        <v/>
      </c>
      <c r="P4450" s="33" t="str">
        <f t="shared" si="353"/>
        <v/>
      </c>
    </row>
    <row r="4451" spans="9:16">
      <c r="I4451" s="23" t="str">
        <f>_xlfn.IFNA(VLOOKUP(A4451,A$3524:$H4452,8,0),"")</f>
        <v/>
      </c>
      <c r="J4451" s="40" t="str">
        <f t="shared" si="354"/>
        <v/>
      </c>
      <c r="K4451" s="24" t="str">
        <f t="shared" si="355"/>
        <v/>
      </c>
      <c r="L4451" s="25" t="str">
        <f t="shared" si="351"/>
        <v/>
      </c>
      <c r="O4451" s="33" t="str">
        <f t="shared" si="352"/>
        <v/>
      </c>
      <c r="P4451" s="33" t="str">
        <f t="shared" si="353"/>
        <v/>
      </c>
    </row>
    <row r="4452" spans="9:16">
      <c r="I4452" s="23" t="str">
        <f>_xlfn.IFNA(VLOOKUP(A4452,A$3524:$H4453,8,0),"")</f>
        <v/>
      </c>
      <c r="J4452" s="40" t="str">
        <f t="shared" si="354"/>
        <v/>
      </c>
      <c r="K4452" s="24" t="str">
        <f t="shared" si="355"/>
        <v/>
      </c>
      <c r="L4452" s="25" t="str">
        <f t="shared" si="351"/>
        <v/>
      </c>
      <c r="O4452" s="33" t="str">
        <f t="shared" si="352"/>
        <v/>
      </c>
      <c r="P4452" s="33" t="str">
        <f t="shared" si="353"/>
        <v/>
      </c>
    </row>
    <row r="4453" spans="9:16">
      <c r="I4453" s="23" t="str">
        <f>_xlfn.IFNA(VLOOKUP(A4453,A$3524:$H4454,8,0),"")</f>
        <v/>
      </c>
      <c r="J4453" s="40" t="str">
        <f t="shared" si="354"/>
        <v/>
      </c>
      <c r="K4453" s="24" t="str">
        <f t="shared" si="355"/>
        <v/>
      </c>
      <c r="L4453" s="25" t="str">
        <f t="shared" si="351"/>
        <v/>
      </c>
      <c r="O4453" s="33" t="str">
        <f t="shared" si="352"/>
        <v/>
      </c>
      <c r="P4453" s="33" t="str">
        <f t="shared" si="353"/>
        <v/>
      </c>
    </row>
    <row r="4454" spans="9:16">
      <c r="I4454" s="23" t="str">
        <f>_xlfn.IFNA(VLOOKUP(A4454,A$3524:$H4455,8,0),"")</f>
        <v/>
      </c>
      <c r="J4454" s="40" t="str">
        <f t="shared" si="354"/>
        <v/>
      </c>
      <c r="K4454" s="24" t="str">
        <f t="shared" si="355"/>
        <v/>
      </c>
      <c r="L4454" s="25" t="str">
        <f t="shared" si="351"/>
        <v/>
      </c>
      <c r="O4454" s="33" t="str">
        <f t="shared" si="352"/>
        <v/>
      </c>
      <c r="P4454" s="33" t="str">
        <f t="shared" si="353"/>
        <v/>
      </c>
    </row>
    <row r="4455" spans="9:16">
      <c r="I4455" s="23" t="str">
        <f>_xlfn.IFNA(VLOOKUP(A4455,A$3524:$H4456,8,0),"")</f>
        <v/>
      </c>
      <c r="J4455" s="40" t="str">
        <f t="shared" si="354"/>
        <v/>
      </c>
      <c r="K4455" s="24" t="str">
        <f t="shared" si="355"/>
        <v/>
      </c>
      <c r="L4455" s="25" t="str">
        <f t="shared" si="351"/>
        <v/>
      </c>
      <c r="O4455" s="33" t="str">
        <f t="shared" si="352"/>
        <v/>
      </c>
      <c r="P4455" s="33" t="str">
        <f t="shared" si="353"/>
        <v/>
      </c>
    </row>
    <row r="4456" spans="9:16">
      <c r="I4456" s="23" t="str">
        <f>_xlfn.IFNA(VLOOKUP(A4456,A$3524:$H4457,8,0),"")</f>
        <v/>
      </c>
      <c r="J4456" s="40" t="str">
        <f t="shared" si="354"/>
        <v/>
      </c>
      <c r="K4456" s="24" t="str">
        <f t="shared" si="355"/>
        <v/>
      </c>
      <c r="L4456" s="25" t="str">
        <f t="shared" si="351"/>
        <v/>
      </c>
      <c r="O4456" s="33" t="str">
        <f t="shared" si="352"/>
        <v/>
      </c>
      <c r="P4456" s="33" t="str">
        <f t="shared" si="353"/>
        <v/>
      </c>
    </row>
    <row r="4457" spans="9:16">
      <c r="I4457" s="23" t="str">
        <f>_xlfn.IFNA(VLOOKUP(A4457,A$3524:$H4458,8,0),"")</f>
        <v/>
      </c>
      <c r="J4457" s="40" t="str">
        <f t="shared" si="354"/>
        <v/>
      </c>
      <c r="K4457" s="24" t="str">
        <f t="shared" si="355"/>
        <v/>
      </c>
      <c r="L4457" s="25" t="str">
        <f t="shared" si="351"/>
        <v/>
      </c>
      <c r="O4457" s="33" t="str">
        <f t="shared" si="352"/>
        <v/>
      </c>
      <c r="P4457" s="33" t="str">
        <f t="shared" si="353"/>
        <v/>
      </c>
    </row>
    <row r="4458" spans="9:16">
      <c r="I4458" s="23" t="str">
        <f>_xlfn.IFNA(VLOOKUP(A4458,A$3524:$H4459,8,0),"")</f>
        <v/>
      </c>
      <c r="J4458" s="40" t="str">
        <f t="shared" si="354"/>
        <v/>
      </c>
      <c r="K4458" s="24" t="str">
        <f t="shared" si="355"/>
        <v/>
      </c>
      <c r="L4458" s="25" t="str">
        <f t="shared" si="351"/>
        <v/>
      </c>
      <c r="O4458" s="33" t="str">
        <f t="shared" si="352"/>
        <v/>
      </c>
      <c r="P4458" s="33" t="str">
        <f t="shared" si="353"/>
        <v/>
      </c>
    </row>
    <row r="4459" spans="9:16">
      <c r="I4459" s="23" t="str">
        <f>_xlfn.IFNA(VLOOKUP(A4459,A$3524:$H4460,8,0),"")</f>
        <v/>
      </c>
      <c r="J4459" s="40" t="str">
        <f t="shared" si="354"/>
        <v/>
      </c>
      <c r="K4459" s="24" t="str">
        <f t="shared" si="355"/>
        <v/>
      </c>
      <c r="L4459" s="25" t="str">
        <f t="shared" si="351"/>
        <v/>
      </c>
      <c r="O4459" s="33" t="str">
        <f t="shared" si="352"/>
        <v/>
      </c>
      <c r="P4459" s="33" t="str">
        <f t="shared" si="353"/>
        <v/>
      </c>
    </row>
    <row r="4460" spans="9:16">
      <c r="I4460" s="23" t="str">
        <f>_xlfn.IFNA(VLOOKUP(A4460,A$3524:$H4461,8,0),"")</f>
        <v/>
      </c>
      <c r="J4460" s="40" t="str">
        <f t="shared" si="354"/>
        <v/>
      </c>
      <c r="K4460" s="24" t="str">
        <f t="shared" si="355"/>
        <v/>
      </c>
      <c r="L4460" s="25" t="str">
        <f t="shared" si="351"/>
        <v/>
      </c>
      <c r="O4460" s="33" t="str">
        <f t="shared" si="352"/>
        <v/>
      </c>
      <c r="P4460" s="33" t="str">
        <f t="shared" si="353"/>
        <v/>
      </c>
    </row>
    <row r="4461" spans="9:16">
      <c r="I4461" s="23" t="str">
        <f>_xlfn.IFNA(VLOOKUP(A4461,A$3524:$H4462,8,0),"")</f>
        <v/>
      </c>
      <c r="J4461" s="40" t="str">
        <f t="shared" si="354"/>
        <v/>
      </c>
      <c r="K4461" s="24" t="str">
        <f t="shared" si="355"/>
        <v/>
      </c>
      <c r="L4461" s="25" t="str">
        <f t="shared" si="351"/>
        <v/>
      </c>
      <c r="O4461" s="33" t="str">
        <f t="shared" si="352"/>
        <v/>
      </c>
      <c r="P4461" s="33" t="str">
        <f t="shared" si="353"/>
        <v/>
      </c>
    </row>
    <row r="4462" spans="9:16">
      <c r="I4462" s="23" t="str">
        <f>_xlfn.IFNA(VLOOKUP(A4462,A$3524:$H4463,8,0),"")</f>
        <v/>
      </c>
      <c r="J4462" s="40" t="str">
        <f t="shared" si="354"/>
        <v/>
      </c>
      <c r="K4462" s="24" t="str">
        <f t="shared" si="355"/>
        <v/>
      </c>
      <c r="L4462" s="25" t="str">
        <f t="shared" si="351"/>
        <v/>
      </c>
      <c r="O4462" s="33" t="str">
        <f t="shared" si="352"/>
        <v/>
      </c>
      <c r="P4462" s="33" t="str">
        <f t="shared" si="353"/>
        <v/>
      </c>
    </row>
    <row r="4463" spans="9:16">
      <c r="I4463" s="23" t="str">
        <f>_xlfn.IFNA(VLOOKUP(A4463,A$3524:$H4464,8,0),"")</f>
        <v/>
      </c>
      <c r="J4463" s="40" t="str">
        <f t="shared" si="354"/>
        <v/>
      </c>
      <c r="K4463" s="24" t="str">
        <f t="shared" si="355"/>
        <v/>
      </c>
      <c r="L4463" s="25" t="str">
        <f t="shared" si="351"/>
        <v/>
      </c>
      <c r="O4463" s="33" t="str">
        <f t="shared" si="352"/>
        <v/>
      </c>
      <c r="P4463" s="33" t="str">
        <f t="shared" si="353"/>
        <v/>
      </c>
    </row>
    <row r="4464" spans="9:16">
      <c r="I4464" s="23" t="str">
        <f>_xlfn.IFNA(VLOOKUP(A4464,A$3524:$H4465,8,0),"")</f>
        <v/>
      </c>
      <c r="J4464" s="40" t="str">
        <f t="shared" si="354"/>
        <v/>
      </c>
      <c r="K4464" s="24" t="str">
        <f t="shared" si="355"/>
        <v/>
      </c>
      <c r="L4464" s="25" t="str">
        <f t="shared" si="351"/>
        <v/>
      </c>
      <c r="O4464" s="33" t="str">
        <f t="shared" si="352"/>
        <v/>
      </c>
      <c r="P4464" s="33" t="str">
        <f t="shared" si="353"/>
        <v/>
      </c>
    </row>
    <row r="4465" spans="9:16">
      <c r="I4465" s="23" t="str">
        <f>_xlfn.IFNA(VLOOKUP(A4465,A$3524:$H4466,8,0),"")</f>
        <v/>
      </c>
      <c r="J4465" s="40" t="str">
        <f t="shared" si="354"/>
        <v/>
      </c>
      <c r="K4465" s="24" t="str">
        <f t="shared" si="355"/>
        <v/>
      </c>
      <c r="L4465" s="25" t="str">
        <f t="shared" si="351"/>
        <v/>
      </c>
      <c r="O4465" s="33" t="str">
        <f t="shared" si="352"/>
        <v/>
      </c>
      <c r="P4465" s="33" t="str">
        <f t="shared" si="353"/>
        <v/>
      </c>
    </row>
    <row r="4466" spans="9:16">
      <c r="I4466" s="23" t="str">
        <f>_xlfn.IFNA(VLOOKUP(A4466,A$3524:$H4467,8,0),"")</f>
        <v/>
      </c>
      <c r="J4466" s="40" t="str">
        <f t="shared" si="354"/>
        <v/>
      </c>
      <c r="K4466" s="24" t="str">
        <f t="shared" si="355"/>
        <v/>
      </c>
      <c r="L4466" s="25" t="str">
        <f t="shared" si="351"/>
        <v/>
      </c>
      <c r="O4466" s="33" t="str">
        <f t="shared" si="352"/>
        <v/>
      </c>
      <c r="P4466" s="33" t="str">
        <f t="shared" si="353"/>
        <v/>
      </c>
    </row>
    <row r="4467" spans="9:16">
      <c r="I4467" s="23" t="str">
        <f>_xlfn.IFNA(VLOOKUP(A4467,A$3524:$H4468,8,0),"")</f>
        <v/>
      </c>
      <c r="J4467" s="40" t="str">
        <f t="shared" si="354"/>
        <v/>
      </c>
      <c r="K4467" s="24" t="str">
        <f t="shared" si="355"/>
        <v/>
      </c>
      <c r="L4467" s="25" t="str">
        <f t="shared" si="351"/>
        <v/>
      </c>
      <c r="O4467" s="33" t="str">
        <f t="shared" si="352"/>
        <v/>
      </c>
      <c r="P4467" s="33" t="str">
        <f t="shared" si="353"/>
        <v/>
      </c>
    </row>
    <row r="4468" spans="9:16">
      <c r="I4468" s="23" t="str">
        <f>_xlfn.IFNA(VLOOKUP(A4468,A$3524:$H4469,8,0),"")</f>
        <v/>
      </c>
      <c r="J4468" s="40" t="str">
        <f t="shared" si="354"/>
        <v/>
      </c>
      <c r="K4468" s="24" t="str">
        <f t="shared" si="355"/>
        <v/>
      </c>
      <c r="L4468" s="25" t="str">
        <f t="shared" si="351"/>
        <v/>
      </c>
      <c r="O4468" s="33" t="str">
        <f t="shared" si="352"/>
        <v/>
      </c>
      <c r="P4468" s="33" t="str">
        <f t="shared" si="353"/>
        <v/>
      </c>
    </row>
    <row r="4469" spans="9:16">
      <c r="I4469" s="23" t="str">
        <f>_xlfn.IFNA(VLOOKUP(A4469,A$3524:$H4470,8,0),"")</f>
        <v/>
      </c>
      <c r="J4469" s="40" t="str">
        <f t="shared" si="354"/>
        <v/>
      </c>
      <c r="K4469" s="24" t="str">
        <f t="shared" si="355"/>
        <v/>
      </c>
      <c r="L4469" s="25" t="str">
        <f t="shared" si="351"/>
        <v/>
      </c>
      <c r="O4469" s="33" t="str">
        <f t="shared" si="352"/>
        <v/>
      </c>
      <c r="P4469" s="33" t="str">
        <f t="shared" si="353"/>
        <v/>
      </c>
    </row>
    <row r="4470" spans="9:16">
      <c r="I4470" s="23" t="str">
        <f>_xlfn.IFNA(VLOOKUP(A4470,A$3524:$H4471,8,0),"")</f>
        <v/>
      </c>
      <c r="J4470" s="40" t="str">
        <f t="shared" si="354"/>
        <v/>
      </c>
      <c r="K4470" s="24" t="str">
        <f t="shared" si="355"/>
        <v/>
      </c>
      <c r="L4470" s="25" t="str">
        <f t="shared" si="351"/>
        <v/>
      </c>
      <c r="O4470" s="33" t="str">
        <f t="shared" si="352"/>
        <v/>
      </c>
      <c r="P4470" s="33" t="str">
        <f t="shared" si="353"/>
        <v/>
      </c>
    </row>
    <row r="4471" spans="9:16">
      <c r="I4471" s="23" t="str">
        <f>_xlfn.IFNA(VLOOKUP(A4471,A$3524:$H4472,8,0),"")</f>
        <v/>
      </c>
      <c r="J4471" s="40" t="str">
        <f t="shared" si="354"/>
        <v/>
      </c>
      <c r="K4471" s="24" t="str">
        <f t="shared" si="355"/>
        <v/>
      </c>
      <c r="L4471" s="25" t="str">
        <f t="shared" ref="L4471:L4534" si="356">IF(K4471="","",IF(B4471="Break","Break",IF(K4471&lt;&gt;0,"Work Finished",IF(B4471="OFF","Work Finished",IF(I4471="","Working","Work Finished")))))</f>
        <v/>
      </c>
      <c r="O4471" s="33" t="str">
        <f t="shared" ref="O4471:O4534" si="357">IF(AND(J4471="",M4471="",N4471=""),"",J4471-M4471-N4471)</f>
        <v/>
      </c>
      <c r="P4471" s="33" t="str">
        <f t="shared" ref="P4471:P4534" si="358">IF(HOUR(H4471)=0,"",HOUR(H4471))</f>
        <v/>
      </c>
    </row>
    <row r="4472" spans="9:16">
      <c r="I4472" s="23" t="str">
        <f>_xlfn.IFNA(VLOOKUP(A4472,A$3524:$H4473,8,0),"")</f>
        <v/>
      </c>
      <c r="J4472" s="40" t="str">
        <f t="shared" si="354"/>
        <v/>
      </c>
      <c r="K4472" s="24" t="str">
        <f t="shared" si="355"/>
        <v/>
      </c>
      <c r="L4472" s="25" t="str">
        <f t="shared" si="356"/>
        <v/>
      </c>
      <c r="O4472" s="33" t="str">
        <f t="shared" si="357"/>
        <v/>
      </c>
      <c r="P4472" s="33" t="str">
        <f t="shared" si="358"/>
        <v/>
      </c>
    </row>
    <row r="4473" spans="9:16">
      <c r="I4473" s="23" t="str">
        <f>_xlfn.IFNA(VLOOKUP(A4473,A$3524:$H4474,8,0),"")</f>
        <v/>
      </c>
      <c r="J4473" s="40" t="str">
        <f t="shared" si="354"/>
        <v/>
      </c>
      <c r="K4473" s="24" t="str">
        <f t="shared" si="355"/>
        <v/>
      </c>
      <c r="L4473" s="25" t="str">
        <f t="shared" si="356"/>
        <v/>
      </c>
      <c r="O4473" s="33" t="str">
        <f t="shared" si="357"/>
        <v/>
      </c>
      <c r="P4473" s="33" t="str">
        <f t="shared" si="358"/>
        <v/>
      </c>
    </row>
    <row r="4474" spans="9:16">
      <c r="I4474" s="23" t="str">
        <f>_xlfn.IFNA(VLOOKUP(A4474,A$3524:$H4475,8,0),"")</f>
        <v/>
      </c>
      <c r="J4474" s="40" t="str">
        <f t="shared" si="354"/>
        <v/>
      </c>
      <c r="K4474" s="24" t="str">
        <f t="shared" si="355"/>
        <v/>
      </c>
      <c r="L4474" s="25" t="str">
        <f t="shared" si="356"/>
        <v/>
      </c>
      <c r="O4474" s="33" t="str">
        <f t="shared" si="357"/>
        <v/>
      </c>
      <c r="P4474" s="33" t="str">
        <f t="shared" si="358"/>
        <v/>
      </c>
    </row>
    <row r="4475" spans="9:16">
      <c r="I4475" s="23" t="str">
        <f>_xlfn.IFNA(VLOOKUP(A4475,A$3524:$H4476,8,0),"")</f>
        <v/>
      </c>
      <c r="J4475" s="40" t="str">
        <f t="shared" si="354"/>
        <v/>
      </c>
      <c r="K4475" s="24" t="str">
        <f t="shared" si="355"/>
        <v/>
      </c>
      <c r="L4475" s="25" t="str">
        <f t="shared" si="356"/>
        <v/>
      </c>
      <c r="O4475" s="33" t="str">
        <f t="shared" si="357"/>
        <v/>
      </c>
      <c r="P4475" s="33" t="str">
        <f t="shared" si="358"/>
        <v/>
      </c>
    </row>
    <row r="4476" spans="9:16">
      <c r="I4476" s="23" t="str">
        <f>_xlfn.IFNA(VLOOKUP(A4476,A$3524:$H4477,8,0),"")</f>
        <v/>
      </c>
      <c r="J4476" s="40" t="str">
        <f t="shared" si="354"/>
        <v/>
      </c>
      <c r="K4476" s="24" t="str">
        <f t="shared" si="355"/>
        <v/>
      </c>
      <c r="L4476" s="25" t="str">
        <f t="shared" si="356"/>
        <v/>
      </c>
      <c r="O4476" s="33" t="str">
        <f t="shared" si="357"/>
        <v/>
      </c>
      <c r="P4476" s="33" t="str">
        <f t="shared" si="358"/>
        <v/>
      </c>
    </row>
    <row r="4477" spans="9:16">
      <c r="I4477" s="23" t="str">
        <f>_xlfn.IFNA(VLOOKUP(A4477,A$3524:$H4478,8,0),"")</f>
        <v/>
      </c>
      <c r="J4477" s="40" t="str">
        <f t="shared" si="354"/>
        <v/>
      </c>
      <c r="K4477" s="24" t="str">
        <f t="shared" si="355"/>
        <v/>
      </c>
      <c r="L4477" s="25" t="str">
        <f t="shared" si="356"/>
        <v/>
      </c>
      <c r="O4477" s="33" t="str">
        <f t="shared" si="357"/>
        <v/>
      </c>
      <c r="P4477" s="33" t="str">
        <f t="shared" si="358"/>
        <v/>
      </c>
    </row>
    <row r="4478" spans="9:16">
      <c r="I4478" s="23" t="str">
        <f>_xlfn.IFNA(VLOOKUP(A4478,A$3524:$H4479,8,0),"")</f>
        <v/>
      </c>
      <c r="J4478" s="40" t="str">
        <f t="shared" si="354"/>
        <v/>
      </c>
      <c r="K4478" s="24" t="str">
        <f t="shared" si="355"/>
        <v/>
      </c>
      <c r="L4478" s="25" t="str">
        <f t="shared" si="356"/>
        <v/>
      </c>
      <c r="O4478" s="33" t="str">
        <f t="shared" si="357"/>
        <v/>
      </c>
      <c r="P4478" s="33" t="str">
        <f t="shared" si="358"/>
        <v/>
      </c>
    </row>
    <row r="4479" spans="9:16">
      <c r="I4479" s="23" t="str">
        <f>_xlfn.IFNA(VLOOKUP(A4479,A$3524:$H4480,8,0),"")</f>
        <v/>
      </c>
      <c r="J4479" s="40" t="str">
        <f t="shared" si="354"/>
        <v/>
      </c>
      <c r="K4479" s="24" t="str">
        <f t="shared" si="355"/>
        <v/>
      </c>
      <c r="L4479" s="25" t="str">
        <f t="shared" si="356"/>
        <v/>
      </c>
      <c r="O4479" s="33" t="str">
        <f t="shared" si="357"/>
        <v/>
      </c>
      <c r="P4479" s="33" t="str">
        <f t="shared" si="358"/>
        <v/>
      </c>
    </row>
    <row r="4480" spans="9:16">
      <c r="I4480" s="23" t="str">
        <f>_xlfn.IFNA(VLOOKUP(A4480,A$3524:$H4481,8,0),"")</f>
        <v/>
      </c>
      <c r="J4480" s="40" t="str">
        <f t="shared" si="354"/>
        <v/>
      </c>
      <c r="K4480" s="24" t="str">
        <f t="shared" si="355"/>
        <v/>
      </c>
      <c r="L4480" s="25" t="str">
        <f t="shared" si="356"/>
        <v/>
      </c>
      <c r="O4480" s="33" t="str">
        <f t="shared" si="357"/>
        <v/>
      </c>
      <c r="P4480" s="33" t="str">
        <f t="shared" si="358"/>
        <v/>
      </c>
    </row>
    <row r="4481" spans="9:16">
      <c r="I4481" s="23" t="str">
        <f>_xlfn.IFNA(VLOOKUP(A4481,A$3524:$H4482,8,0),"")</f>
        <v/>
      </c>
      <c r="J4481" s="40" t="str">
        <f t="shared" si="354"/>
        <v/>
      </c>
      <c r="K4481" s="24" t="str">
        <f t="shared" si="355"/>
        <v/>
      </c>
      <c r="L4481" s="25" t="str">
        <f t="shared" si="356"/>
        <v/>
      </c>
      <c r="O4481" s="33" t="str">
        <f t="shared" si="357"/>
        <v/>
      </c>
      <c r="P4481" s="33" t="str">
        <f t="shared" si="358"/>
        <v/>
      </c>
    </row>
    <row r="4482" spans="9:16">
      <c r="I4482" s="23" t="str">
        <f>_xlfn.IFNA(VLOOKUP(A4482,A$3524:$H4483,8,0),"")</f>
        <v/>
      </c>
      <c r="J4482" s="40" t="str">
        <f t="shared" si="354"/>
        <v/>
      </c>
      <c r="K4482" s="24" t="str">
        <f t="shared" si="355"/>
        <v/>
      </c>
      <c r="L4482" s="25" t="str">
        <f t="shared" si="356"/>
        <v/>
      </c>
      <c r="O4482" s="33" t="str">
        <f t="shared" si="357"/>
        <v/>
      </c>
      <c r="P4482" s="33" t="str">
        <f t="shared" si="358"/>
        <v/>
      </c>
    </row>
    <row r="4483" spans="9:16">
      <c r="I4483" s="23" t="str">
        <f>_xlfn.IFNA(VLOOKUP(A4483,A$3524:$H4484,8,0),"")</f>
        <v/>
      </c>
      <c r="J4483" s="40" t="str">
        <f t="shared" si="354"/>
        <v/>
      </c>
      <c r="K4483" s="24" t="str">
        <f t="shared" si="355"/>
        <v/>
      </c>
      <c r="L4483" s="25" t="str">
        <f t="shared" si="356"/>
        <v/>
      </c>
      <c r="O4483" s="33" t="str">
        <f t="shared" si="357"/>
        <v/>
      </c>
      <c r="P4483" s="33" t="str">
        <f t="shared" si="358"/>
        <v/>
      </c>
    </row>
    <row r="4484" spans="9:16">
      <c r="I4484" s="23" t="str">
        <f>_xlfn.IFNA(VLOOKUP(A4484,A$3524:$H4485,8,0),"")</f>
        <v/>
      </c>
      <c r="J4484" s="40" t="str">
        <f t="shared" si="354"/>
        <v/>
      </c>
      <c r="K4484" s="24" t="str">
        <f t="shared" si="355"/>
        <v/>
      </c>
      <c r="L4484" s="25" t="str">
        <f t="shared" si="356"/>
        <v/>
      </c>
      <c r="O4484" s="33" t="str">
        <f t="shared" si="357"/>
        <v/>
      </c>
      <c r="P4484" s="33" t="str">
        <f t="shared" si="358"/>
        <v/>
      </c>
    </row>
    <row r="4485" spans="9:16">
      <c r="I4485" s="23" t="str">
        <f>_xlfn.IFNA(VLOOKUP(A4485,A$3524:$H4486,8,0),"")</f>
        <v/>
      </c>
      <c r="J4485" s="40" t="str">
        <f t="shared" si="354"/>
        <v/>
      </c>
      <c r="K4485" s="24" t="str">
        <f t="shared" si="355"/>
        <v/>
      </c>
      <c r="L4485" s="25" t="str">
        <f t="shared" si="356"/>
        <v/>
      </c>
      <c r="O4485" s="33" t="str">
        <f t="shared" si="357"/>
        <v/>
      </c>
      <c r="P4485" s="33" t="str">
        <f t="shared" si="358"/>
        <v/>
      </c>
    </row>
    <row r="4486" spans="9:16">
      <c r="I4486" s="23" t="str">
        <f>_xlfn.IFNA(VLOOKUP(A4486,A$3524:$H4487,8,0),"")</f>
        <v/>
      </c>
      <c r="J4486" s="40" t="str">
        <f t="shared" ref="J4486:J4549" si="359">IF(B4486="OFF",0,IF(AND(D4486&lt;&gt;"",E4486&lt;&gt;""),E4486-D4486+1,""))</f>
        <v/>
      </c>
      <c r="K4486" s="24" t="str">
        <f t="shared" si="355"/>
        <v/>
      </c>
      <c r="L4486" s="25" t="str">
        <f t="shared" si="356"/>
        <v/>
      </c>
      <c r="O4486" s="33" t="str">
        <f t="shared" si="357"/>
        <v/>
      </c>
      <c r="P4486" s="33" t="str">
        <f t="shared" si="358"/>
        <v/>
      </c>
    </row>
    <row r="4487" spans="9:16">
      <c r="I4487" s="23" t="str">
        <f>_xlfn.IFNA(VLOOKUP(A4487,A$3524:$H4488,8,0),"")</f>
        <v/>
      </c>
      <c r="J4487" s="40" t="str">
        <f t="shared" si="359"/>
        <v/>
      </c>
      <c r="K4487" s="24" t="str">
        <f t="shared" si="355"/>
        <v/>
      </c>
      <c r="L4487" s="25" t="str">
        <f t="shared" si="356"/>
        <v/>
      </c>
      <c r="O4487" s="33" t="str">
        <f t="shared" si="357"/>
        <v/>
      </c>
      <c r="P4487" s="33" t="str">
        <f t="shared" si="358"/>
        <v/>
      </c>
    </row>
    <row r="4488" spans="9:16">
      <c r="I4488" s="23" t="str">
        <f>_xlfn.IFNA(VLOOKUP(A4488,A$3524:$H4489,8,0),"")</f>
        <v/>
      </c>
      <c r="J4488" s="40" t="str">
        <f t="shared" si="359"/>
        <v/>
      </c>
      <c r="K4488" s="24" t="str">
        <f t="shared" si="355"/>
        <v/>
      </c>
      <c r="L4488" s="25" t="str">
        <f t="shared" si="356"/>
        <v/>
      </c>
      <c r="O4488" s="33" t="str">
        <f t="shared" si="357"/>
        <v/>
      </c>
      <c r="P4488" s="33" t="str">
        <f t="shared" si="358"/>
        <v/>
      </c>
    </row>
    <row r="4489" spans="9:16">
      <c r="I4489" s="23" t="str">
        <f>_xlfn.IFNA(VLOOKUP(A4489,A$3524:$H4490,8,0),"")</f>
        <v/>
      </c>
      <c r="J4489" s="40" t="str">
        <f t="shared" si="359"/>
        <v/>
      </c>
      <c r="K4489" s="24" t="str">
        <f t="shared" si="355"/>
        <v/>
      </c>
      <c r="L4489" s="25" t="str">
        <f t="shared" si="356"/>
        <v/>
      </c>
      <c r="O4489" s="33" t="str">
        <f t="shared" si="357"/>
        <v/>
      </c>
      <c r="P4489" s="33" t="str">
        <f t="shared" si="358"/>
        <v/>
      </c>
    </row>
    <row r="4490" spans="9:16">
      <c r="I4490" s="23" t="str">
        <f>_xlfn.IFNA(VLOOKUP(A4490,A$3524:$H4491,8,0),"")</f>
        <v/>
      </c>
      <c r="J4490" s="40" t="str">
        <f t="shared" si="359"/>
        <v/>
      </c>
      <c r="K4490" s="24" t="str">
        <f t="shared" si="355"/>
        <v/>
      </c>
      <c r="L4490" s="25" t="str">
        <f t="shared" si="356"/>
        <v/>
      </c>
      <c r="O4490" s="33" t="str">
        <f t="shared" si="357"/>
        <v/>
      </c>
      <c r="P4490" s="33" t="str">
        <f t="shared" si="358"/>
        <v/>
      </c>
    </row>
    <row r="4491" spans="9:16">
      <c r="I4491" s="23" t="str">
        <f>_xlfn.IFNA(VLOOKUP(A4491,A$3524:$H4492,8,0),"")</f>
        <v/>
      </c>
      <c r="J4491" s="40" t="str">
        <f t="shared" si="359"/>
        <v/>
      </c>
      <c r="K4491" s="24" t="str">
        <f t="shared" si="355"/>
        <v/>
      </c>
      <c r="L4491" s="25" t="str">
        <f t="shared" si="356"/>
        <v/>
      </c>
      <c r="O4491" s="33" t="str">
        <f t="shared" si="357"/>
        <v/>
      </c>
      <c r="P4491" s="33" t="str">
        <f t="shared" si="358"/>
        <v/>
      </c>
    </row>
    <row r="4492" spans="9:16">
      <c r="I4492" s="23" t="str">
        <f>_xlfn.IFNA(VLOOKUP(A4492,A$3524:$H4493,8,0),"")</f>
        <v/>
      </c>
      <c r="J4492" s="40" t="str">
        <f t="shared" si="359"/>
        <v/>
      </c>
      <c r="K4492" s="24" t="str">
        <f t="shared" si="355"/>
        <v/>
      </c>
      <c r="L4492" s="25" t="str">
        <f t="shared" si="356"/>
        <v/>
      </c>
      <c r="O4492" s="33" t="str">
        <f t="shared" si="357"/>
        <v/>
      </c>
      <c r="P4492" s="33" t="str">
        <f t="shared" si="358"/>
        <v/>
      </c>
    </row>
    <row r="4493" spans="9:16">
      <c r="I4493" s="23" t="str">
        <f>_xlfn.IFNA(VLOOKUP(A4493,A$3524:$H4494,8,0),"")</f>
        <v/>
      </c>
      <c r="J4493" s="40" t="str">
        <f t="shared" si="359"/>
        <v/>
      </c>
      <c r="K4493" s="24" t="str">
        <f t="shared" si="355"/>
        <v/>
      </c>
      <c r="L4493" s="25" t="str">
        <f t="shared" si="356"/>
        <v/>
      </c>
      <c r="O4493" s="33" t="str">
        <f t="shared" si="357"/>
        <v/>
      </c>
      <c r="P4493" s="33" t="str">
        <f t="shared" si="358"/>
        <v/>
      </c>
    </row>
    <row r="4494" spans="9:16">
      <c r="I4494" s="23" t="str">
        <f>_xlfn.IFNA(VLOOKUP(A4494,A$3524:$H4495,8,0),"")</f>
        <v/>
      </c>
      <c r="J4494" s="40" t="str">
        <f t="shared" si="359"/>
        <v/>
      </c>
      <c r="K4494" s="24" t="str">
        <f t="shared" si="355"/>
        <v/>
      </c>
      <c r="L4494" s="25" t="str">
        <f t="shared" si="356"/>
        <v/>
      </c>
      <c r="O4494" s="33" t="str">
        <f t="shared" si="357"/>
        <v/>
      </c>
      <c r="P4494" s="33" t="str">
        <f t="shared" si="358"/>
        <v/>
      </c>
    </row>
    <row r="4495" spans="9:16">
      <c r="I4495" s="23" t="str">
        <f>_xlfn.IFNA(VLOOKUP(A4495,A$3524:$H4496,8,0),"")</f>
        <v/>
      </c>
      <c r="J4495" s="40" t="str">
        <f t="shared" si="359"/>
        <v/>
      </c>
      <c r="K4495" s="24" t="str">
        <f t="shared" si="355"/>
        <v/>
      </c>
      <c r="L4495" s="25" t="str">
        <f t="shared" si="356"/>
        <v/>
      </c>
      <c r="O4495" s="33" t="str">
        <f t="shared" si="357"/>
        <v/>
      </c>
      <c r="P4495" s="33" t="str">
        <f t="shared" si="358"/>
        <v/>
      </c>
    </row>
    <row r="4496" spans="9:16">
      <c r="I4496" s="23" t="str">
        <f>_xlfn.IFNA(VLOOKUP(A4496,A$3524:$H4497,8,0),"")</f>
        <v/>
      </c>
      <c r="J4496" s="40" t="str">
        <f t="shared" si="359"/>
        <v/>
      </c>
      <c r="K4496" s="24" t="str">
        <f t="shared" si="355"/>
        <v/>
      </c>
      <c r="L4496" s="25" t="str">
        <f t="shared" si="356"/>
        <v/>
      </c>
      <c r="O4496" s="33" t="str">
        <f t="shared" si="357"/>
        <v/>
      </c>
      <c r="P4496" s="33" t="str">
        <f t="shared" si="358"/>
        <v/>
      </c>
    </row>
    <row r="4497" spans="9:16">
      <c r="I4497" s="23" t="str">
        <f>_xlfn.IFNA(VLOOKUP(A4497,A$3524:$H4498,8,0),"")</f>
        <v/>
      </c>
      <c r="J4497" s="40" t="str">
        <f t="shared" si="359"/>
        <v/>
      </c>
      <c r="K4497" s="24" t="str">
        <f t="shared" si="355"/>
        <v/>
      </c>
      <c r="L4497" s="25" t="str">
        <f t="shared" si="356"/>
        <v/>
      </c>
      <c r="O4497" s="33" t="str">
        <f t="shared" si="357"/>
        <v/>
      </c>
      <c r="P4497" s="33" t="str">
        <f t="shared" si="358"/>
        <v/>
      </c>
    </row>
    <row r="4498" spans="9:16">
      <c r="I4498" s="23" t="str">
        <f>_xlfn.IFNA(VLOOKUP(A4498,A$3524:$H4499,8,0),"")</f>
        <v/>
      </c>
      <c r="J4498" s="40" t="str">
        <f t="shared" si="359"/>
        <v/>
      </c>
      <c r="K4498" s="24" t="str">
        <f t="shared" si="355"/>
        <v/>
      </c>
      <c r="L4498" s="25" t="str">
        <f t="shared" si="356"/>
        <v/>
      </c>
      <c r="O4498" s="33" t="str">
        <f t="shared" si="357"/>
        <v/>
      </c>
      <c r="P4498" s="33" t="str">
        <f t="shared" si="358"/>
        <v/>
      </c>
    </row>
    <row r="4499" spans="9:16">
      <c r="I4499" s="23" t="str">
        <f>_xlfn.IFNA(VLOOKUP(A4499,A$3524:$H4500,8,0),"")</f>
        <v/>
      </c>
      <c r="J4499" s="40" t="str">
        <f t="shared" si="359"/>
        <v/>
      </c>
      <c r="K4499" s="24" t="str">
        <f t="shared" si="355"/>
        <v/>
      </c>
      <c r="L4499" s="25" t="str">
        <f t="shared" si="356"/>
        <v/>
      </c>
      <c r="O4499" s="33" t="str">
        <f t="shared" si="357"/>
        <v/>
      </c>
      <c r="P4499" s="33" t="str">
        <f t="shared" si="358"/>
        <v/>
      </c>
    </row>
    <row r="4500" spans="9:16">
      <c r="I4500" s="23" t="str">
        <f>_xlfn.IFNA(VLOOKUP(A4500,A$3524:$H4501,8,0),"")</f>
        <v/>
      </c>
      <c r="J4500" s="40" t="str">
        <f t="shared" si="359"/>
        <v/>
      </c>
      <c r="K4500" s="24" t="str">
        <f t="shared" si="355"/>
        <v/>
      </c>
      <c r="L4500" s="25" t="str">
        <f t="shared" si="356"/>
        <v/>
      </c>
      <c r="O4500" s="33" t="str">
        <f t="shared" si="357"/>
        <v/>
      </c>
      <c r="P4500" s="33" t="str">
        <f t="shared" si="358"/>
        <v/>
      </c>
    </row>
    <row r="4501" spans="9:16">
      <c r="I4501" s="23" t="str">
        <f>_xlfn.IFNA(VLOOKUP(A4501,A$3524:$H4502,8,0),"")</f>
        <v/>
      </c>
      <c r="J4501" s="40" t="str">
        <f t="shared" si="359"/>
        <v/>
      </c>
      <c r="K4501" s="24" t="str">
        <f t="shared" si="355"/>
        <v/>
      </c>
      <c r="L4501" s="25" t="str">
        <f t="shared" si="356"/>
        <v/>
      </c>
      <c r="O4501" s="33" t="str">
        <f t="shared" si="357"/>
        <v/>
      </c>
      <c r="P4501" s="33" t="str">
        <f t="shared" si="358"/>
        <v/>
      </c>
    </row>
    <row r="4502" spans="9:16">
      <c r="I4502" s="23" t="str">
        <f>_xlfn.IFNA(VLOOKUP(A4502,A$3524:$H4503,8,0),"")</f>
        <v/>
      </c>
      <c r="J4502" s="40" t="str">
        <f t="shared" si="359"/>
        <v/>
      </c>
      <c r="K4502" s="24" t="str">
        <f t="shared" ref="K4502:K4565" si="360">IF(H4502="","",IFERROR((I4502-H4502)*24,0))</f>
        <v/>
      </c>
      <c r="L4502" s="25" t="str">
        <f t="shared" si="356"/>
        <v/>
      </c>
      <c r="O4502" s="33" t="str">
        <f t="shared" si="357"/>
        <v/>
      </c>
      <c r="P4502" s="33" t="str">
        <f t="shared" si="358"/>
        <v/>
      </c>
    </row>
    <row r="4503" spans="9:16">
      <c r="I4503" s="23" t="str">
        <f>_xlfn.IFNA(VLOOKUP(A4503,A$3524:$H4504,8,0),"")</f>
        <v/>
      </c>
      <c r="J4503" s="40" t="str">
        <f t="shared" si="359"/>
        <v/>
      </c>
      <c r="K4503" s="24" t="str">
        <f t="shared" si="360"/>
        <v/>
      </c>
      <c r="L4503" s="25" t="str">
        <f t="shared" si="356"/>
        <v/>
      </c>
      <c r="O4503" s="33" t="str">
        <f t="shared" si="357"/>
        <v/>
      </c>
      <c r="P4503" s="33" t="str">
        <f t="shared" si="358"/>
        <v/>
      </c>
    </row>
    <row r="4504" spans="9:16">
      <c r="I4504" s="23" t="str">
        <f>_xlfn.IFNA(VLOOKUP(A4504,A$3524:$H4505,8,0),"")</f>
        <v/>
      </c>
      <c r="J4504" s="40" t="str">
        <f t="shared" si="359"/>
        <v/>
      </c>
      <c r="K4504" s="24" t="str">
        <f t="shared" si="360"/>
        <v/>
      </c>
      <c r="L4504" s="25" t="str">
        <f t="shared" si="356"/>
        <v/>
      </c>
      <c r="O4504" s="33" t="str">
        <f t="shared" si="357"/>
        <v/>
      </c>
      <c r="P4504" s="33" t="str">
        <f t="shared" si="358"/>
        <v/>
      </c>
    </row>
    <row r="4505" spans="9:16">
      <c r="I4505" s="23" t="str">
        <f>_xlfn.IFNA(VLOOKUP(A4505,A$3524:$H4506,8,0),"")</f>
        <v/>
      </c>
      <c r="J4505" s="40" t="str">
        <f t="shared" si="359"/>
        <v/>
      </c>
      <c r="K4505" s="24" t="str">
        <f t="shared" si="360"/>
        <v/>
      </c>
      <c r="L4505" s="25" t="str">
        <f t="shared" si="356"/>
        <v/>
      </c>
      <c r="O4505" s="33" t="str">
        <f t="shared" si="357"/>
        <v/>
      </c>
      <c r="P4505" s="33" t="str">
        <f t="shared" si="358"/>
        <v/>
      </c>
    </row>
    <row r="4506" spans="9:16">
      <c r="I4506" s="23" t="str">
        <f>_xlfn.IFNA(VLOOKUP(A4506,A$3524:$H4507,8,0),"")</f>
        <v/>
      </c>
      <c r="J4506" s="40" t="str">
        <f t="shared" si="359"/>
        <v/>
      </c>
      <c r="K4506" s="24" t="str">
        <f t="shared" si="360"/>
        <v/>
      </c>
      <c r="L4506" s="25" t="str">
        <f t="shared" si="356"/>
        <v/>
      </c>
      <c r="O4506" s="33" t="str">
        <f t="shared" si="357"/>
        <v/>
      </c>
      <c r="P4506" s="33" t="str">
        <f t="shared" si="358"/>
        <v/>
      </c>
    </row>
    <row r="4507" spans="9:16">
      <c r="I4507" s="23" t="str">
        <f>_xlfn.IFNA(VLOOKUP(A4507,A$3524:$H4508,8,0),"")</f>
        <v/>
      </c>
      <c r="J4507" s="40" t="str">
        <f t="shared" si="359"/>
        <v/>
      </c>
      <c r="K4507" s="24" t="str">
        <f t="shared" si="360"/>
        <v/>
      </c>
      <c r="L4507" s="25" t="str">
        <f t="shared" si="356"/>
        <v/>
      </c>
      <c r="O4507" s="33" t="str">
        <f t="shared" si="357"/>
        <v/>
      </c>
      <c r="P4507" s="33" t="str">
        <f t="shared" si="358"/>
        <v/>
      </c>
    </row>
    <row r="4508" spans="9:16">
      <c r="I4508" s="23" t="str">
        <f>_xlfn.IFNA(VLOOKUP(A4508,A$3524:$H4509,8,0),"")</f>
        <v/>
      </c>
      <c r="J4508" s="40" t="str">
        <f t="shared" si="359"/>
        <v/>
      </c>
      <c r="K4508" s="24" t="str">
        <f t="shared" si="360"/>
        <v/>
      </c>
      <c r="L4508" s="25" t="str">
        <f t="shared" si="356"/>
        <v/>
      </c>
      <c r="O4508" s="33" t="str">
        <f t="shared" si="357"/>
        <v/>
      </c>
      <c r="P4508" s="33" t="str">
        <f t="shared" si="358"/>
        <v/>
      </c>
    </row>
    <row r="4509" spans="9:16">
      <c r="I4509" s="23" t="str">
        <f>_xlfn.IFNA(VLOOKUP(A4509,A$3524:$H4510,8,0),"")</f>
        <v/>
      </c>
      <c r="J4509" s="40" t="str">
        <f t="shared" si="359"/>
        <v/>
      </c>
      <c r="K4509" s="24" t="str">
        <f t="shared" si="360"/>
        <v/>
      </c>
      <c r="L4509" s="25" t="str">
        <f t="shared" si="356"/>
        <v/>
      </c>
      <c r="O4509" s="33" t="str">
        <f t="shared" si="357"/>
        <v/>
      </c>
      <c r="P4509" s="33" t="str">
        <f t="shared" si="358"/>
        <v/>
      </c>
    </row>
    <row r="4510" spans="9:16">
      <c r="I4510" s="23" t="str">
        <f>_xlfn.IFNA(VLOOKUP(A4510,A$3524:$H4511,8,0),"")</f>
        <v/>
      </c>
      <c r="J4510" s="40" t="str">
        <f t="shared" si="359"/>
        <v/>
      </c>
      <c r="K4510" s="24" t="str">
        <f t="shared" si="360"/>
        <v/>
      </c>
      <c r="L4510" s="25" t="str">
        <f t="shared" si="356"/>
        <v/>
      </c>
      <c r="O4510" s="33" t="str">
        <f t="shared" si="357"/>
        <v/>
      </c>
      <c r="P4510" s="33" t="str">
        <f t="shared" si="358"/>
        <v/>
      </c>
    </row>
    <row r="4511" spans="9:16">
      <c r="I4511" s="23" t="str">
        <f>_xlfn.IFNA(VLOOKUP(A4511,A$3524:$H4512,8,0),"")</f>
        <v/>
      </c>
      <c r="J4511" s="40" t="str">
        <f t="shared" si="359"/>
        <v/>
      </c>
      <c r="K4511" s="24" t="str">
        <f t="shared" si="360"/>
        <v/>
      </c>
      <c r="L4511" s="25" t="str">
        <f t="shared" si="356"/>
        <v/>
      </c>
      <c r="O4511" s="33" t="str">
        <f t="shared" si="357"/>
        <v/>
      </c>
      <c r="P4511" s="33" t="str">
        <f t="shared" si="358"/>
        <v/>
      </c>
    </row>
    <row r="4512" spans="9:16">
      <c r="I4512" s="23" t="str">
        <f>_xlfn.IFNA(VLOOKUP(A4512,A$3524:$H4513,8,0),"")</f>
        <v/>
      </c>
      <c r="J4512" s="40" t="str">
        <f t="shared" si="359"/>
        <v/>
      </c>
      <c r="K4512" s="24" t="str">
        <f t="shared" si="360"/>
        <v/>
      </c>
      <c r="L4512" s="25" t="str">
        <f t="shared" si="356"/>
        <v/>
      </c>
      <c r="O4512" s="33" t="str">
        <f t="shared" si="357"/>
        <v/>
      </c>
      <c r="P4512" s="33" t="str">
        <f t="shared" si="358"/>
        <v/>
      </c>
    </row>
    <row r="4513" spans="9:16">
      <c r="I4513" s="23" t="str">
        <f>_xlfn.IFNA(VLOOKUP(A4513,A$3524:$H4514,8,0),"")</f>
        <v/>
      </c>
      <c r="J4513" s="40" t="str">
        <f t="shared" si="359"/>
        <v/>
      </c>
      <c r="K4513" s="24" t="str">
        <f t="shared" si="360"/>
        <v/>
      </c>
      <c r="L4513" s="25" t="str">
        <f t="shared" si="356"/>
        <v/>
      </c>
      <c r="O4513" s="33" t="str">
        <f t="shared" si="357"/>
        <v/>
      </c>
      <c r="P4513" s="33" t="str">
        <f t="shared" si="358"/>
        <v/>
      </c>
    </row>
    <row r="4514" spans="9:16">
      <c r="I4514" s="23" t="str">
        <f>_xlfn.IFNA(VLOOKUP(A4514,A$3524:$H4515,8,0),"")</f>
        <v/>
      </c>
      <c r="J4514" s="40" t="str">
        <f t="shared" si="359"/>
        <v/>
      </c>
      <c r="K4514" s="24" t="str">
        <f t="shared" si="360"/>
        <v/>
      </c>
      <c r="L4514" s="25" t="str">
        <f t="shared" si="356"/>
        <v/>
      </c>
      <c r="O4514" s="33" t="str">
        <f t="shared" si="357"/>
        <v/>
      </c>
      <c r="P4514" s="33" t="str">
        <f t="shared" si="358"/>
        <v/>
      </c>
    </row>
    <row r="4515" spans="9:16">
      <c r="I4515" s="23" t="str">
        <f>_xlfn.IFNA(VLOOKUP(A4515,A$3524:$H4516,8,0),"")</f>
        <v/>
      </c>
      <c r="J4515" s="40" t="str">
        <f t="shared" si="359"/>
        <v/>
      </c>
      <c r="K4515" s="24" t="str">
        <f t="shared" si="360"/>
        <v/>
      </c>
      <c r="L4515" s="25" t="str">
        <f t="shared" si="356"/>
        <v/>
      </c>
      <c r="O4515" s="33" t="str">
        <f t="shared" si="357"/>
        <v/>
      </c>
      <c r="P4515" s="33" t="str">
        <f t="shared" si="358"/>
        <v/>
      </c>
    </row>
    <row r="4516" spans="9:16">
      <c r="I4516" s="23" t="str">
        <f>_xlfn.IFNA(VLOOKUP(A4516,A$3524:$H4517,8,0),"")</f>
        <v/>
      </c>
      <c r="J4516" s="40" t="str">
        <f t="shared" si="359"/>
        <v/>
      </c>
      <c r="K4516" s="24" t="str">
        <f t="shared" si="360"/>
        <v/>
      </c>
      <c r="L4516" s="25" t="str">
        <f t="shared" si="356"/>
        <v/>
      </c>
      <c r="O4516" s="33" t="str">
        <f t="shared" si="357"/>
        <v/>
      </c>
      <c r="P4516" s="33" t="str">
        <f t="shared" si="358"/>
        <v/>
      </c>
    </row>
    <row r="4517" spans="9:16">
      <c r="I4517" s="23" t="str">
        <f>_xlfn.IFNA(VLOOKUP(A4517,A$3524:$H4518,8,0),"")</f>
        <v/>
      </c>
      <c r="J4517" s="40" t="str">
        <f t="shared" si="359"/>
        <v/>
      </c>
      <c r="K4517" s="24" t="str">
        <f t="shared" si="360"/>
        <v/>
      </c>
      <c r="L4517" s="25" t="str">
        <f t="shared" si="356"/>
        <v/>
      </c>
      <c r="O4517" s="33" t="str">
        <f t="shared" si="357"/>
        <v/>
      </c>
      <c r="P4517" s="33" t="str">
        <f t="shared" si="358"/>
        <v/>
      </c>
    </row>
    <row r="4518" spans="9:16">
      <c r="I4518" s="23" t="str">
        <f>_xlfn.IFNA(VLOOKUP(A4518,A$3524:$H4519,8,0),"")</f>
        <v/>
      </c>
      <c r="J4518" s="40" t="str">
        <f t="shared" si="359"/>
        <v/>
      </c>
      <c r="K4518" s="24" t="str">
        <f t="shared" si="360"/>
        <v/>
      </c>
      <c r="L4518" s="25" t="str">
        <f t="shared" si="356"/>
        <v/>
      </c>
      <c r="O4518" s="33" t="str">
        <f t="shared" si="357"/>
        <v/>
      </c>
      <c r="P4518" s="33" t="str">
        <f t="shared" si="358"/>
        <v/>
      </c>
    </row>
    <row r="4519" spans="9:16">
      <c r="I4519" s="23" t="str">
        <f>_xlfn.IFNA(VLOOKUP(A4519,A$3524:$H4520,8,0),"")</f>
        <v/>
      </c>
      <c r="J4519" s="40" t="str">
        <f t="shared" si="359"/>
        <v/>
      </c>
      <c r="K4519" s="24" t="str">
        <f t="shared" si="360"/>
        <v/>
      </c>
      <c r="L4519" s="25" t="str">
        <f t="shared" si="356"/>
        <v/>
      </c>
      <c r="O4519" s="33" t="str">
        <f t="shared" si="357"/>
        <v/>
      </c>
      <c r="P4519" s="33" t="str">
        <f t="shared" si="358"/>
        <v/>
      </c>
    </row>
    <row r="4520" spans="9:16">
      <c r="I4520" s="23" t="str">
        <f>_xlfn.IFNA(VLOOKUP(A4520,A$3524:$H4521,8,0),"")</f>
        <v/>
      </c>
      <c r="J4520" s="40" t="str">
        <f t="shared" si="359"/>
        <v/>
      </c>
      <c r="K4520" s="24" t="str">
        <f t="shared" si="360"/>
        <v/>
      </c>
      <c r="L4520" s="25" t="str">
        <f t="shared" si="356"/>
        <v/>
      </c>
      <c r="O4520" s="33" t="str">
        <f t="shared" si="357"/>
        <v/>
      </c>
      <c r="P4520" s="33" t="str">
        <f t="shared" si="358"/>
        <v/>
      </c>
    </row>
    <row r="4521" spans="9:16">
      <c r="I4521" s="23" t="str">
        <f>_xlfn.IFNA(VLOOKUP(A4521,A$3524:$H4522,8,0),"")</f>
        <v/>
      </c>
      <c r="J4521" s="40" t="str">
        <f t="shared" si="359"/>
        <v/>
      </c>
      <c r="K4521" s="24" t="str">
        <f t="shared" si="360"/>
        <v/>
      </c>
      <c r="L4521" s="25" t="str">
        <f t="shared" si="356"/>
        <v/>
      </c>
      <c r="O4521" s="33" t="str">
        <f t="shared" si="357"/>
        <v/>
      </c>
      <c r="P4521" s="33" t="str">
        <f t="shared" si="358"/>
        <v/>
      </c>
    </row>
    <row r="4522" spans="9:16">
      <c r="I4522" s="23" t="str">
        <f>_xlfn.IFNA(VLOOKUP(A4522,A$3524:$H4523,8,0),"")</f>
        <v/>
      </c>
      <c r="J4522" s="40" t="str">
        <f t="shared" si="359"/>
        <v/>
      </c>
      <c r="K4522" s="24" t="str">
        <f t="shared" si="360"/>
        <v/>
      </c>
      <c r="L4522" s="25" t="str">
        <f t="shared" si="356"/>
        <v/>
      </c>
      <c r="O4522" s="33" t="str">
        <f t="shared" si="357"/>
        <v/>
      </c>
      <c r="P4522" s="33" t="str">
        <f t="shared" si="358"/>
        <v/>
      </c>
    </row>
    <row r="4523" spans="9:16">
      <c r="I4523" s="23" t="str">
        <f>_xlfn.IFNA(VLOOKUP(A4523,A$3524:$H4524,8,0),"")</f>
        <v/>
      </c>
      <c r="J4523" s="40" t="str">
        <f t="shared" si="359"/>
        <v/>
      </c>
      <c r="K4523" s="24" t="str">
        <f t="shared" si="360"/>
        <v/>
      </c>
      <c r="L4523" s="25" t="str">
        <f t="shared" si="356"/>
        <v/>
      </c>
      <c r="O4523" s="33" t="str">
        <f t="shared" si="357"/>
        <v/>
      </c>
      <c r="P4523" s="33" t="str">
        <f t="shared" si="358"/>
        <v/>
      </c>
    </row>
    <row r="4524" spans="9:16">
      <c r="I4524" s="23" t="str">
        <f>_xlfn.IFNA(VLOOKUP(A4524,A$3524:$H4525,8,0),"")</f>
        <v/>
      </c>
      <c r="J4524" s="40" t="str">
        <f t="shared" si="359"/>
        <v/>
      </c>
      <c r="K4524" s="24" t="str">
        <f t="shared" si="360"/>
        <v/>
      </c>
      <c r="L4524" s="25" t="str">
        <f t="shared" si="356"/>
        <v/>
      </c>
      <c r="O4524" s="33" t="str">
        <f t="shared" si="357"/>
        <v/>
      </c>
      <c r="P4524" s="33" t="str">
        <f t="shared" si="358"/>
        <v/>
      </c>
    </row>
    <row r="4525" spans="9:16">
      <c r="I4525" s="23" t="str">
        <f>_xlfn.IFNA(VLOOKUP(A4525,A$3524:$H4526,8,0),"")</f>
        <v/>
      </c>
      <c r="J4525" s="40" t="str">
        <f t="shared" si="359"/>
        <v/>
      </c>
      <c r="K4525" s="24" t="str">
        <f t="shared" si="360"/>
        <v/>
      </c>
      <c r="L4525" s="25" t="str">
        <f t="shared" si="356"/>
        <v/>
      </c>
      <c r="O4525" s="33" t="str">
        <f t="shared" si="357"/>
        <v/>
      </c>
      <c r="P4525" s="33" t="str">
        <f t="shared" si="358"/>
        <v/>
      </c>
    </row>
    <row r="4526" spans="9:16">
      <c r="I4526" s="23" t="str">
        <f>_xlfn.IFNA(VLOOKUP(A4526,A$3524:$H4527,8,0),"")</f>
        <v/>
      </c>
      <c r="J4526" s="40" t="str">
        <f t="shared" si="359"/>
        <v/>
      </c>
      <c r="K4526" s="24" t="str">
        <f t="shared" si="360"/>
        <v/>
      </c>
      <c r="L4526" s="25" t="str">
        <f t="shared" si="356"/>
        <v/>
      </c>
      <c r="O4526" s="33" t="str">
        <f t="shared" si="357"/>
        <v/>
      </c>
      <c r="P4526" s="33" t="str">
        <f t="shared" si="358"/>
        <v/>
      </c>
    </row>
    <row r="4527" spans="9:16">
      <c r="I4527" s="23" t="str">
        <f>_xlfn.IFNA(VLOOKUP(A4527,A$3524:$H4528,8,0),"")</f>
        <v/>
      </c>
      <c r="J4527" s="40" t="str">
        <f t="shared" si="359"/>
        <v/>
      </c>
      <c r="K4527" s="24" t="str">
        <f t="shared" si="360"/>
        <v/>
      </c>
      <c r="L4527" s="25" t="str">
        <f t="shared" si="356"/>
        <v/>
      </c>
      <c r="O4527" s="33" t="str">
        <f t="shared" si="357"/>
        <v/>
      </c>
      <c r="P4527" s="33" t="str">
        <f t="shared" si="358"/>
        <v/>
      </c>
    </row>
    <row r="4528" spans="9:16">
      <c r="I4528" s="23" t="str">
        <f>_xlfn.IFNA(VLOOKUP(A4528,A$3524:$H4529,8,0),"")</f>
        <v/>
      </c>
      <c r="J4528" s="40" t="str">
        <f t="shared" si="359"/>
        <v/>
      </c>
      <c r="K4528" s="24" t="str">
        <f t="shared" si="360"/>
        <v/>
      </c>
      <c r="L4528" s="25" t="str">
        <f t="shared" si="356"/>
        <v/>
      </c>
      <c r="O4528" s="33" t="str">
        <f t="shared" si="357"/>
        <v/>
      </c>
      <c r="P4528" s="33" t="str">
        <f t="shared" si="358"/>
        <v/>
      </c>
    </row>
    <row r="4529" spans="9:16">
      <c r="I4529" s="23" t="str">
        <f>_xlfn.IFNA(VLOOKUP(A4529,A$3524:$H4530,8,0),"")</f>
        <v/>
      </c>
      <c r="J4529" s="40" t="str">
        <f t="shared" si="359"/>
        <v/>
      </c>
      <c r="K4529" s="24" t="str">
        <f t="shared" si="360"/>
        <v/>
      </c>
      <c r="L4529" s="25" t="str">
        <f t="shared" si="356"/>
        <v/>
      </c>
      <c r="O4529" s="33" t="str">
        <f t="shared" si="357"/>
        <v/>
      </c>
      <c r="P4529" s="33" t="str">
        <f t="shared" si="358"/>
        <v/>
      </c>
    </row>
    <row r="4530" spans="9:16">
      <c r="I4530" s="23" t="str">
        <f>_xlfn.IFNA(VLOOKUP(A4530,A$3524:$H4531,8,0),"")</f>
        <v/>
      </c>
      <c r="J4530" s="40" t="str">
        <f t="shared" si="359"/>
        <v/>
      </c>
      <c r="K4530" s="24" t="str">
        <f t="shared" si="360"/>
        <v/>
      </c>
      <c r="L4530" s="25" t="str">
        <f t="shared" si="356"/>
        <v/>
      </c>
      <c r="O4530" s="33" t="str">
        <f t="shared" si="357"/>
        <v/>
      </c>
      <c r="P4530" s="33" t="str">
        <f t="shared" si="358"/>
        <v/>
      </c>
    </row>
    <row r="4531" spans="9:16">
      <c r="I4531" s="23" t="str">
        <f>_xlfn.IFNA(VLOOKUP(A4531,A$3524:$H4532,8,0),"")</f>
        <v/>
      </c>
      <c r="J4531" s="40" t="str">
        <f t="shared" si="359"/>
        <v/>
      </c>
      <c r="K4531" s="24" t="str">
        <f t="shared" si="360"/>
        <v/>
      </c>
      <c r="L4531" s="25" t="str">
        <f t="shared" si="356"/>
        <v/>
      </c>
      <c r="O4531" s="33" t="str">
        <f t="shared" si="357"/>
        <v/>
      </c>
      <c r="P4531" s="33" t="str">
        <f t="shared" si="358"/>
        <v/>
      </c>
    </row>
    <row r="4532" spans="9:16">
      <c r="I4532" s="23" t="str">
        <f>_xlfn.IFNA(VLOOKUP(A4532,A$3524:$H4533,8,0),"")</f>
        <v/>
      </c>
      <c r="J4532" s="40" t="str">
        <f t="shared" si="359"/>
        <v/>
      </c>
      <c r="K4532" s="24" t="str">
        <f t="shared" si="360"/>
        <v/>
      </c>
      <c r="L4532" s="25" t="str">
        <f t="shared" si="356"/>
        <v/>
      </c>
      <c r="O4532" s="33" t="str">
        <f t="shared" si="357"/>
        <v/>
      </c>
      <c r="P4532" s="33" t="str">
        <f t="shared" si="358"/>
        <v/>
      </c>
    </row>
    <row r="4533" spans="9:16">
      <c r="I4533" s="23" t="str">
        <f>_xlfn.IFNA(VLOOKUP(A4533,A$3524:$H4534,8,0),"")</f>
        <v/>
      </c>
      <c r="J4533" s="40" t="str">
        <f t="shared" si="359"/>
        <v/>
      </c>
      <c r="K4533" s="24" t="str">
        <f t="shared" si="360"/>
        <v/>
      </c>
      <c r="L4533" s="25" t="str">
        <f t="shared" si="356"/>
        <v/>
      </c>
      <c r="O4533" s="33" t="str">
        <f t="shared" si="357"/>
        <v/>
      </c>
      <c r="P4533" s="33" t="str">
        <f t="shared" si="358"/>
        <v/>
      </c>
    </row>
    <row r="4534" spans="9:16">
      <c r="I4534" s="23" t="str">
        <f>_xlfn.IFNA(VLOOKUP(A4534,A$3524:$H4535,8,0),"")</f>
        <v/>
      </c>
      <c r="J4534" s="40" t="str">
        <f t="shared" si="359"/>
        <v/>
      </c>
      <c r="K4534" s="24" t="str">
        <f t="shared" si="360"/>
        <v/>
      </c>
      <c r="L4534" s="25" t="str">
        <f t="shared" si="356"/>
        <v/>
      </c>
      <c r="O4534" s="33" t="str">
        <f t="shared" si="357"/>
        <v/>
      </c>
      <c r="P4534" s="33" t="str">
        <f t="shared" si="358"/>
        <v/>
      </c>
    </row>
    <row r="4535" spans="9:16">
      <c r="I4535" s="23" t="str">
        <f>_xlfn.IFNA(VLOOKUP(A4535,A$3524:$H4536,8,0),"")</f>
        <v/>
      </c>
      <c r="J4535" s="40" t="str">
        <f t="shared" si="359"/>
        <v/>
      </c>
      <c r="K4535" s="24" t="str">
        <f t="shared" si="360"/>
        <v/>
      </c>
      <c r="L4535" s="25" t="str">
        <f t="shared" ref="L4535:L4598" si="361">IF(K4535="","",IF(B4535="Break","Break",IF(K4535&lt;&gt;0,"Work Finished",IF(B4535="OFF","Work Finished",IF(I4535="","Working","Work Finished")))))</f>
        <v/>
      </c>
      <c r="O4535" s="33" t="str">
        <f t="shared" ref="O4535:O4598" si="362">IF(AND(J4535="",M4535="",N4535=""),"",J4535-M4535-N4535)</f>
        <v/>
      </c>
      <c r="P4535" s="33" t="str">
        <f t="shared" ref="P4535:P4598" si="363">IF(HOUR(H4535)=0,"",HOUR(H4535))</f>
        <v/>
      </c>
    </row>
    <row r="4536" spans="9:16">
      <c r="I4536" s="23" t="str">
        <f>_xlfn.IFNA(VLOOKUP(A4536,A$3524:$H4537,8,0),"")</f>
        <v/>
      </c>
      <c r="J4536" s="40" t="str">
        <f t="shared" si="359"/>
        <v/>
      </c>
      <c r="K4536" s="24" t="str">
        <f t="shared" si="360"/>
        <v/>
      </c>
      <c r="L4536" s="25" t="str">
        <f t="shared" si="361"/>
        <v/>
      </c>
      <c r="O4536" s="33" t="str">
        <f t="shared" si="362"/>
        <v/>
      </c>
      <c r="P4536" s="33" t="str">
        <f t="shared" si="363"/>
        <v/>
      </c>
    </row>
    <row r="4537" spans="9:16">
      <c r="I4537" s="23" t="str">
        <f>_xlfn.IFNA(VLOOKUP(A4537,A$3524:$H4538,8,0),"")</f>
        <v/>
      </c>
      <c r="J4537" s="40" t="str">
        <f t="shared" si="359"/>
        <v/>
      </c>
      <c r="K4537" s="24" t="str">
        <f t="shared" si="360"/>
        <v/>
      </c>
      <c r="L4537" s="25" t="str">
        <f t="shared" si="361"/>
        <v/>
      </c>
      <c r="O4537" s="33" t="str">
        <f t="shared" si="362"/>
        <v/>
      </c>
      <c r="P4537" s="33" t="str">
        <f t="shared" si="363"/>
        <v/>
      </c>
    </row>
    <row r="4538" spans="9:16">
      <c r="I4538" s="23" t="str">
        <f>_xlfn.IFNA(VLOOKUP(A4538,A$3524:$H4539,8,0),"")</f>
        <v/>
      </c>
      <c r="J4538" s="40" t="str">
        <f t="shared" si="359"/>
        <v/>
      </c>
      <c r="K4538" s="24" t="str">
        <f t="shared" si="360"/>
        <v/>
      </c>
      <c r="L4538" s="25" t="str">
        <f t="shared" si="361"/>
        <v/>
      </c>
      <c r="O4538" s="33" t="str">
        <f t="shared" si="362"/>
        <v/>
      </c>
      <c r="P4538" s="33" t="str">
        <f t="shared" si="363"/>
        <v/>
      </c>
    </row>
    <row r="4539" spans="9:16">
      <c r="I4539" s="23" t="str">
        <f>_xlfn.IFNA(VLOOKUP(A4539,A$3524:$H4540,8,0),"")</f>
        <v/>
      </c>
      <c r="J4539" s="40" t="str">
        <f t="shared" si="359"/>
        <v/>
      </c>
      <c r="K4539" s="24" t="str">
        <f t="shared" si="360"/>
        <v/>
      </c>
      <c r="L4539" s="25" t="str">
        <f t="shared" si="361"/>
        <v/>
      </c>
      <c r="O4539" s="33" t="str">
        <f t="shared" si="362"/>
        <v/>
      </c>
      <c r="P4539" s="33" t="str">
        <f t="shared" si="363"/>
        <v/>
      </c>
    </row>
    <row r="4540" spans="9:16">
      <c r="I4540" s="23" t="str">
        <f>_xlfn.IFNA(VLOOKUP(A4540,A$3524:$H4541,8,0),"")</f>
        <v/>
      </c>
      <c r="J4540" s="40" t="str">
        <f t="shared" si="359"/>
        <v/>
      </c>
      <c r="K4540" s="24" t="str">
        <f t="shared" si="360"/>
        <v/>
      </c>
      <c r="L4540" s="25" t="str">
        <f t="shared" si="361"/>
        <v/>
      </c>
      <c r="O4540" s="33" t="str">
        <f t="shared" si="362"/>
        <v/>
      </c>
      <c r="P4540" s="33" t="str">
        <f t="shared" si="363"/>
        <v/>
      </c>
    </row>
    <row r="4541" spans="9:16">
      <c r="I4541" s="23" t="str">
        <f>_xlfn.IFNA(VLOOKUP(A4541,A$3524:$H4542,8,0),"")</f>
        <v/>
      </c>
      <c r="J4541" s="40" t="str">
        <f t="shared" si="359"/>
        <v/>
      </c>
      <c r="K4541" s="24" t="str">
        <f t="shared" si="360"/>
        <v/>
      </c>
      <c r="L4541" s="25" t="str">
        <f t="shared" si="361"/>
        <v/>
      </c>
      <c r="O4541" s="33" t="str">
        <f t="shared" si="362"/>
        <v/>
      </c>
      <c r="P4541" s="33" t="str">
        <f t="shared" si="363"/>
        <v/>
      </c>
    </row>
    <row r="4542" spans="9:16">
      <c r="I4542" s="23" t="str">
        <f>_xlfn.IFNA(VLOOKUP(A4542,A$3524:$H4543,8,0),"")</f>
        <v/>
      </c>
      <c r="J4542" s="40" t="str">
        <f t="shared" si="359"/>
        <v/>
      </c>
      <c r="K4542" s="24" t="str">
        <f t="shared" si="360"/>
        <v/>
      </c>
      <c r="L4542" s="25" t="str">
        <f t="shared" si="361"/>
        <v/>
      </c>
      <c r="O4542" s="33" t="str">
        <f t="shared" si="362"/>
        <v/>
      </c>
      <c r="P4542" s="33" t="str">
        <f t="shared" si="363"/>
        <v/>
      </c>
    </row>
    <row r="4543" spans="9:16">
      <c r="I4543" s="23" t="str">
        <f>_xlfn.IFNA(VLOOKUP(A4543,A$3524:$H4544,8,0),"")</f>
        <v/>
      </c>
      <c r="J4543" s="40" t="str">
        <f t="shared" si="359"/>
        <v/>
      </c>
      <c r="K4543" s="24" t="str">
        <f t="shared" si="360"/>
        <v/>
      </c>
      <c r="L4543" s="25" t="str">
        <f t="shared" si="361"/>
        <v/>
      </c>
      <c r="O4543" s="33" t="str">
        <f t="shared" si="362"/>
        <v/>
      </c>
      <c r="P4543" s="33" t="str">
        <f t="shared" si="363"/>
        <v/>
      </c>
    </row>
    <row r="4544" spans="9:16">
      <c r="I4544" s="23" t="str">
        <f>_xlfn.IFNA(VLOOKUP(A4544,A$3524:$H4545,8,0),"")</f>
        <v/>
      </c>
      <c r="J4544" s="40" t="str">
        <f t="shared" si="359"/>
        <v/>
      </c>
      <c r="K4544" s="24" t="str">
        <f t="shared" si="360"/>
        <v/>
      </c>
      <c r="L4544" s="25" t="str">
        <f t="shared" si="361"/>
        <v/>
      </c>
      <c r="O4544" s="33" t="str">
        <f t="shared" si="362"/>
        <v/>
      </c>
      <c r="P4544" s="33" t="str">
        <f t="shared" si="363"/>
        <v/>
      </c>
    </row>
    <row r="4545" spans="9:16">
      <c r="I4545" s="23" t="str">
        <f>_xlfn.IFNA(VLOOKUP(A4545,A$3524:$H4546,8,0),"")</f>
        <v/>
      </c>
      <c r="J4545" s="40" t="str">
        <f t="shared" si="359"/>
        <v/>
      </c>
      <c r="K4545" s="24" t="str">
        <f t="shared" si="360"/>
        <v/>
      </c>
      <c r="L4545" s="25" t="str">
        <f t="shared" si="361"/>
        <v/>
      </c>
      <c r="O4545" s="33" t="str">
        <f t="shared" si="362"/>
        <v/>
      </c>
      <c r="P4545" s="33" t="str">
        <f t="shared" si="363"/>
        <v/>
      </c>
    </row>
    <row r="4546" spans="9:16">
      <c r="I4546" s="23" t="str">
        <f>_xlfn.IFNA(VLOOKUP(A4546,A$3524:$H4547,8,0),"")</f>
        <v/>
      </c>
      <c r="J4546" s="40" t="str">
        <f t="shared" si="359"/>
        <v/>
      </c>
      <c r="K4546" s="24" t="str">
        <f t="shared" si="360"/>
        <v/>
      </c>
      <c r="L4546" s="25" t="str">
        <f t="shared" si="361"/>
        <v/>
      </c>
      <c r="O4546" s="33" t="str">
        <f t="shared" si="362"/>
        <v/>
      </c>
      <c r="P4546" s="33" t="str">
        <f t="shared" si="363"/>
        <v/>
      </c>
    </row>
    <row r="4547" spans="9:16">
      <c r="I4547" s="23" t="str">
        <f>_xlfn.IFNA(VLOOKUP(A4547,A$3524:$H4548,8,0),"")</f>
        <v/>
      </c>
      <c r="J4547" s="40" t="str">
        <f t="shared" si="359"/>
        <v/>
      </c>
      <c r="K4547" s="24" t="str">
        <f t="shared" si="360"/>
        <v/>
      </c>
      <c r="L4547" s="25" t="str">
        <f t="shared" si="361"/>
        <v/>
      </c>
      <c r="O4547" s="33" t="str">
        <f t="shared" si="362"/>
        <v/>
      </c>
      <c r="P4547" s="33" t="str">
        <f t="shared" si="363"/>
        <v/>
      </c>
    </row>
    <row r="4548" spans="9:16">
      <c r="I4548" s="23" t="str">
        <f>_xlfn.IFNA(VLOOKUP(A4548,A$3524:$H4549,8,0),"")</f>
        <v/>
      </c>
      <c r="J4548" s="40" t="str">
        <f t="shared" si="359"/>
        <v/>
      </c>
      <c r="K4548" s="24" t="str">
        <f t="shared" si="360"/>
        <v/>
      </c>
      <c r="L4548" s="25" t="str">
        <f t="shared" si="361"/>
        <v/>
      </c>
      <c r="O4548" s="33" t="str">
        <f t="shared" si="362"/>
        <v/>
      </c>
      <c r="P4548" s="33" t="str">
        <f t="shared" si="363"/>
        <v/>
      </c>
    </row>
    <row r="4549" spans="9:16">
      <c r="I4549" s="23" t="str">
        <f>_xlfn.IFNA(VLOOKUP(A4549,A$3524:$H4550,8,0),"")</f>
        <v/>
      </c>
      <c r="J4549" s="40" t="str">
        <f t="shared" si="359"/>
        <v/>
      </c>
      <c r="K4549" s="24" t="str">
        <f t="shared" si="360"/>
        <v/>
      </c>
      <c r="L4549" s="25" t="str">
        <f t="shared" si="361"/>
        <v/>
      </c>
      <c r="O4549" s="33" t="str">
        <f t="shared" si="362"/>
        <v/>
      </c>
      <c r="P4549" s="33" t="str">
        <f t="shared" si="363"/>
        <v/>
      </c>
    </row>
    <row r="4550" spans="9:16">
      <c r="I4550" s="23" t="str">
        <f>_xlfn.IFNA(VLOOKUP(A4550,A$3524:$H4551,8,0),"")</f>
        <v/>
      </c>
      <c r="J4550" s="40" t="str">
        <f t="shared" ref="J4550:J4613" si="364">IF(B4550="OFF",0,IF(AND(D4550&lt;&gt;"",E4550&lt;&gt;""),E4550-D4550+1,""))</f>
        <v/>
      </c>
      <c r="K4550" s="24" t="str">
        <f t="shared" si="360"/>
        <v/>
      </c>
      <c r="L4550" s="25" t="str">
        <f t="shared" si="361"/>
        <v/>
      </c>
      <c r="O4550" s="33" t="str">
        <f t="shared" si="362"/>
        <v/>
      </c>
      <c r="P4550" s="33" t="str">
        <f t="shared" si="363"/>
        <v/>
      </c>
    </row>
    <row r="4551" spans="9:16">
      <c r="I4551" s="23" t="str">
        <f>_xlfn.IFNA(VLOOKUP(A4551,A$3524:$H4552,8,0),"")</f>
        <v/>
      </c>
      <c r="J4551" s="40" t="str">
        <f t="shared" si="364"/>
        <v/>
      </c>
      <c r="K4551" s="24" t="str">
        <f t="shared" si="360"/>
        <v/>
      </c>
      <c r="L4551" s="25" t="str">
        <f t="shared" si="361"/>
        <v/>
      </c>
      <c r="O4551" s="33" t="str">
        <f t="shared" si="362"/>
        <v/>
      </c>
      <c r="P4551" s="33" t="str">
        <f t="shared" si="363"/>
        <v/>
      </c>
    </row>
    <row r="4552" spans="9:16">
      <c r="I4552" s="23" t="str">
        <f>_xlfn.IFNA(VLOOKUP(A4552,A$3524:$H4553,8,0),"")</f>
        <v/>
      </c>
      <c r="J4552" s="40" t="str">
        <f t="shared" si="364"/>
        <v/>
      </c>
      <c r="K4552" s="24" t="str">
        <f t="shared" si="360"/>
        <v/>
      </c>
      <c r="L4552" s="25" t="str">
        <f t="shared" si="361"/>
        <v/>
      </c>
      <c r="O4552" s="33" t="str">
        <f t="shared" si="362"/>
        <v/>
      </c>
      <c r="P4552" s="33" t="str">
        <f t="shared" si="363"/>
        <v/>
      </c>
    </row>
    <row r="4553" spans="9:16">
      <c r="I4553" s="23" t="str">
        <f>_xlfn.IFNA(VLOOKUP(A4553,A$3524:$H4554,8,0),"")</f>
        <v/>
      </c>
      <c r="J4553" s="40" t="str">
        <f t="shared" si="364"/>
        <v/>
      </c>
      <c r="K4553" s="24" t="str">
        <f t="shared" si="360"/>
        <v/>
      </c>
      <c r="L4553" s="25" t="str">
        <f t="shared" si="361"/>
        <v/>
      </c>
      <c r="O4553" s="33" t="str">
        <f t="shared" si="362"/>
        <v/>
      </c>
      <c r="P4553" s="33" t="str">
        <f t="shared" si="363"/>
        <v/>
      </c>
    </row>
    <row r="4554" spans="9:16">
      <c r="I4554" s="23" t="str">
        <f>_xlfn.IFNA(VLOOKUP(A4554,A$3524:$H4555,8,0),"")</f>
        <v/>
      </c>
      <c r="J4554" s="40" t="str">
        <f t="shared" si="364"/>
        <v/>
      </c>
      <c r="K4554" s="24" t="str">
        <f t="shared" si="360"/>
        <v/>
      </c>
      <c r="L4554" s="25" t="str">
        <f t="shared" si="361"/>
        <v/>
      </c>
      <c r="O4554" s="33" t="str">
        <f t="shared" si="362"/>
        <v/>
      </c>
      <c r="P4554" s="33" t="str">
        <f t="shared" si="363"/>
        <v/>
      </c>
    </row>
    <row r="4555" spans="9:16">
      <c r="I4555" s="23" t="str">
        <f>_xlfn.IFNA(VLOOKUP(A4555,A$3524:$H4556,8,0),"")</f>
        <v/>
      </c>
      <c r="J4555" s="40" t="str">
        <f t="shared" si="364"/>
        <v/>
      </c>
      <c r="K4555" s="24" t="str">
        <f t="shared" si="360"/>
        <v/>
      </c>
      <c r="L4555" s="25" t="str">
        <f t="shared" si="361"/>
        <v/>
      </c>
      <c r="O4555" s="33" t="str">
        <f t="shared" si="362"/>
        <v/>
      </c>
      <c r="P4555" s="33" t="str">
        <f t="shared" si="363"/>
        <v/>
      </c>
    </row>
    <row r="4556" spans="9:16">
      <c r="I4556" s="23" t="str">
        <f>_xlfn.IFNA(VLOOKUP(A4556,A$3524:$H4557,8,0),"")</f>
        <v/>
      </c>
      <c r="J4556" s="40" t="str">
        <f t="shared" si="364"/>
        <v/>
      </c>
      <c r="K4556" s="24" t="str">
        <f t="shared" si="360"/>
        <v/>
      </c>
      <c r="L4556" s="25" t="str">
        <f t="shared" si="361"/>
        <v/>
      </c>
      <c r="O4556" s="33" t="str">
        <f t="shared" si="362"/>
        <v/>
      </c>
      <c r="P4556" s="33" t="str">
        <f t="shared" si="363"/>
        <v/>
      </c>
    </row>
    <row r="4557" spans="9:16">
      <c r="I4557" s="23" t="str">
        <f>_xlfn.IFNA(VLOOKUP(A4557,A$3524:$H4558,8,0),"")</f>
        <v/>
      </c>
      <c r="J4557" s="40" t="str">
        <f t="shared" si="364"/>
        <v/>
      </c>
      <c r="K4557" s="24" t="str">
        <f t="shared" si="360"/>
        <v/>
      </c>
      <c r="L4557" s="25" t="str">
        <f t="shared" si="361"/>
        <v/>
      </c>
      <c r="O4557" s="33" t="str">
        <f t="shared" si="362"/>
        <v/>
      </c>
      <c r="P4557" s="33" t="str">
        <f t="shared" si="363"/>
        <v/>
      </c>
    </row>
    <row r="4558" spans="9:16">
      <c r="I4558" s="23" t="str">
        <f>_xlfn.IFNA(VLOOKUP(A4558,A$3524:$H4559,8,0),"")</f>
        <v/>
      </c>
      <c r="J4558" s="40" t="str">
        <f t="shared" si="364"/>
        <v/>
      </c>
      <c r="K4558" s="24" t="str">
        <f t="shared" si="360"/>
        <v/>
      </c>
      <c r="L4558" s="25" t="str">
        <f t="shared" si="361"/>
        <v/>
      </c>
      <c r="O4558" s="33" t="str">
        <f t="shared" si="362"/>
        <v/>
      </c>
      <c r="P4558" s="33" t="str">
        <f t="shared" si="363"/>
        <v/>
      </c>
    </row>
    <row r="4559" spans="9:16">
      <c r="I4559" s="23" t="str">
        <f>_xlfn.IFNA(VLOOKUP(A4559,A$3524:$H4560,8,0),"")</f>
        <v/>
      </c>
      <c r="J4559" s="40" t="str">
        <f t="shared" si="364"/>
        <v/>
      </c>
      <c r="K4559" s="24" t="str">
        <f t="shared" si="360"/>
        <v/>
      </c>
      <c r="L4559" s="25" t="str">
        <f t="shared" si="361"/>
        <v/>
      </c>
      <c r="O4559" s="33" t="str">
        <f t="shared" si="362"/>
        <v/>
      </c>
      <c r="P4559" s="33" t="str">
        <f t="shared" si="363"/>
        <v/>
      </c>
    </row>
    <row r="4560" spans="9:16">
      <c r="I4560" s="23" t="str">
        <f>_xlfn.IFNA(VLOOKUP(A4560,A$3524:$H4561,8,0),"")</f>
        <v/>
      </c>
      <c r="J4560" s="40" t="str">
        <f t="shared" si="364"/>
        <v/>
      </c>
      <c r="K4560" s="24" t="str">
        <f t="shared" si="360"/>
        <v/>
      </c>
      <c r="L4560" s="25" t="str">
        <f t="shared" si="361"/>
        <v/>
      </c>
      <c r="O4560" s="33" t="str">
        <f t="shared" si="362"/>
        <v/>
      </c>
      <c r="P4560" s="33" t="str">
        <f t="shared" si="363"/>
        <v/>
      </c>
    </row>
    <row r="4561" spans="9:16">
      <c r="I4561" s="23" t="str">
        <f>_xlfn.IFNA(VLOOKUP(A4561,A$3524:$H4562,8,0),"")</f>
        <v/>
      </c>
      <c r="J4561" s="40" t="str">
        <f t="shared" si="364"/>
        <v/>
      </c>
      <c r="K4561" s="24" t="str">
        <f t="shared" si="360"/>
        <v/>
      </c>
      <c r="L4561" s="25" t="str">
        <f t="shared" si="361"/>
        <v/>
      </c>
      <c r="O4561" s="33" t="str">
        <f t="shared" si="362"/>
        <v/>
      </c>
      <c r="P4561" s="33" t="str">
        <f t="shared" si="363"/>
        <v/>
      </c>
    </row>
    <row r="4562" spans="9:16">
      <c r="I4562" s="23" t="str">
        <f>_xlfn.IFNA(VLOOKUP(A4562,A$3524:$H4563,8,0),"")</f>
        <v/>
      </c>
      <c r="J4562" s="40" t="str">
        <f t="shared" si="364"/>
        <v/>
      </c>
      <c r="K4562" s="24" t="str">
        <f t="shared" si="360"/>
        <v/>
      </c>
      <c r="L4562" s="25" t="str">
        <f t="shared" si="361"/>
        <v/>
      </c>
      <c r="O4562" s="33" t="str">
        <f t="shared" si="362"/>
        <v/>
      </c>
      <c r="P4562" s="33" t="str">
        <f t="shared" si="363"/>
        <v/>
      </c>
    </row>
    <row r="4563" spans="9:16">
      <c r="I4563" s="23" t="str">
        <f>_xlfn.IFNA(VLOOKUP(A4563,A$3524:$H4564,8,0),"")</f>
        <v/>
      </c>
      <c r="J4563" s="40" t="str">
        <f t="shared" si="364"/>
        <v/>
      </c>
      <c r="K4563" s="24" t="str">
        <f t="shared" si="360"/>
        <v/>
      </c>
      <c r="L4563" s="25" t="str">
        <f t="shared" si="361"/>
        <v/>
      </c>
      <c r="O4563" s="33" t="str">
        <f t="shared" si="362"/>
        <v/>
      </c>
      <c r="P4563" s="33" t="str">
        <f t="shared" si="363"/>
        <v/>
      </c>
    </row>
    <row r="4564" spans="9:16">
      <c r="I4564" s="23" t="str">
        <f>_xlfn.IFNA(VLOOKUP(A4564,A$3524:$H4565,8,0),"")</f>
        <v/>
      </c>
      <c r="J4564" s="40" t="str">
        <f t="shared" si="364"/>
        <v/>
      </c>
      <c r="K4564" s="24" t="str">
        <f t="shared" si="360"/>
        <v/>
      </c>
      <c r="L4564" s="25" t="str">
        <f t="shared" si="361"/>
        <v/>
      </c>
      <c r="O4564" s="33" t="str">
        <f t="shared" si="362"/>
        <v/>
      </c>
      <c r="P4564" s="33" t="str">
        <f t="shared" si="363"/>
        <v/>
      </c>
    </row>
    <row r="4565" spans="9:16">
      <c r="I4565" s="23" t="str">
        <f>_xlfn.IFNA(VLOOKUP(A4565,A$3524:$H4566,8,0),"")</f>
        <v/>
      </c>
      <c r="J4565" s="40" t="str">
        <f t="shared" si="364"/>
        <v/>
      </c>
      <c r="K4565" s="24" t="str">
        <f t="shared" si="360"/>
        <v/>
      </c>
      <c r="L4565" s="25" t="str">
        <f t="shared" si="361"/>
        <v/>
      </c>
      <c r="O4565" s="33" t="str">
        <f t="shared" si="362"/>
        <v/>
      </c>
      <c r="P4565" s="33" t="str">
        <f t="shared" si="363"/>
        <v/>
      </c>
    </row>
    <row r="4566" spans="9:16">
      <c r="I4566" s="23" t="str">
        <f>_xlfn.IFNA(VLOOKUP(A4566,A$3524:$H4567,8,0),"")</f>
        <v/>
      </c>
      <c r="J4566" s="40" t="str">
        <f t="shared" si="364"/>
        <v/>
      </c>
      <c r="K4566" s="24" t="str">
        <f t="shared" ref="K4566:K4629" si="365">IF(H4566="","",IFERROR((I4566-H4566)*24,0))</f>
        <v/>
      </c>
      <c r="L4566" s="25" t="str">
        <f t="shared" si="361"/>
        <v/>
      </c>
      <c r="O4566" s="33" t="str">
        <f t="shared" si="362"/>
        <v/>
      </c>
      <c r="P4566" s="33" t="str">
        <f t="shared" si="363"/>
        <v/>
      </c>
    </row>
    <row r="4567" spans="9:16">
      <c r="I4567" s="23" t="str">
        <f>_xlfn.IFNA(VLOOKUP(A4567,A$3524:$H4568,8,0),"")</f>
        <v/>
      </c>
      <c r="J4567" s="40" t="str">
        <f t="shared" si="364"/>
        <v/>
      </c>
      <c r="K4567" s="24" t="str">
        <f t="shared" si="365"/>
        <v/>
      </c>
      <c r="L4567" s="25" t="str">
        <f t="shared" si="361"/>
        <v/>
      </c>
      <c r="O4567" s="33" t="str">
        <f t="shared" si="362"/>
        <v/>
      </c>
      <c r="P4567" s="33" t="str">
        <f t="shared" si="363"/>
        <v/>
      </c>
    </row>
    <row r="4568" spans="9:16">
      <c r="I4568" s="23" t="str">
        <f>_xlfn.IFNA(VLOOKUP(A4568,A$3524:$H4569,8,0),"")</f>
        <v/>
      </c>
      <c r="J4568" s="40" t="str">
        <f t="shared" si="364"/>
        <v/>
      </c>
      <c r="K4568" s="24" t="str">
        <f t="shared" si="365"/>
        <v/>
      </c>
      <c r="L4568" s="25" t="str">
        <f t="shared" si="361"/>
        <v/>
      </c>
      <c r="O4568" s="33" t="str">
        <f t="shared" si="362"/>
        <v/>
      </c>
      <c r="P4568" s="33" t="str">
        <f t="shared" si="363"/>
        <v/>
      </c>
    </row>
    <row r="4569" spans="9:16">
      <c r="I4569" s="23" t="str">
        <f>_xlfn.IFNA(VLOOKUP(A4569,A$3524:$H4570,8,0),"")</f>
        <v/>
      </c>
      <c r="J4569" s="40" t="str">
        <f t="shared" si="364"/>
        <v/>
      </c>
      <c r="K4569" s="24" t="str">
        <f t="shared" si="365"/>
        <v/>
      </c>
      <c r="L4569" s="25" t="str">
        <f t="shared" si="361"/>
        <v/>
      </c>
      <c r="O4569" s="33" t="str">
        <f t="shared" si="362"/>
        <v/>
      </c>
      <c r="P4569" s="33" t="str">
        <f t="shared" si="363"/>
        <v/>
      </c>
    </row>
    <row r="4570" spans="9:16">
      <c r="I4570" s="23" t="str">
        <f>_xlfn.IFNA(VLOOKUP(A4570,A$3524:$H4571,8,0),"")</f>
        <v/>
      </c>
      <c r="J4570" s="40" t="str">
        <f t="shared" si="364"/>
        <v/>
      </c>
      <c r="K4570" s="24" t="str">
        <f t="shared" si="365"/>
        <v/>
      </c>
      <c r="L4570" s="25" t="str">
        <f t="shared" si="361"/>
        <v/>
      </c>
      <c r="O4570" s="33" t="str">
        <f t="shared" si="362"/>
        <v/>
      </c>
      <c r="P4570" s="33" t="str">
        <f t="shared" si="363"/>
        <v/>
      </c>
    </row>
    <row r="4571" spans="9:16">
      <c r="I4571" s="23" t="str">
        <f>_xlfn.IFNA(VLOOKUP(A4571,A$3524:$H4572,8,0),"")</f>
        <v/>
      </c>
      <c r="J4571" s="40" t="str">
        <f t="shared" si="364"/>
        <v/>
      </c>
      <c r="K4571" s="24" t="str">
        <f t="shared" si="365"/>
        <v/>
      </c>
      <c r="L4571" s="25" t="str">
        <f t="shared" si="361"/>
        <v/>
      </c>
      <c r="O4571" s="33" t="str">
        <f t="shared" si="362"/>
        <v/>
      </c>
      <c r="P4571" s="33" t="str">
        <f t="shared" si="363"/>
        <v/>
      </c>
    </row>
    <row r="4572" spans="9:16">
      <c r="I4572" s="23" t="str">
        <f>_xlfn.IFNA(VLOOKUP(A4572,A$3524:$H4573,8,0),"")</f>
        <v/>
      </c>
      <c r="J4572" s="40" t="str">
        <f t="shared" si="364"/>
        <v/>
      </c>
      <c r="K4572" s="24" t="str">
        <f t="shared" si="365"/>
        <v/>
      </c>
      <c r="L4572" s="25" t="str">
        <f t="shared" si="361"/>
        <v/>
      </c>
      <c r="O4572" s="33" t="str">
        <f t="shared" si="362"/>
        <v/>
      </c>
      <c r="P4572" s="33" t="str">
        <f t="shared" si="363"/>
        <v/>
      </c>
    </row>
    <row r="4573" spans="9:16">
      <c r="I4573" s="23" t="str">
        <f>_xlfn.IFNA(VLOOKUP(A4573,A$3524:$H4574,8,0),"")</f>
        <v/>
      </c>
      <c r="J4573" s="40" t="str">
        <f t="shared" si="364"/>
        <v/>
      </c>
      <c r="K4573" s="24" t="str">
        <f t="shared" si="365"/>
        <v/>
      </c>
      <c r="L4573" s="25" t="str">
        <f t="shared" si="361"/>
        <v/>
      </c>
      <c r="O4573" s="33" t="str">
        <f t="shared" si="362"/>
        <v/>
      </c>
      <c r="P4573" s="33" t="str">
        <f t="shared" si="363"/>
        <v/>
      </c>
    </row>
    <row r="4574" spans="9:16">
      <c r="I4574" s="23" t="str">
        <f>_xlfn.IFNA(VLOOKUP(A4574,A$3524:$H4575,8,0),"")</f>
        <v/>
      </c>
      <c r="J4574" s="40" t="str">
        <f t="shared" si="364"/>
        <v/>
      </c>
      <c r="K4574" s="24" t="str">
        <f t="shared" si="365"/>
        <v/>
      </c>
      <c r="L4574" s="25" t="str">
        <f t="shared" si="361"/>
        <v/>
      </c>
      <c r="O4574" s="33" t="str">
        <f t="shared" si="362"/>
        <v/>
      </c>
      <c r="P4574" s="33" t="str">
        <f t="shared" si="363"/>
        <v/>
      </c>
    </row>
    <row r="4575" spans="9:16">
      <c r="I4575" s="23" t="str">
        <f>_xlfn.IFNA(VLOOKUP(A4575,A$3524:$H4576,8,0),"")</f>
        <v/>
      </c>
      <c r="J4575" s="40" t="str">
        <f t="shared" si="364"/>
        <v/>
      </c>
      <c r="K4575" s="24" t="str">
        <f t="shared" si="365"/>
        <v/>
      </c>
      <c r="L4575" s="25" t="str">
        <f t="shared" si="361"/>
        <v/>
      </c>
      <c r="O4575" s="33" t="str">
        <f t="shared" si="362"/>
        <v/>
      </c>
      <c r="P4575" s="33" t="str">
        <f t="shared" si="363"/>
        <v/>
      </c>
    </row>
    <row r="4576" spans="9:16">
      <c r="I4576" s="23" t="str">
        <f>_xlfn.IFNA(VLOOKUP(A4576,A$3524:$H4577,8,0),"")</f>
        <v/>
      </c>
      <c r="J4576" s="40" t="str">
        <f t="shared" si="364"/>
        <v/>
      </c>
      <c r="K4576" s="24" t="str">
        <f t="shared" si="365"/>
        <v/>
      </c>
      <c r="L4576" s="25" t="str">
        <f t="shared" si="361"/>
        <v/>
      </c>
      <c r="O4576" s="33" t="str">
        <f t="shared" si="362"/>
        <v/>
      </c>
      <c r="P4576" s="33" t="str">
        <f t="shared" si="363"/>
        <v/>
      </c>
    </row>
    <row r="4577" spans="9:16">
      <c r="I4577" s="23" t="str">
        <f>_xlfn.IFNA(VLOOKUP(A4577,A$3524:$H4578,8,0),"")</f>
        <v/>
      </c>
      <c r="J4577" s="40" t="str">
        <f t="shared" si="364"/>
        <v/>
      </c>
      <c r="K4577" s="24" t="str">
        <f t="shared" si="365"/>
        <v/>
      </c>
      <c r="L4577" s="25" t="str">
        <f t="shared" si="361"/>
        <v/>
      </c>
      <c r="O4577" s="33" t="str">
        <f t="shared" si="362"/>
        <v/>
      </c>
      <c r="P4577" s="33" t="str">
        <f t="shared" si="363"/>
        <v/>
      </c>
    </row>
    <row r="4578" spans="9:16">
      <c r="I4578" s="23" t="str">
        <f>_xlfn.IFNA(VLOOKUP(A4578,A$3524:$H4579,8,0),"")</f>
        <v/>
      </c>
      <c r="J4578" s="40" t="str">
        <f t="shared" si="364"/>
        <v/>
      </c>
      <c r="K4578" s="24" t="str">
        <f t="shared" si="365"/>
        <v/>
      </c>
      <c r="L4578" s="25" t="str">
        <f t="shared" si="361"/>
        <v/>
      </c>
      <c r="O4578" s="33" t="str">
        <f t="shared" si="362"/>
        <v/>
      </c>
      <c r="P4578" s="33" t="str">
        <f t="shared" si="363"/>
        <v/>
      </c>
    </row>
    <row r="4579" spans="9:16">
      <c r="I4579" s="23" t="str">
        <f>_xlfn.IFNA(VLOOKUP(A4579,A$3524:$H4580,8,0),"")</f>
        <v/>
      </c>
      <c r="J4579" s="40" t="str">
        <f t="shared" si="364"/>
        <v/>
      </c>
      <c r="K4579" s="24" t="str">
        <f t="shared" si="365"/>
        <v/>
      </c>
      <c r="L4579" s="25" t="str">
        <f t="shared" si="361"/>
        <v/>
      </c>
      <c r="O4579" s="33" t="str">
        <f t="shared" si="362"/>
        <v/>
      </c>
      <c r="P4579" s="33" t="str">
        <f t="shared" si="363"/>
        <v/>
      </c>
    </row>
    <row r="4580" spans="9:16">
      <c r="I4580" s="23" t="str">
        <f>_xlfn.IFNA(VLOOKUP(A4580,A$3524:$H4581,8,0),"")</f>
        <v/>
      </c>
      <c r="J4580" s="40" t="str">
        <f t="shared" si="364"/>
        <v/>
      </c>
      <c r="K4580" s="24" t="str">
        <f t="shared" si="365"/>
        <v/>
      </c>
      <c r="L4580" s="25" t="str">
        <f t="shared" si="361"/>
        <v/>
      </c>
      <c r="O4580" s="33" t="str">
        <f t="shared" si="362"/>
        <v/>
      </c>
      <c r="P4580" s="33" t="str">
        <f t="shared" si="363"/>
        <v/>
      </c>
    </row>
    <row r="4581" spans="9:16">
      <c r="I4581" s="23" t="str">
        <f>_xlfn.IFNA(VLOOKUP(A4581,A$3524:$H4582,8,0),"")</f>
        <v/>
      </c>
      <c r="J4581" s="40" t="str">
        <f t="shared" si="364"/>
        <v/>
      </c>
      <c r="K4581" s="24" t="str">
        <f t="shared" si="365"/>
        <v/>
      </c>
      <c r="L4581" s="25" t="str">
        <f t="shared" si="361"/>
        <v/>
      </c>
      <c r="O4581" s="33" t="str">
        <f t="shared" si="362"/>
        <v/>
      </c>
      <c r="P4581" s="33" t="str">
        <f t="shared" si="363"/>
        <v/>
      </c>
    </row>
    <row r="4582" spans="9:16">
      <c r="I4582" s="23" t="str">
        <f>_xlfn.IFNA(VLOOKUP(A4582,A$3524:$H4583,8,0),"")</f>
        <v/>
      </c>
      <c r="J4582" s="40" t="str">
        <f t="shared" si="364"/>
        <v/>
      </c>
      <c r="K4582" s="24" t="str">
        <f t="shared" si="365"/>
        <v/>
      </c>
      <c r="L4582" s="25" t="str">
        <f t="shared" si="361"/>
        <v/>
      </c>
      <c r="O4582" s="33" t="str">
        <f t="shared" si="362"/>
        <v/>
      </c>
      <c r="P4582" s="33" t="str">
        <f t="shared" si="363"/>
        <v/>
      </c>
    </row>
    <row r="4583" spans="9:16">
      <c r="I4583" s="23" t="str">
        <f>_xlfn.IFNA(VLOOKUP(A4583,A$3524:$H4584,8,0),"")</f>
        <v/>
      </c>
      <c r="J4583" s="40" t="str">
        <f t="shared" si="364"/>
        <v/>
      </c>
      <c r="K4583" s="24" t="str">
        <f t="shared" si="365"/>
        <v/>
      </c>
      <c r="L4583" s="25" t="str">
        <f t="shared" si="361"/>
        <v/>
      </c>
      <c r="O4583" s="33" t="str">
        <f t="shared" si="362"/>
        <v/>
      </c>
      <c r="P4583" s="33" t="str">
        <f t="shared" si="363"/>
        <v/>
      </c>
    </row>
    <row r="4584" spans="9:16">
      <c r="I4584" s="23" t="str">
        <f>_xlfn.IFNA(VLOOKUP(A4584,A$3524:$H4585,8,0),"")</f>
        <v/>
      </c>
      <c r="J4584" s="40" t="str">
        <f t="shared" si="364"/>
        <v/>
      </c>
      <c r="K4584" s="24" t="str">
        <f t="shared" si="365"/>
        <v/>
      </c>
      <c r="L4584" s="25" t="str">
        <f t="shared" si="361"/>
        <v/>
      </c>
      <c r="O4584" s="33" t="str">
        <f t="shared" si="362"/>
        <v/>
      </c>
      <c r="P4584" s="33" t="str">
        <f t="shared" si="363"/>
        <v/>
      </c>
    </row>
    <row r="4585" spans="9:16">
      <c r="I4585" s="23" t="str">
        <f>_xlfn.IFNA(VLOOKUP(A4585,A$3524:$H4586,8,0),"")</f>
        <v/>
      </c>
      <c r="J4585" s="40" t="str">
        <f t="shared" si="364"/>
        <v/>
      </c>
      <c r="K4585" s="24" t="str">
        <f t="shared" si="365"/>
        <v/>
      </c>
      <c r="L4585" s="25" t="str">
        <f t="shared" si="361"/>
        <v/>
      </c>
      <c r="O4585" s="33" t="str">
        <f t="shared" si="362"/>
        <v/>
      </c>
      <c r="P4585" s="33" t="str">
        <f t="shared" si="363"/>
        <v/>
      </c>
    </row>
    <row r="4586" spans="9:16">
      <c r="I4586" s="23" t="str">
        <f>_xlfn.IFNA(VLOOKUP(A4586,A$3524:$H4587,8,0),"")</f>
        <v/>
      </c>
      <c r="J4586" s="40" t="str">
        <f t="shared" si="364"/>
        <v/>
      </c>
      <c r="K4586" s="24" t="str">
        <f t="shared" si="365"/>
        <v/>
      </c>
      <c r="L4586" s="25" t="str">
        <f t="shared" si="361"/>
        <v/>
      </c>
      <c r="O4586" s="33" t="str">
        <f t="shared" si="362"/>
        <v/>
      </c>
      <c r="P4586" s="33" t="str">
        <f t="shared" si="363"/>
        <v/>
      </c>
    </row>
    <row r="4587" spans="9:16">
      <c r="I4587" s="23" t="str">
        <f>_xlfn.IFNA(VLOOKUP(A4587,A$3524:$H4588,8,0),"")</f>
        <v/>
      </c>
      <c r="J4587" s="40" t="str">
        <f t="shared" si="364"/>
        <v/>
      </c>
      <c r="K4587" s="24" t="str">
        <f t="shared" si="365"/>
        <v/>
      </c>
      <c r="L4587" s="25" t="str">
        <f t="shared" si="361"/>
        <v/>
      </c>
      <c r="O4587" s="33" t="str">
        <f t="shared" si="362"/>
        <v/>
      </c>
      <c r="P4587" s="33" t="str">
        <f t="shared" si="363"/>
        <v/>
      </c>
    </row>
    <row r="4588" spans="9:16">
      <c r="I4588" s="23" t="str">
        <f>_xlfn.IFNA(VLOOKUP(A4588,A$3524:$H4589,8,0),"")</f>
        <v/>
      </c>
      <c r="J4588" s="40" t="str">
        <f t="shared" si="364"/>
        <v/>
      </c>
      <c r="K4588" s="24" t="str">
        <f t="shared" si="365"/>
        <v/>
      </c>
      <c r="L4588" s="25" t="str">
        <f t="shared" si="361"/>
        <v/>
      </c>
      <c r="O4588" s="33" t="str">
        <f t="shared" si="362"/>
        <v/>
      </c>
      <c r="P4588" s="33" t="str">
        <f t="shared" si="363"/>
        <v/>
      </c>
    </row>
    <row r="4589" spans="9:16">
      <c r="I4589" s="23" t="str">
        <f>_xlfn.IFNA(VLOOKUP(A4589,A$3524:$H4590,8,0),"")</f>
        <v/>
      </c>
      <c r="J4589" s="40" t="str">
        <f t="shared" si="364"/>
        <v/>
      </c>
      <c r="K4589" s="24" t="str">
        <f t="shared" si="365"/>
        <v/>
      </c>
      <c r="L4589" s="25" t="str">
        <f t="shared" si="361"/>
        <v/>
      </c>
      <c r="O4589" s="33" t="str">
        <f t="shared" si="362"/>
        <v/>
      </c>
      <c r="P4589" s="33" t="str">
        <f t="shared" si="363"/>
        <v/>
      </c>
    </row>
    <row r="4590" spans="9:16">
      <c r="I4590" s="23" t="str">
        <f>_xlfn.IFNA(VLOOKUP(A4590,A$3524:$H4591,8,0),"")</f>
        <v/>
      </c>
      <c r="J4590" s="40" t="str">
        <f t="shared" si="364"/>
        <v/>
      </c>
      <c r="K4590" s="24" t="str">
        <f t="shared" si="365"/>
        <v/>
      </c>
      <c r="L4590" s="25" t="str">
        <f t="shared" si="361"/>
        <v/>
      </c>
      <c r="O4590" s="33" t="str">
        <f t="shared" si="362"/>
        <v/>
      </c>
      <c r="P4590" s="33" t="str">
        <f t="shared" si="363"/>
        <v/>
      </c>
    </row>
    <row r="4591" spans="9:16">
      <c r="I4591" s="23" t="str">
        <f>_xlfn.IFNA(VLOOKUP(A4591,A$3524:$H4592,8,0),"")</f>
        <v/>
      </c>
      <c r="J4591" s="40" t="str">
        <f t="shared" si="364"/>
        <v/>
      </c>
      <c r="K4591" s="24" t="str">
        <f t="shared" si="365"/>
        <v/>
      </c>
      <c r="L4591" s="25" t="str">
        <f t="shared" si="361"/>
        <v/>
      </c>
      <c r="O4591" s="33" t="str">
        <f t="shared" si="362"/>
        <v/>
      </c>
      <c r="P4591" s="33" t="str">
        <f t="shared" si="363"/>
        <v/>
      </c>
    </row>
    <row r="4592" spans="9:16">
      <c r="I4592" s="23" t="str">
        <f>_xlfn.IFNA(VLOOKUP(A4592,A$3524:$H4593,8,0),"")</f>
        <v/>
      </c>
      <c r="J4592" s="40" t="str">
        <f t="shared" si="364"/>
        <v/>
      </c>
      <c r="K4592" s="24" t="str">
        <f t="shared" si="365"/>
        <v/>
      </c>
      <c r="L4592" s="25" t="str">
        <f t="shared" si="361"/>
        <v/>
      </c>
      <c r="O4592" s="33" t="str">
        <f t="shared" si="362"/>
        <v/>
      </c>
      <c r="P4592" s="33" t="str">
        <f t="shared" si="363"/>
        <v/>
      </c>
    </row>
    <row r="4593" spans="9:16">
      <c r="I4593" s="23" t="str">
        <f>_xlfn.IFNA(VLOOKUP(A4593,A$3524:$H4594,8,0),"")</f>
        <v/>
      </c>
      <c r="J4593" s="40" t="str">
        <f t="shared" si="364"/>
        <v/>
      </c>
      <c r="K4593" s="24" t="str">
        <f t="shared" si="365"/>
        <v/>
      </c>
      <c r="L4593" s="25" t="str">
        <f t="shared" si="361"/>
        <v/>
      </c>
      <c r="O4593" s="33" t="str">
        <f t="shared" si="362"/>
        <v/>
      </c>
      <c r="P4593" s="33" t="str">
        <f t="shared" si="363"/>
        <v/>
      </c>
    </row>
    <row r="4594" spans="9:16">
      <c r="I4594" s="23" t="str">
        <f>_xlfn.IFNA(VLOOKUP(A4594,A$3524:$H4595,8,0),"")</f>
        <v/>
      </c>
      <c r="J4594" s="40" t="str">
        <f t="shared" si="364"/>
        <v/>
      </c>
      <c r="K4594" s="24" t="str">
        <f t="shared" si="365"/>
        <v/>
      </c>
      <c r="L4594" s="25" t="str">
        <f t="shared" si="361"/>
        <v/>
      </c>
      <c r="O4594" s="33" t="str">
        <f t="shared" si="362"/>
        <v/>
      </c>
      <c r="P4594" s="33" t="str">
        <f t="shared" si="363"/>
        <v/>
      </c>
    </row>
    <row r="4595" spans="9:16">
      <c r="I4595" s="23" t="str">
        <f>_xlfn.IFNA(VLOOKUP(A4595,A$3524:$H4596,8,0),"")</f>
        <v/>
      </c>
      <c r="J4595" s="40" t="str">
        <f t="shared" si="364"/>
        <v/>
      </c>
      <c r="K4595" s="24" t="str">
        <f t="shared" si="365"/>
        <v/>
      </c>
      <c r="L4595" s="25" t="str">
        <f t="shared" si="361"/>
        <v/>
      </c>
      <c r="O4595" s="33" t="str">
        <f t="shared" si="362"/>
        <v/>
      </c>
      <c r="P4595" s="33" t="str">
        <f t="shared" si="363"/>
        <v/>
      </c>
    </row>
    <row r="4596" spans="9:16">
      <c r="I4596" s="23" t="str">
        <f>_xlfn.IFNA(VLOOKUP(A4596,A$3524:$H4597,8,0),"")</f>
        <v/>
      </c>
      <c r="J4596" s="40" t="str">
        <f t="shared" si="364"/>
        <v/>
      </c>
      <c r="K4596" s="24" t="str">
        <f t="shared" si="365"/>
        <v/>
      </c>
      <c r="L4596" s="25" t="str">
        <f t="shared" si="361"/>
        <v/>
      </c>
      <c r="O4596" s="33" t="str">
        <f t="shared" si="362"/>
        <v/>
      </c>
      <c r="P4596" s="33" t="str">
        <f t="shared" si="363"/>
        <v/>
      </c>
    </row>
    <row r="4597" spans="9:16">
      <c r="I4597" s="23" t="str">
        <f>_xlfn.IFNA(VLOOKUP(A4597,A$3524:$H4598,8,0),"")</f>
        <v/>
      </c>
      <c r="J4597" s="40" t="str">
        <f t="shared" si="364"/>
        <v/>
      </c>
      <c r="K4597" s="24" t="str">
        <f t="shared" si="365"/>
        <v/>
      </c>
      <c r="L4597" s="25" t="str">
        <f t="shared" si="361"/>
        <v/>
      </c>
      <c r="O4597" s="33" t="str">
        <f t="shared" si="362"/>
        <v/>
      </c>
      <c r="P4597" s="33" t="str">
        <f t="shared" si="363"/>
        <v/>
      </c>
    </row>
    <row r="4598" spans="9:16">
      <c r="I4598" s="23" t="str">
        <f>_xlfn.IFNA(VLOOKUP(A4598,A$3524:$H4599,8,0),"")</f>
        <v/>
      </c>
      <c r="J4598" s="40" t="str">
        <f t="shared" si="364"/>
        <v/>
      </c>
      <c r="K4598" s="24" t="str">
        <f t="shared" si="365"/>
        <v/>
      </c>
      <c r="L4598" s="25" t="str">
        <f t="shared" si="361"/>
        <v/>
      </c>
      <c r="O4598" s="33" t="str">
        <f t="shared" si="362"/>
        <v/>
      </c>
      <c r="P4598" s="33" t="str">
        <f t="shared" si="363"/>
        <v/>
      </c>
    </row>
    <row r="4599" spans="9:16">
      <c r="I4599" s="23" t="str">
        <f>_xlfn.IFNA(VLOOKUP(A4599,A$3524:$H4600,8,0),"")</f>
        <v/>
      </c>
      <c r="J4599" s="40" t="str">
        <f t="shared" si="364"/>
        <v/>
      </c>
      <c r="K4599" s="24" t="str">
        <f t="shared" si="365"/>
        <v/>
      </c>
      <c r="L4599" s="25" t="str">
        <f t="shared" ref="L4599:L4662" si="366">IF(K4599="","",IF(B4599="Break","Break",IF(K4599&lt;&gt;0,"Work Finished",IF(B4599="OFF","Work Finished",IF(I4599="","Working","Work Finished")))))</f>
        <v/>
      </c>
      <c r="O4599" s="33" t="str">
        <f t="shared" ref="O4599:O4662" si="367">IF(AND(J4599="",M4599="",N4599=""),"",J4599-M4599-N4599)</f>
        <v/>
      </c>
      <c r="P4599" s="33" t="str">
        <f t="shared" ref="P4599:P4662" si="368">IF(HOUR(H4599)=0,"",HOUR(H4599))</f>
        <v/>
      </c>
    </row>
    <row r="4600" spans="9:16">
      <c r="I4600" s="23" t="str">
        <f>_xlfn.IFNA(VLOOKUP(A4600,A$3524:$H4601,8,0),"")</f>
        <v/>
      </c>
      <c r="J4600" s="40" t="str">
        <f t="shared" si="364"/>
        <v/>
      </c>
      <c r="K4600" s="24" t="str">
        <f t="shared" si="365"/>
        <v/>
      </c>
      <c r="L4600" s="25" t="str">
        <f t="shared" si="366"/>
        <v/>
      </c>
      <c r="O4600" s="33" t="str">
        <f t="shared" si="367"/>
        <v/>
      </c>
      <c r="P4600" s="33" t="str">
        <f t="shared" si="368"/>
        <v/>
      </c>
    </row>
    <row r="4601" spans="9:16">
      <c r="I4601" s="23" t="str">
        <f>_xlfn.IFNA(VLOOKUP(A4601,A$3524:$H4602,8,0),"")</f>
        <v/>
      </c>
      <c r="J4601" s="40" t="str">
        <f t="shared" si="364"/>
        <v/>
      </c>
      <c r="K4601" s="24" t="str">
        <f t="shared" si="365"/>
        <v/>
      </c>
      <c r="L4601" s="25" t="str">
        <f t="shared" si="366"/>
        <v/>
      </c>
      <c r="O4601" s="33" t="str">
        <f t="shared" si="367"/>
        <v/>
      </c>
      <c r="P4601" s="33" t="str">
        <f t="shared" si="368"/>
        <v/>
      </c>
    </row>
    <row r="4602" spans="9:16">
      <c r="I4602" s="23" t="str">
        <f>_xlfn.IFNA(VLOOKUP(A4602,A$3524:$H4603,8,0),"")</f>
        <v/>
      </c>
      <c r="J4602" s="40" t="str">
        <f t="shared" si="364"/>
        <v/>
      </c>
      <c r="K4602" s="24" t="str">
        <f t="shared" si="365"/>
        <v/>
      </c>
      <c r="L4602" s="25" t="str">
        <f t="shared" si="366"/>
        <v/>
      </c>
      <c r="O4602" s="33" t="str">
        <f t="shared" si="367"/>
        <v/>
      </c>
      <c r="P4602" s="33" t="str">
        <f t="shared" si="368"/>
        <v/>
      </c>
    </row>
    <row r="4603" spans="9:16">
      <c r="I4603" s="23" t="str">
        <f>_xlfn.IFNA(VLOOKUP(A4603,A$3524:$H4604,8,0),"")</f>
        <v/>
      </c>
      <c r="J4603" s="40" t="str">
        <f t="shared" si="364"/>
        <v/>
      </c>
      <c r="K4603" s="24" t="str">
        <f t="shared" si="365"/>
        <v/>
      </c>
      <c r="L4603" s="25" t="str">
        <f t="shared" si="366"/>
        <v/>
      </c>
      <c r="O4603" s="33" t="str">
        <f t="shared" si="367"/>
        <v/>
      </c>
      <c r="P4603" s="33" t="str">
        <f t="shared" si="368"/>
        <v/>
      </c>
    </row>
    <row r="4604" spans="9:16">
      <c r="I4604" s="23" t="str">
        <f>_xlfn.IFNA(VLOOKUP(A4604,A$3524:$H4605,8,0),"")</f>
        <v/>
      </c>
      <c r="J4604" s="40" t="str">
        <f t="shared" si="364"/>
        <v/>
      </c>
      <c r="K4604" s="24" t="str">
        <f t="shared" si="365"/>
        <v/>
      </c>
      <c r="L4604" s="25" t="str">
        <f t="shared" si="366"/>
        <v/>
      </c>
      <c r="O4604" s="33" t="str">
        <f t="shared" si="367"/>
        <v/>
      </c>
      <c r="P4604" s="33" t="str">
        <f t="shared" si="368"/>
        <v/>
      </c>
    </row>
    <row r="4605" spans="9:16">
      <c r="I4605" s="23" t="str">
        <f>_xlfn.IFNA(VLOOKUP(A4605,A$3524:$H4606,8,0),"")</f>
        <v/>
      </c>
      <c r="J4605" s="40" t="str">
        <f t="shared" si="364"/>
        <v/>
      </c>
      <c r="K4605" s="24" t="str">
        <f t="shared" si="365"/>
        <v/>
      </c>
      <c r="L4605" s="25" t="str">
        <f t="shared" si="366"/>
        <v/>
      </c>
      <c r="O4605" s="33" t="str">
        <f t="shared" si="367"/>
        <v/>
      </c>
      <c r="P4605" s="33" t="str">
        <f t="shared" si="368"/>
        <v/>
      </c>
    </row>
    <row r="4606" spans="9:16">
      <c r="I4606" s="23" t="str">
        <f>_xlfn.IFNA(VLOOKUP(A4606,A$3524:$H4607,8,0),"")</f>
        <v/>
      </c>
      <c r="J4606" s="40" t="str">
        <f t="shared" si="364"/>
        <v/>
      </c>
      <c r="K4606" s="24" t="str">
        <f t="shared" si="365"/>
        <v/>
      </c>
      <c r="L4606" s="25" t="str">
        <f t="shared" si="366"/>
        <v/>
      </c>
      <c r="O4606" s="33" t="str">
        <f t="shared" si="367"/>
        <v/>
      </c>
      <c r="P4606" s="33" t="str">
        <f t="shared" si="368"/>
        <v/>
      </c>
    </row>
    <row r="4607" spans="9:16">
      <c r="I4607" s="23" t="str">
        <f>_xlfn.IFNA(VLOOKUP(A4607,A$3524:$H4608,8,0),"")</f>
        <v/>
      </c>
      <c r="J4607" s="40" t="str">
        <f t="shared" si="364"/>
        <v/>
      </c>
      <c r="K4607" s="24" t="str">
        <f t="shared" si="365"/>
        <v/>
      </c>
      <c r="L4607" s="25" t="str">
        <f t="shared" si="366"/>
        <v/>
      </c>
      <c r="O4607" s="33" t="str">
        <f t="shared" si="367"/>
        <v/>
      </c>
      <c r="P4607" s="33" t="str">
        <f t="shared" si="368"/>
        <v/>
      </c>
    </row>
    <row r="4608" spans="9:16">
      <c r="I4608" s="23" t="str">
        <f>_xlfn.IFNA(VLOOKUP(A4608,A$3524:$H4609,8,0),"")</f>
        <v/>
      </c>
      <c r="J4608" s="40" t="str">
        <f t="shared" si="364"/>
        <v/>
      </c>
      <c r="K4608" s="24" t="str">
        <f t="shared" si="365"/>
        <v/>
      </c>
      <c r="L4608" s="25" t="str">
        <f t="shared" si="366"/>
        <v/>
      </c>
      <c r="O4608" s="33" t="str">
        <f t="shared" si="367"/>
        <v/>
      </c>
      <c r="P4608" s="33" t="str">
        <f t="shared" si="368"/>
        <v/>
      </c>
    </row>
    <row r="4609" spans="9:16">
      <c r="I4609" s="23" t="str">
        <f>_xlfn.IFNA(VLOOKUP(A4609,A$3524:$H4610,8,0),"")</f>
        <v/>
      </c>
      <c r="J4609" s="40" t="str">
        <f t="shared" si="364"/>
        <v/>
      </c>
      <c r="K4609" s="24" t="str">
        <f t="shared" si="365"/>
        <v/>
      </c>
      <c r="L4609" s="25" t="str">
        <f t="shared" si="366"/>
        <v/>
      </c>
      <c r="O4609" s="33" t="str">
        <f t="shared" si="367"/>
        <v/>
      </c>
      <c r="P4609" s="33" t="str">
        <f t="shared" si="368"/>
        <v/>
      </c>
    </row>
    <row r="4610" spans="9:16">
      <c r="I4610" s="23" t="str">
        <f>_xlfn.IFNA(VLOOKUP(A4610,A$3524:$H4611,8,0),"")</f>
        <v/>
      </c>
      <c r="J4610" s="40" t="str">
        <f t="shared" si="364"/>
        <v/>
      </c>
      <c r="K4610" s="24" t="str">
        <f t="shared" si="365"/>
        <v/>
      </c>
      <c r="L4610" s="25" t="str">
        <f t="shared" si="366"/>
        <v/>
      </c>
      <c r="O4610" s="33" t="str">
        <f t="shared" si="367"/>
        <v/>
      </c>
      <c r="P4610" s="33" t="str">
        <f t="shared" si="368"/>
        <v/>
      </c>
    </row>
    <row r="4611" spans="9:16">
      <c r="I4611" s="23" t="str">
        <f>_xlfn.IFNA(VLOOKUP(A4611,A$3524:$H4612,8,0),"")</f>
        <v/>
      </c>
      <c r="J4611" s="40" t="str">
        <f t="shared" si="364"/>
        <v/>
      </c>
      <c r="K4611" s="24" t="str">
        <f t="shared" si="365"/>
        <v/>
      </c>
      <c r="L4611" s="25" t="str">
        <f t="shared" si="366"/>
        <v/>
      </c>
      <c r="O4611" s="33" t="str">
        <f t="shared" si="367"/>
        <v/>
      </c>
      <c r="P4611" s="33" t="str">
        <f t="shared" si="368"/>
        <v/>
      </c>
    </row>
    <row r="4612" spans="9:16">
      <c r="I4612" s="23" t="str">
        <f>_xlfn.IFNA(VLOOKUP(A4612,A$3524:$H4613,8,0),"")</f>
        <v/>
      </c>
      <c r="J4612" s="40" t="str">
        <f t="shared" si="364"/>
        <v/>
      </c>
      <c r="K4612" s="24" t="str">
        <f t="shared" si="365"/>
        <v/>
      </c>
      <c r="L4612" s="25" t="str">
        <f t="shared" si="366"/>
        <v/>
      </c>
      <c r="O4612" s="33" t="str">
        <f t="shared" si="367"/>
        <v/>
      </c>
      <c r="P4612" s="33" t="str">
        <f t="shared" si="368"/>
        <v/>
      </c>
    </row>
    <row r="4613" spans="9:16">
      <c r="I4613" s="23" t="str">
        <f>_xlfn.IFNA(VLOOKUP(A4613,A$3524:$H4614,8,0),"")</f>
        <v/>
      </c>
      <c r="J4613" s="40" t="str">
        <f t="shared" si="364"/>
        <v/>
      </c>
      <c r="K4613" s="24" t="str">
        <f t="shared" si="365"/>
        <v/>
      </c>
      <c r="L4613" s="25" t="str">
        <f t="shared" si="366"/>
        <v/>
      </c>
      <c r="O4613" s="33" t="str">
        <f t="shared" si="367"/>
        <v/>
      </c>
      <c r="P4613" s="33" t="str">
        <f t="shared" si="368"/>
        <v/>
      </c>
    </row>
    <row r="4614" spans="9:16">
      <c r="I4614" s="23" t="str">
        <f>_xlfn.IFNA(VLOOKUP(A4614,A$3524:$H4615,8,0),"")</f>
        <v/>
      </c>
      <c r="J4614" s="40" t="str">
        <f t="shared" ref="J4614:J4677" si="369">IF(B4614="OFF",0,IF(AND(D4614&lt;&gt;"",E4614&lt;&gt;""),E4614-D4614+1,""))</f>
        <v/>
      </c>
      <c r="K4614" s="24" t="str">
        <f t="shared" si="365"/>
        <v/>
      </c>
      <c r="L4614" s="25" t="str">
        <f t="shared" si="366"/>
        <v/>
      </c>
      <c r="O4614" s="33" t="str">
        <f t="shared" si="367"/>
        <v/>
      </c>
      <c r="P4614" s="33" t="str">
        <f t="shared" si="368"/>
        <v/>
      </c>
    </row>
    <row r="4615" spans="9:16">
      <c r="I4615" s="23" t="str">
        <f>_xlfn.IFNA(VLOOKUP(A4615,A$3524:$H4616,8,0),"")</f>
        <v/>
      </c>
      <c r="J4615" s="40" t="str">
        <f t="shared" si="369"/>
        <v/>
      </c>
      <c r="K4615" s="24" t="str">
        <f t="shared" si="365"/>
        <v/>
      </c>
      <c r="L4615" s="25" t="str">
        <f t="shared" si="366"/>
        <v/>
      </c>
      <c r="O4615" s="33" t="str">
        <f t="shared" si="367"/>
        <v/>
      </c>
      <c r="P4615" s="33" t="str">
        <f t="shared" si="368"/>
        <v/>
      </c>
    </row>
    <row r="4616" spans="9:16">
      <c r="I4616" s="23" t="str">
        <f>_xlfn.IFNA(VLOOKUP(A4616,A$3524:$H4617,8,0),"")</f>
        <v/>
      </c>
      <c r="J4616" s="40" t="str">
        <f t="shared" si="369"/>
        <v/>
      </c>
      <c r="K4616" s="24" t="str">
        <f t="shared" si="365"/>
        <v/>
      </c>
      <c r="L4616" s="25" t="str">
        <f t="shared" si="366"/>
        <v/>
      </c>
      <c r="O4616" s="33" t="str">
        <f t="shared" si="367"/>
        <v/>
      </c>
      <c r="P4616" s="33" t="str">
        <f t="shared" si="368"/>
        <v/>
      </c>
    </row>
    <row r="4617" spans="9:16">
      <c r="I4617" s="23" t="str">
        <f>_xlfn.IFNA(VLOOKUP(A4617,A$3524:$H4618,8,0),"")</f>
        <v/>
      </c>
      <c r="J4617" s="40" t="str">
        <f t="shared" si="369"/>
        <v/>
      </c>
      <c r="K4617" s="24" t="str">
        <f t="shared" si="365"/>
        <v/>
      </c>
      <c r="L4617" s="25" t="str">
        <f t="shared" si="366"/>
        <v/>
      </c>
      <c r="O4617" s="33" t="str">
        <f t="shared" si="367"/>
        <v/>
      </c>
      <c r="P4617" s="33" t="str">
        <f t="shared" si="368"/>
        <v/>
      </c>
    </row>
    <row r="4618" spans="9:16">
      <c r="I4618" s="23" t="str">
        <f>_xlfn.IFNA(VLOOKUP(A4618,A$3524:$H4619,8,0),"")</f>
        <v/>
      </c>
      <c r="J4618" s="40" t="str">
        <f t="shared" si="369"/>
        <v/>
      </c>
      <c r="K4618" s="24" t="str">
        <f t="shared" si="365"/>
        <v/>
      </c>
      <c r="L4618" s="25" t="str">
        <f t="shared" si="366"/>
        <v/>
      </c>
      <c r="O4618" s="33" t="str">
        <f t="shared" si="367"/>
        <v/>
      </c>
      <c r="P4618" s="33" t="str">
        <f t="shared" si="368"/>
        <v/>
      </c>
    </row>
    <row r="4619" spans="9:16">
      <c r="I4619" s="23" t="str">
        <f>_xlfn.IFNA(VLOOKUP(A4619,A$3524:$H4620,8,0),"")</f>
        <v/>
      </c>
      <c r="J4619" s="40" t="str">
        <f t="shared" si="369"/>
        <v/>
      </c>
      <c r="K4619" s="24" t="str">
        <f t="shared" si="365"/>
        <v/>
      </c>
      <c r="L4619" s="25" t="str">
        <f t="shared" si="366"/>
        <v/>
      </c>
      <c r="O4619" s="33" t="str">
        <f t="shared" si="367"/>
        <v/>
      </c>
      <c r="P4619" s="33" t="str">
        <f t="shared" si="368"/>
        <v/>
      </c>
    </row>
    <row r="4620" spans="9:16">
      <c r="I4620" s="23" t="str">
        <f>_xlfn.IFNA(VLOOKUP(A4620,A$3524:$H4621,8,0),"")</f>
        <v/>
      </c>
      <c r="J4620" s="40" t="str">
        <f t="shared" si="369"/>
        <v/>
      </c>
      <c r="K4620" s="24" t="str">
        <f t="shared" si="365"/>
        <v/>
      </c>
      <c r="L4620" s="25" t="str">
        <f t="shared" si="366"/>
        <v/>
      </c>
      <c r="O4620" s="33" t="str">
        <f t="shared" si="367"/>
        <v/>
      </c>
      <c r="P4620" s="33" t="str">
        <f t="shared" si="368"/>
        <v/>
      </c>
    </row>
    <row r="4621" spans="9:16">
      <c r="I4621" s="23" t="str">
        <f>_xlfn.IFNA(VLOOKUP(A4621,A$3524:$H4622,8,0),"")</f>
        <v/>
      </c>
      <c r="J4621" s="40" t="str">
        <f t="shared" si="369"/>
        <v/>
      </c>
      <c r="K4621" s="24" t="str">
        <f t="shared" si="365"/>
        <v/>
      </c>
      <c r="L4621" s="25" t="str">
        <f t="shared" si="366"/>
        <v/>
      </c>
      <c r="O4621" s="33" t="str">
        <f t="shared" si="367"/>
        <v/>
      </c>
      <c r="P4621" s="33" t="str">
        <f t="shared" si="368"/>
        <v/>
      </c>
    </row>
    <row r="4622" spans="9:16">
      <c r="I4622" s="23" t="str">
        <f>_xlfn.IFNA(VLOOKUP(A4622,A$3524:$H4623,8,0),"")</f>
        <v/>
      </c>
      <c r="J4622" s="40" t="str">
        <f t="shared" si="369"/>
        <v/>
      </c>
      <c r="K4622" s="24" t="str">
        <f t="shared" si="365"/>
        <v/>
      </c>
      <c r="L4622" s="25" t="str">
        <f t="shared" si="366"/>
        <v/>
      </c>
      <c r="O4622" s="33" t="str">
        <f t="shared" si="367"/>
        <v/>
      </c>
      <c r="P4622" s="33" t="str">
        <f t="shared" si="368"/>
        <v/>
      </c>
    </row>
    <row r="4623" spans="9:16">
      <c r="I4623" s="23" t="str">
        <f>_xlfn.IFNA(VLOOKUP(A4623,A$3524:$H4624,8,0),"")</f>
        <v/>
      </c>
      <c r="J4623" s="40" t="str">
        <f t="shared" si="369"/>
        <v/>
      </c>
      <c r="K4623" s="24" t="str">
        <f t="shared" si="365"/>
        <v/>
      </c>
      <c r="L4623" s="25" t="str">
        <f t="shared" si="366"/>
        <v/>
      </c>
      <c r="O4623" s="33" t="str">
        <f t="shared" si="367"/>
        <v/>
      </c>
      <c r="P4623" s="33" t="str">
        <f t="shared" si="368"/>
        <v/>
      </c>
    </row>
    <row r="4624" spans="9:16">
      <c r="I4624" s="23" t="str">
        <f>_xlfn.IFNA(VLOOKUP(A4624,A$3524:$H4625,8,0),"")</f>
        <v/>
      </c>
      <c r="J4624" s="40" t="str">
        <f t="shared" si="369"/>
        <v/>
      </c>
      <c r="K4624" s="24" t="str">
        <f t="shared" si="365"/>
        <v/>
      </c>
      <c r="L4624" s="25" t="str">
        <f t="shared" si="366"/>
        <v/>
      </c>
      <c r="O4624" s="33" t="str">
        <f t="shared" si="367"/>
        <v/>
      </c>
      <c r="P4624" s="33" t="str">
        <f t="shared" si="368"/>
        <v/>
      </c>
    </row>
    <row r="4625" spans="9:16">
      <c r="I4625" s="23" t="str">
        <f>_xlfn.IFNA(VLOOKUP(A4625,A$3524:$H4626,8,0),"")</f>
        <v/>
      </c>
      <c r="J4625" s="40" t="str">
        <f t="shared" si="369"/>
        <v/>
      </c>
      <c r="K4625" s="24" t="str">
        <f t="shared" si="365"/>
        <v/>
      </c>
      <c r="L4625" s="25" t="str">
        <f t="shared" si="366"/>
        <v/>
      </c>
      <c r="O4625" s="33" t="str">
        <f t="shared" si="367"/>
        <v/>
      </c>
      <c r="P4625" s="33" t="str">
        <f t="shared" si="368"/>
        <v/>
      </c>
    </row>
    <row r="4626" spans="9:16">
      <c r="I4626" s="23" t="str">
        <f>_xlfn.IFNA(VLOOKUP(A4626,A$3524:$H4627,8,0),"")</f>
        <v/>
      </c>
      <c r="J4626" s="40" t="str">
        <f t="shared" si="369"/>
        <v/>
      </c>
      <c r="K4626" s="24" t="str">
        <f t="shared" si="365"/>
        <v/>
      </c>
      <c r="L4626" s="25" t="str">
        <f t="shared" si="366"/>
        <v/>
      </c>
      <c r="O4626" s="33" t="str">
        <f t="shared" si="367"/>
        <v/>
      </c>
      <c r="P4626" s="33" t="str">
        <f t="shared" si="368"/>
        <v/>
      </c>
    </row>
    <row r="4627" spans="9:16">
      <c r="I4627" s="23" t="str">
        <f>_xlfn.IFNA(VLOOKUP(A4627,A$3524:$H4628,8,0),"")</f>
        <v/>
      </c>
      <c r="J4627" s="40" t="str">
        <f t="shared" si="369"/>
        <v/>
      </c>
      <c r="K4627" s="24" t="str">
        <f t="shared" si="365"/>
        <v/>
      </c>
      <c r="L4627" s="25" t="str">
        <f t="shared" si="366"/>
        <v/>
      </c>
      <c r="O4627" s="33" t="str">
        <f t="shared" si="367"/>
        <v/>
      </c>
      <c r="P4627" s="33" t="str">
        <f t="shared" si="368"/>
        <v/>
      </c>
    </row>
    <row r="4628" spans="9:16">
      <c r="I4628" s="23" t="str">
        <f>_xlfn.IFNA(VLOOKUP(A4628,A$3524:$H4629,8,0),"")</f>
        <v/>
      </c>
      <c r="J4628" s="40" t="str">
        <f t="shared" si="369"/>
        <v/>
      </c>
      <c r="K4628" s="24" t="str">
        <f t="shared" si="365"/>
        <v/>
      </c>
      <c r="L4628" s="25" t="str">
        <f t="shared" si="366"/>
        <v/>
      </c>
      <c r="O4628" s="33" t="str">
        <f t="shared" si="367"/>
        <v/>
      </c>
      <c r="P4628" s="33" t="str">
        <f t="shared" si="368"/>
        <v/>
      </c>
    </row>
    <row r="4629" spans="9:16">
      <c r="I4629" s="23" t="str">
        <f>_xlfn.IFNA(VLOOKUP(A4629,A$3524:$H4630,8,0),"")</f>
        <v/>
      </c>
      <c r="J4629" s="40" t="str">
        <f t="shared" si="369"/>
        <v/>
      </c>
      <c r="K4629" s="24" t="str">
        <f t="shared" si="365"/>
        <v/>
      </c>
      <c r="L4629" s="25" t="str">
        <f t="shared" si="366"/>
        <v/>
      </c>
      <c r="O4629" s="33" t="str">
        <f t="shared" si="367"/>
        <v/>
      </c>
      <c r="P4629" s="33" t="str">
        <f t="shared" si="368"/>
        <v/>
      </c>
    </row>
    <row r="4630" spans="9:16">
      <c r="I4630" s="23" t="str">
        <f>_xlfn.IFNA(VLOOKUP(A4630,A$3524:$H4631,8,0),"")</f>
        <v/>
      </c>
      <c r="J4630" s="40" t="str">
        <f t="shared" si="369"/>
        <v/>
      </c>
      <c r="K4630" s="24" t="str">
        <f t="shared" ref="K4630:K4693" si="370">IF(H4630="","",IFERROR((I4630-H4630)*24,0))</f>
        <v/>
      </c>
      <c r="L4630" s="25" t="str">
        <f t="shared" si="366"/>
        <v/>
      </c>
      <c r="O4630" s="33" t="str">
        <f t="shared" si="367"/>
        <v/>
      </c>
      <c r="P4630" s="33" t="str">
        <f t="shared" si="368"/>
        <v/>
      </c>
    </row>
    <row r="4631" spans="9:16">
      <c r="I4631" s="23" t="str">
        <f>_xlfn.IFNA(VLOOKUP(A4631,A$3524:$H4632,8,0),"")</f>
        <v/>
      </c>
      <c r="J4631" s="40" t="str">
        <f t="shared" si="369"/>
        <v/>
      </c>
      <c r="K4631" s="24" t="str">
        <f t="shared" si="370"/>
        <v/>
      </c>
      <c r="L4631" s="25" t="str">
        <f t="shared" si="366"/>
        <v/>
      </c>
      <c r="O4631" s="33" t="str">
        <f t="shared" si="367"/>
        <v/>
      </c>
      <c r="P4631" s="33" t="str">
        <f t="shared" si="368"/>
        <v/>
      </c>
    </row>
    <row r="4632" spans="9:16">
      <c r="I4632" s="23" t="str">
        <f>_xlfn.IFNA(VLOOKUP(A4632,A$3524:$H4633,8,0),"")</f>
        <v/>
      </c>
      <c r="J4632" s="40" t="str">
        <f t="shared" si="369"/>
        <v/>
      </c>
      <c r="K4632" s="24" t="str">
        <f t="shared" si="370"/>
        <v/>
      </c>
      <c r="L4632" s="25" t="str">
        <f t="shared" si="366"/>
        <v/>
      </c>
      <c r="O4632" s="33" t="str">
        <f t="shared" si="367"/>
        <v/>
      </c>
      <c r="P4632" s="33" t="str">
        <f t="shared" si="368"/>
        <v/>
      </c>
    </row>
    <row r="4633" spans="9:16">
      <c r="I4633" s="23" t="str">
        <f>_xlfn.IFNA(VLOOKUP(A4633,A$3524:$H4634,8,0),"")</f>
        <v/>
      </c>
      <c r="J4633" s="40" t="str">
        <f t="shared" si="369"/>
        <v/>
      </c>
      <c r="K4633" s="24" t="str">
        <f t="shared" si="370"/>
        <v/>
      </c>
      <c r="L4633" s="25" t="str">
        <f t="shared" si="366"/>
        <v/>
      </c>
      <c r="O4633" s="33" t="str">
        <f t="shared" si="367"/>
        <v/>
      </c>
      <c r="P4633" s="33" t="str">
        <f t="shared" si="368"/>
        <v/>
      </c>
    </row>
    <row r="4634" spans="9:16">
      <c r="I4634" s="23" t="str">
        <f>_xlfn.IFNA(VLOOKUP(A4634,A$3524:$H4635,8,0),"")</f>
        <v/>
      </c>
      <c r="J4634" s="40" t="str">
        <f t="shared" si="369"/>
        <v/>
      </c>
      <c r="K4634" s="24" t="str">
        <f t="shared" si="370"/>
        <v/>
      </c>
      <c r="L4634" s="25" t="str">
        <f t="shared" si="366"/>
        <v/>
      </c>
      <c r="O4634" s="33" t="str">
        <f t="shared" si="367"/>
        <v/>
      </c>
      <c r="P4634" s="33" t="str">
        <f t="shared" si="368"/>
        <v/>
      </c>
    </row>
    <row r="4635" spans="9:16">
      <c r="I4635" s="23" t="str">
        <f>_xlfn.IFNA(VLOOKUP(A4635,A$3524:$H4636,8,0),"")</f>
        <v/>
      </c>
      <c r="J4635" s="40" t="str">
        <f t="shared" si="369"/>
        <v/>
      </c>
      <c r="K4635" s="24" t="str">
        <f t="shared" si="370"/>
        <v/>
      </c>
      <c r="L4635" s="25" t="str">
        <f t="shared" si="366"/>
        <v/>
      </c>
      <c r="O4635" s="33" t="str">
        <f t="shared" si="367"/>
        <v/>
      </c>
      <c r="P4635" s="33" t="str">
        <f t="shared" si="368"/>
        <v/>
      </c>
    </row>
    <row r="4636" spans="9:16">
      <c r="I4636" s="23" t="str">
        <f>_xlfn.IFNA(VLOOKUP(A4636,A$3524:$H4637,8,0),"")</f>
        <v/>
      </c>
      <c r="J4636" s="40" t="str">
        <f t="shared" si="369"/>
        <v/>
      </c>
      <c r="K4636" s="24" t="str">
        <f t="shared" si="370"/>
        <v/>
      </c>
      <c r="L4636" s="25" t="str">
        <f t="shared" si="366"/>
        <v/>
      </c>
      <c r="O4636" s="33" t="str">
        <f t="shared" si="367"/>
        <v/>
      </c>
      <c r="P4636" s="33" t="str">
        <f t="shared" si="368"/>
        <v/>
      </c>
    </row>
    <row r="4637" spans="9:16">
      <c r="I4637" s="23" t="str">
        <f>_xlfn.IFNA(VLOOKUP(A4637,A$3524:$H4638,8,0),"")</f>
        <v/>
      </c>
      <c r="J4637" s="40" t="str">
        <f t="shared" si="369"/>
        <v/>
      </c>
      <c r="K4637" s="24" t="str">
        <f t="shared" si="370"/>
        <v/>
      </c>
      <c r="L4637" s="25" t="str">
        <f t="shared" si="366"/>
        <v/>
      </c>
      <c r="O4637" s="33" t="str">
        <f t="shared" si="367"/>
        <v/>
      </c>
      <c r="P4637" s="33" t="str">
        <f t="shared" si="368"/>
        <v/>
      </c>
    </row>
    <row r="4638" spans="9:16">
      <c r="I4638" s="23" t="str">
        <f>_xlfn.IFNA(VLOOKUP(A4638,A$3524:$H4639,8,0),"")</f>
        <v/>
      </c>
      <c r="J4638" s="40" t="str">
        <f t="shared" si="369"/>
        <v/>
      </c>
      <c r="K4638" s="24" t="str">
        <f t="shared" si="370"/>
        <v/>
      </c>
      <c r="L4638" s="25" t="str">
        <f t="shared" si="366"/>
        <v/>
      </c>
      <c r="O4638" s="33" t="str">
        <f t="shared" si="367"/>
        <v/>
      </c>
      <c r="P4638" s="33" t="str">
        <f t="shared" si="368"/>
        <v/>
      </c>
    </row>
    <row r="4639" spans="9:16">
      <c r="I4639" s="23" t="str">
        <f>_xlfn.IFNA(VLOOKUP(A4639,A$3524:$H4640,8,0),"")</f>
        <v/>
      </c>
      <c r="J4639" s="40" t="str">
        <f t="shared" si="369"/>
        <v/>
      </c>
      <c r="K4639" s="24" t="str">
        <f t="shared" si="370"/>
        <v/>
      </c>
      <c r="L4639" s="25" t="str">
        <f t="shared" si="366"/>
        <v/>
      </c>
      <c r="O4639" s="33" t="str">
        <f t="shared" si="367"/>
        <v/>
      </c>
      <c r="P4639" s="33" t="str">
        <f t="shared" si="368"/>
        <v/>
      </c>
    </row>
    <row r="4640" spans="9:16">
      <c r="I4640" s="23" t="str">
        <f>_xlfn.IFNA(VLOOKUP(A4640,A$3524:$H4641,8,0),"")</f>
        <v/>
      </c>
      <c r="J4640" s="40" t="str">
        <f t="shared" si="369"/>
        <v/>
      </c>
      <c r="K4640" s="24" t="str">
        <f t="shared" si="370"/>
        <v/>
      </c>
      <c r="L4640" s="25" t="str">
        <f t="shared" si="366"/>
        <v/>
      </c>
      <c r="O4640" s="33" t="str">
        <f t="shared" si="367"/>
        <v/>
      </c>
      <c r="P4640" s="33" t="str">
        <f t="shared" si="368"/>
        <v/>
      </c>
    </row>
    <row r="4641" spans="9:16">
      <c r="I4641" s="23" t="str">
        <f>_xlfn.IFNA(VLOOKUP(A4641,A$3524:$H4642,8,0),"")</f>
        <v/>
      </c>
      <c r="J4641" s="40" t="str">
        <f t="shared" si="369"/>
        <v/>
      </c>
      <c r="K4641" s="24" t="str">
        <f t="shared" si="370"/>
        <v/>
      </c>
      <c r="L4641" s="25" t="str">
        <f t="shared" si="366"/>
        <v/>
      </c>
      <c r="O4641" s="33" t="str">
        <f t="shared" si="367"/>
        <v/>
      </c>
      <c r="P4641" s="33" t="str">
        <f t="shared" si="368"/>
        <v/>
      </c>
    </row>
    <row r="4642" spans="9:16">
      <c r="I4642" s="23" t="str">
        <f>_xlfn.IFNA(VLOOKUP(A4642,A$3524:$H4643,8,0),"")</f>
        <v/>
      </c>
      <c r="J4642" s="40" t="str">
        <f t="shared" si="369"/>
        <v/>
      </c>
      <c r="K4642" s="24" t="str">
        <f t="shared" si="370"/>
        <v/>
      </c>
      <c r="L4642" s="25" t="str">
        <f t="shared" si="366"/>
        <v/>
      </c>
      <c r="O4642" s="33" t="str">
        <f t="shared" si="367"/>
        <v/>
      </c>
      <c r="P4642" s="33" t="str">
        <f t="shared" si="368"/>
        <v/>
      </c>
    </row>
    <row r="4643" spans="9:16">
      <c r="I4643" s="23" t="str">
        <f>_xlfn.IFNA(VLOOKUP(A4643,A$3524:$H4644,8,0),"")</f>
        <v/>
      </c>
      <c r="J4643" s="40" t="str">
        <f t="shared" si="369"/>
        <v/>
      </c>
      <c r="K4643" s="24" t="str">
        <f t="shared" si="370"/>
        <v/>
      </c>
      <c r="L4643" s="25" t="str">
        <f t="shared" si="366"/>
        <v/>
      </c>
      <c r="O4643" s="33" t="str">
        <f t="shared" si="367"/>
        <v/>
      </c>
      <c r="P4643" s="33" t="str">
        <f t="shared" si="368"/>
        <v/>
      </c>
    </row>
    <row r="4644" spans="9:16">
      <c r="I4644" s="23" t="str">
        <f>_xlfn.IFNA(VLOOKUP(A4644,A$3524:$H4645,8,0),"")</f>
        <v/>
      </c>
      <c r="J4644" s="40" t="str">
        <f t="shared" si="369"/>
        <v/>
      </c>
      <c r="K4644" s="24" t="str">
        <f t="shared" si="370"/>
        <v/>
      </c>
      <c r="L4644" s="25" t="str">
        <f t="shared" si="366"/>
        <v/>
      </c>
      <c r="O4644" s="33" t="str">
        <f t="shared" si="367"/>
        <v/>
      </c>
      <c r="P4644" s="33" t="str">
        <f t="shared" si="368"/>
        <v/>
      </c>
    </row>
    <row r="4645" spans="9:16">
      <c r="I4645" s="23" t="str">
        <f>_xlfn.IFNA(VLOOKUP(A4645,A$3524:$H4646,8,0),"")</f>
        <v/>
      </c>
      <c r="J4645" s="40" t="str">
        <f t="shared" si="369"/>
        <v/>
      </c>
      <c r="K4645" s="24" t="str">
        <f t="shared" si="370"/>
        <v/>
      </c>
      <c r="L4645" s="25" t="str">
        <f t="shared" si="366"/>
        <v/>
      </c>
      <c r="O4645" s="33" t="str">
        <f t="shared" si="367"/>
        <v/>
      </c>
      <c r="P4645" s="33" t="str">
        <f t="shared" si="368"/>
        <v/>
      </c>
    </row>
    <row r="4646" spans="9:16">
      <c r="I4646" s="23" t="str">
        <f>_xlfn.IFNA(VLOOKUP(A4646,A$3524:$H4647,8,0),"")</f>
        <v/>
      </c>
      <c r="J4646" s="40" t="str">
        <f t="shared" si="369"/>
        <v/>
      </c>
      <c r="K4646" s="24" t="str">
        <f t="shared" si="370"/>
        <v/>
      </c>
      <c r="L4646" s="25" t="str">
        <f t="shared" si="366"/>
        <v/>
      </c>
      <c r="O4646" s="33" t="str">
        <f t="shared" si="367"/>
        <v/>
      </c>
      <c r="P4646" s="33" t="str">
        <f t="shared" si="368"/>
        <v/>
      </c>
    </row>
    <row r="4647" spans="9:16">
      <c r="I4647" s="23" t="str">
        <f>_xlfn.IFNA(VLOOKUP(A4647,A$3524:$H4648,8,0),"")</f>
        <v/>
      </c>
      <c r="J4647" s="40" t="str">
        <f t="shared" si="369"/>
        <v/>
      </c>
      <c r="K4647" s="24" t="str">
        <f t="shared" si="370"/>
        <v/>
      </c>
      <c r="L4647" s="25" t="str">
        <f t="shared" si="366"/>
        <v/>
      </c>
      <c r="O4647" s="33" t="str">
        <f t="shared" si="367"/>
        <v/>
      </c>
      <c r="P4647" s="33" t="str">
        <f t="shared" si="368"/>
        <v/>
      </c>
    </row>
    <row r="4648" spans="9:16">
      <c r="I4648" s="23" t="str">
        <f>_xlfn.IFNA(VLOOKUP(A4648,A$3524:$H4649,8,0),"")</f>
        <v/>
      </c>
      <c r="J4648" s="40" t="str">
        <f t="shared" si="369"/>
        <v/>
      </c>
      <c r="K4648" s="24" t="str">
        <f t="shared" si="370"/>
        <v/>
      </c>
      <c r="L4648" s="25" t="str">
        <f t="shared" si="366"/>
        <v/>
      </c>
      <c r="O4648" s="33" t="str">
        <f t="shared" si="367"/>
        <v/>
      </c>
      <c r="P4648" s="33" t="str">
        <f t="shared" si="368"/>
        <v/>
      </c>
    </row>
    <row r="4649" spans="9:16">
      <c r="I4649" s="23" t="str">
        <f>_xlfn.IFNA(VLOOKUP(A4649,A$3524:$H4650,8,0),"")</f>
        <v/>
      </c>
      <c r="J4649" s="40" t="str">
        <f t="shared" si="369"/>
        <v/>
      </c>
      <c r="K4649" s="24" t="str">
        <f t="shared" si="370"/>
        <v/>
      </c>
      <c r="L4649" s="25" t="str">
        <f t="shared" si="366"/>
        <v/>
      </c>
      <c r="O4649" s="33" t="str">
        <f t="shared" si="367"/>
        <v/>
      </c>
      <c r="P4649" s="33" t="str">
        <f t="shared" si="368"/>
        <v/>
      </c>
    </row>
    <row r="4650" spans="9:16">
      <c r="I4650" s="23" t="str">
        <f>_xlfn.IFNA(VLOOKUP(A4650,A$3524:$H4651,8,0),"")</f>
        <v/>
      </c>
      <c r="J4650" s="40" t="str">
        <f t="shared" si="369"/>
        <v/>
      </c>
      <c r="K4650" s="24" t="str">
        <f t="shared" si="370"/>
        <v/>
      </c>
      <c r="L4650" s="25" t="str">
        <f t="shared" si="366"/>
        <v/>
      </c>
      <c r="O4650" s="33" t="str">
        <f t="shared" si="367"/>
        <v/>
      </c>
      <c r="P4650" s="33" t="str">
        <f t="shared" si="368"/>
        <v/>
      </c>
    </row>
    <row r="4651" spans="9:16">
      <c r="I4651" s="23" t="str">
        <f>_xlfn.IFNA(VLOOKUP(A4651,A$3524:$H4652,8,0),"")</f>
        <v/>
      </c>
      <c r="J4651" s="40" t="str">
        <f t="shared" si="369"/>
        <v/>
      </c>
      <c r="K4651" s="24" t="str">
        <f t="shared" si="370"/>
        <v/>
      </c>
      <c r="L4651" s="25" t="str">
        <f t="shared" si="366"/>
        <v/>
      </c>
      <c r="O4651" s="33" t="str">
        <f t="shared" si="367"/>
        <v/>
      </c>
      <c r="P4651" s="33" t="str">
        <f t="shared" si="368"/>
        <v/>
      </c>
    </row>
    <row r="4652" spans="9:16">
      <c r="I4652" s="23" t="str">
        <f>_xlfn.IFNA(VLOOKUP(A4652,A$3524:$H4653,8,0),"")</f>
        <v/>
      </c>
      <c r="J4652" s="40" t="str">
        <f t="shared" si="369"/>
        <v/>
      </c>
      <c r="K4652" s="24" t="str">
        <f t="shared" si="370"/>
        <v/>
      </c>
      <c r="L4652" s="25" t="str">
        <f t="shared" si="366"/>
        <v/>
      </c>
      <c r="O4652" s="33" t="str">
        <f t="shared" si="367"/>
        <v/>
      </c>
      <c r="P4652" s="33" t="str">
        <f t="shared" si="368"/>
        <v/>
      </c>
    </row>
    <row r="4653" spans="9:16">
      <c r="I4653" s="23" t="str">
        <f>_xlfn.IFNA(VLOOKUP(A4653,A$3524:$H4654,8,0),"")</f>
        <v/>
      </c>
      <c r="J4653" s="40" t="str">
        <f t="shared" si="369"/>
        <v/>
      </c>
      <c r="K4653" s="24" t="str">
        <f t="shared" si="370"/>
        <v/>
      </c>
      <c r="L4653" s="25" t="str">
        <f t="shared" si="366"/>
        <v/>
      </c>
      <c r="O4653" s="33" t="str">
        <f t="shared" si="367"/>
        <v/>
      </c>
      <c r="P4653" s="33" t="str">
        <f t="shared" si="368"/>
        <v/>
      </c>
    </row>
    <row r="4654" spans="9:16">
      <c r="I4654" s="23" t="str">
        <f>_xlfn.IFNA(VLOOKUP(A4654,A$3524:$H4655,8,0),"")</f>
        <v/>
      </c>
      <c r="J4654" s="40" t="str">
        <f t="shared" si="369"/>
        <v/>
      </c>
      <c r="K4654" s="24" t="str">
        <f t="shared" si="370"/>
        <v/>
      </c>
      <c r="L4654" s="25" t="str">
        <f t="shared" si="366"/>
        <v/>
      </c>
      <c r="O4654" s="33" t="str">
        <f t="shared" si="367"/>
        <v/>
      </c>
      <c r="P4654" s="33" t="str">
        <f t="shared" si="368"/>
        <v/>
      </c>
    </row>
    <row r="4655" spans="9:16">
      <c r="I4655" s="23" t="str">
        <f>_xlfn.IFNA(VLOOKUP(A4655,A$3524:$H4656,8,0),"")</f>
        <v/>
      </c>
      <c r="J4655" s="40" t="str">
        <f t="shared" si="369"/>
        <v/>
      </c>
      <c r="K4655" s="24" t="str">
        <f t="shared" si="370"/>
        <v/>
      </c>
      <c r="L4655" s="25" t="str">
        <f t="shared" si="366"/>
        <v/>
      </c>
      <c r="O4655" s="33" t="str">
        <f t="shared" si="367"/>
        <v/>
      </c>
      <c r="P4655" s="33" t="str">
        <f t="shared" si="368"/>
        <v/>
      </c>
    </row>
    <row r="4656" spans="9:16">
      <c r="I4656" s="23" t="str">
        <f>_xlfn.IFNA(VLOOKUP(A4656,A$3524:$H4657,8,0),"")</f>
        <v/>
      </c>
      <c r="J4656" s="40" t="str">
        <f t="shared" si="369"/>
        <v/>
      </c>
      <c r="K4656" s="24" t="str">
        <f t="shared" si="370"/>
        <v/>
      </c>
      <c r="L4656" s="25" t="str">
        <f t="shared" si="366"/>
        <v/>
      </c>
      <c r="O4656" s="33" t="str">
        <f t="shared" si="367"/>
        <v/>
      </c>
      <c r="P4656" s="33" t="str">
        <f t="shared" si="368"/>
        <v/>
      </c>
    </row>
    <row r="4657" spans="9:16">
      <c r="I4657" s="23" t="str">
        <f>_xlfn.IFNA(VLOOKUP(A4657,A$3524:$H4658,8,0),"")</f>
        <v/>
      </c>
      <c r="J4657" s="40" t="str">
        <f t="shared" si="369"/>
        <v/>
      </c>
      <c r="K4657" s="24" t="str">
        <f t="shared" si="370"/>
        <v/>
      </c>
      <c r="L4657" s="25" t="str">
        <f t="shared" si="366"/>
        <v/>
      </c>
      <c r="O4657" s="33" t="str">
        <f t="shared" si="367"/>
        <v/>
      </c>
      <c r="P4657" s="33" t="str">
        <f t="shared" si="368"/>
        <v/>
      </c>
    </row>
    <row r="4658" spans="9:16">
      <c r="I4658" s="23" t="str">
        <f>_xlfn.IFNA(VLOOKUP(A4658,A$3524:$H4659,8,0),"")</f>
        <v/>
      </c>
      <c r="J4658" s="40" t="str">
        <f t="shared" si="369"/>
        <v/>
      </c>
      <c r="K4658" s="24" t="str">
        <f t="shared" si="370"/>
        <v/>
      </c>
      <c r="L4658" s="25" t="str">
        <f t="shared" si="366"/>
        <v/>
      </c>
      <c r="O4658" s="33" t="str">
        <f t="shared" si="367"/>
        <v/>
      </c>
      <c r="P4658" s="33" t="str">
        <f t="shared" si="368"/>
        <v/>
      </c>
    </row>
    <row r="4659" spans="9:16">
      <c r="I4659" s="23" t="str">
        <f>_xlfn.IFNA(VLOOKUP(A4659,A$3524:$H4660,8,0),"")</f>
        <v/>
      </c>
      <c r="J4659" s="40" t="str">
        <f t="shared" si="369"/>
        <v/>
      </c>
      <c r="K4659" s="24" t="str">
        <f t="shared" si="370"/>
        <v/>
      </c>
      <c r="L4659" s="25" t="str">
        <f t="shared" si="366"/>
        <v/>
      </c>
      <c r="O4659" s="33" t="str">
        <f t="shared" si="367"/>
        <v/>
      </c>
      <c r="P4659" s="33" t="str">
        <f t="shared" si="368"/>
        <v/>
      </c>
    </row>
    <row r="4660" spans="9:16">
      <c r="I4660" s="23" t="str">
        <f>_xlfn.IFNA(VLOOKUP(A4660,A$3524:$H4661,8,0),"")</f>
        <v/>
      </c>
      <c r="J4660" s="40" t="str">
        <f t="shared" si="369"/>
        <v/>
      </c>
      <c r="K4660" s="24" t="str">
        <f t="shared" si="370"/>
        <v/>
      </c>
      <c r="L4660" s="25" t="str">
        <f t="shared" si="366"/>
        <v/>
      </c>
      <c r="O4660" s="33" t="str">
        <f t="shared" si="367"/>
        <v/>
      </c>
      <c r="P4660" s="33" t="str">
        <f t="shared" si="368"/>
        <v/>
      </c>
    </row>
    <row r="4661" spans="9:16">
      <c r="I4661" s="23" t="str">
        <f>_xlfn.IFNA(VLOOKUP(A4661,A$3524:$H4662,8,0),"")</f>
        <v/>
      </c>
      <c r="J4661" s="40" t="str">
        <f t="shared" si="369"/>
        <v/>
      </c>
      <c r="K4661" s="24" t="str">
        <f t="shared" si="370"/>
        <v/>
      </c>
      <c r="L4661" s="25" t="str">
        <f t="shared" si="366"/>
        <v/>
      </c>
      <c r="O4661" s="33" t="str">
        <f t="shared" si="367"/>
        <v/>
      </c>
      <c r="P4661" s="33" t="str">
        <f t="shared" si="368"/>
        <v/>
      </c>
    </row>
    <row r="4662" spans="9:16">
      <c r="I4662" s="23" t="str">
        <f>_xlfn.IFNA(VLOOKUP(A4662,A$3524:$H4663,8,0),"")</f>
        <v/>
      </c>
      <c r="J4662" s="40" t="str">
        <f t="shared" si="369"/>
        <v/>
      </c>
      <c r="K4662" s="24" t="str">
        <f t="shared" si="370"/>
        <v/>
      </c>
      <c r="L4662" s="25" t="str">
        <f t="shared" si="366"/>
        <v/>
      </c>
      <c r="O4662" s="33" t="str">
        <f t="shared" si="367"/>
        <v/>
      </c>
      <c r="P4662" s="33" t="str">
        <f t="shared" si="368"/>
        <v/>
      </c>
    </row>
    <row r="4663" spans="9:16">
      <c r="I4663" s="23" t="str">
        <f>_xlfn.IFNA(VLOOKUP(A4663,A$3524:$H4664,8,0),"")</f>
        <v/>
      </c>
      <c r="J4663" s="40" t="str">
        <f t="shared" si="369"/>
        <v/>
      </c>
      <c r="K4663" s="24" t="str">
        <f t="shared" si="370"/>
        <v/>
      </c>
      <c r="L4663" s="25" t="str">
        <f t="shared" ref="L4663:L4726" si="371">IF(K4663="","",IF(B4663="Break","Break",IF(K4663&lt;&gt;0,"Work Finished",IF(B4663="OFF","Work Finished",IF(I4663="","Working","Work Finished")))))</f>
        <v/>
      </c>
      <c r="O4663" s="33" t="str">
        <f t="shared" ref="O4663:O4726" si="372">IF(AND(J4663="",M4663="",N4663=""),"",J4663-M4663-N4663)</f>
        <v/>
      </c>
      <c r="P4663" s="33" t="str">
        <f t="shared" ref="P4663:P4726" si="373">IF(HOUR(H4663)=0,"",HOUR(H4663))</f>
        <v/>
      </c>
    </row>
    <row r="4664" spans="9:16">
      <c r="I4664" s="23" t="str">
        <f>_xlfn.IFNA(VLOOKUP(A4664,A$3524:$H4665,8,0),"")</f>
        <v/>
      </c>
      <c r="J4664" s="40" t="str">
        <f t="shared" si="369"/>
        <v/>
      </c>
      <c r="K4664" s="24" t="str">
        <f t="shared" si="370"/>
        <v/>
      </c>
      <c r="L4664" s="25" t="str">
        <f t="shared" si="371"/>
        <v/>
      </c>
      <c r="O4664" s="33" t="str">
        <f t="shared" si="372"/>
        <v/>
      </c>
      <c r="P4664" s="33" t="str">
        <f t="shared" si="373"/>
        <v/>
      </c>
    </row>
    <row r="4665" spans="9:16">
      <c r="I4665" s="23" t="str">
        <f>_xlfn.IFNA(VLOOKUP(A4665,A$3524:$H4666,8,0),"")</f>
        <v/>
      </c>
      <c r="J4665" s="40" t="str">
        <f t="shared" si="369"/>
        <v/>
      </c>
      <c r="K4665" s="24" t="str">
        <f t="shared" si="370"/>
        <v/>
      </c>
      <c r="L4665" s="25" t="str">
        <f t="shared" si="371"/>
        <v/>
      </c>
      <c r="O4665" s="33" t="str">
        <f t="shared" si="372"/>
        <v/>
      </c>
      <c r="P4665" s="33" t="str">
        <f t="shared" si="373"/>
        <v/>
      </c>
    </row>
    <row r="4666" spans="9:16">
      <c r="I4666" s="23" t="str">
        <f>_xlfn.IFNA(VLOOKUP(A4666,A$3524:$H4667,8,0),"")</f>
        <v/>
      </c>
      <c r="J4666" s="40" t="str">
        <f t="shared" si="369"/>
        <v/>
      </c>
      <c r="K4666" s="24" t="str">
        <f t="shared" si="370"/>
        <v/>
      </c>
      <c r="L4666" s="25" t="str">
        <f t="shared" si="371"/>
        <v/>
      </c>
      <c r="O4666" s="33" t="str">
        <f t="shared" si="372"/>
        <v/>
      </c>
      <c r="P4666" s="33" t="str">
        <f t="shared" si="373"/>
        <v/>
      </c>
    </row>
    <row r="4667" spans="9:16">
      <c r="I4667" s="23" t="str">
        <f>_xlfn.IFNA(VLOOKUP(A4667,A$3524:$H4668,8,0),"")</f>
        <v/>
      </c>
      <c r="J4667" s="40" t="str">
        <f t="shared" si="369"/>
        <v/>
      </c>
      <c r="K4667" s="24" t="str">
        <f t="shared" si="370"/>
        <v/>
      </c>
      <c r="L4667" s="25" t="str">
        <f t="shared" si="371"/>
        <v/>
      </c>
      <c r="O4667" s="33" t="str">
        <f t="shared" si="372"/>
        <v/>
      </c>
      <c r="P4667" s="33" t="str">
        <f t="shared" si="373"/>
        <v/>
      </c>
    </row>
    <row r="4668" spans="9:16">
      <c r="I4668" s="23" t="str">
        <f>_xlfn.IFNA(VLOOKUP(A4668,A$3524:$H4669,8,0),"")</f>
        <v/>
      </c>
      <c r="J4668" s="40" t="str">
        <f t="shared" si="369"/>
        <v/>
      </c>
      <c r="K4668" s="24" t="str">
        <f t="shared" si="370"/>
        <v/>
      </c>
      <c r="L4668" s="25" t="str">
        <f t="shared" si="371"/>
        <v/>
      </c>
      <c r="O4668" s="33" t="str">
        <f t="shared" si="372"/>
        <v/>
      </c>
      <c r="P4668" s="33" t="str">
        <f t="shared" si="373"/>
        <v/>
      </c>
    </row>
    <row r="4669" spans="9:16">
      <c r="I4669" s="23" t="str">
        <f>_xlfn.IFNA(VLOOKUP(A4669,A$3524:$H4670,8,0),"")</f>
        <v/>
      </c>
      <c r="J4669" s="40" t="str">
        <f t="shared" si="369"/>
        <v/>
      </c>
      <c r="K4669" s="24" t="str">
        <f t="shared" si="370"/>
        <v/>
      </c>
      <c r="L4669" s="25" t="str">
        <f t="shared" si="371"/>
        <v/>
      </c>
      <c r="O4669" s="33" t="str">
        <f t="shared" si="372"/>
        <v/>
      </c>
      <c r="P4669" s="33" t="str">
        <f t="shared" si="373"/>
        <v/>
      </c>
    </row>
    <row r="4670" spans="9:16">
      <c r="I4670" s="23" t="str">
        <f>_xlfn.IFNA(VLOOKUP(A4670,A$3524:$H4671,8,0),"")</f>
        <v/>
      </c>
      <c r="J4670" s="40" t="str">
        <f t="shared" si="369"/>
        <v/>
      </c>
      <c r="K4670" s="24" t="str">
        <f t="shared" si="370"/>
        <v/>
      </c>
      <c r="L4670" s="25" t="str">
        <f t="shared" si="371"/>
        <v/>
      </c>
      <c r="O4670" s="33" t="str">
        <f t="shared" si="372"/>
        <v/>
      </c>
      <c r="P4670" s="33" t="str">
        <f t="shared" si="373"/>
        <v/>
      </c>
    </row>
    <row r="4671" spans="9:16">
      <c r="I4671" s="23" t="str">
        <f>_xlfn.IFNA(VLOOKUP(A4671,A$3524:$H4672,8,0),"")</f>
        <v/>
      </c>
      <c r="J4671" s="40" t="str">
        <f t="shared" si="369"/>
        <v/>
      </c>
      <c r="K4671" s="24" t="str">
        <f t="shared" si="370"/>
        <v/>
      </c>
      <c r="L4671" s="25" t="str">
        <f t="shared" si="371"/>
        <v/>
      </c>
      <c r="O4671" s="33" t="str">
        <f t="shared" si="372"/>
        <v/>
      </c>
      <c r="P4671" s="33" t="str">
        <f t="shared" si="373"/>
        <v/>
      </c>
    </row>
    <row r="4672" spans="9:16">
      <c r="I4672" s="23" t="str">
        <f>_xlfn.IFNA(VLOOKUP(A4672,A$3524:$H4673,8,0),"")</f>
        <v/>
      </c>
      <c r="J4672" s="40" t="str">
        <f t="shared" si="369"/>
        <v/>
      </c>
      <c r="K4672" s="24" t="str">
        <f t="shared" si="370"/>
        <v/>
      </c>
      <c r="L4672" s="25" t="str">
        <f t="shared" si="371"/>
        <v/>
      </c>
      <c r="O4672" s="33" t="str">
        <f t="shared" si="372"/>
        <v/>
      </c>
      <c r="P4672" s="33" t="str">
        <f t="shared" si="373"/>
        <v/>
      </c>
    </row>
    <row r="4673" spans="9:16">
      <c r="I4673" s="23" t="str">
        <f>_xlfn.IFNA(VLOOKUP(A4673,A$3524:$H4674,8,0),"")</f>
        <v/>
      </c>
      <c r="J4673" s="40" t="str">
        <f t="shared" si="369"/>
        <v/>
      </c>
      <c r="K4673" s="24" t="str">
        <f t="shared" si="370"/>
        <v/>
      </c>
      <c r="L4673" s="25" t="str">
        <f t="shared" si="371"/>
        <v/>
      </c>
      <c r="O4673" s="33" t="str">
        <f t="shared" si="372"/>
        <v/>
      </c>
      <c r="P4673" s="33" t="str">
        <f t="shared" si="373"/>
        <v/>
      </c>
    </row>
    <row r="4674" spans="9:16">
      <c r="I4674" s="23" t="str">
        <f>_xlfn.IFNA(VLOOKUP(A4674,A$3524:$H4675,8,0),"")</f>
        <v/>
      </c>
      <c r="J4674" s="40" t="str">
        <f t="shared" si="369"/>
        <v/>
      </c>
      <c r="K4674" s="24" t="str">
        <f t="shared" si="370"/>
        <v/>
      </c>
      <c r="L4674" s="25" t="str">
        <f t="shared" si="371"/>
        <v/>
      </c>
      <c r="O4674" s="33" t="str">
        <f t="shared" si="372"/>
        <v/>
      </c>
      <c r="P4674" s="33" t="str">
        <f t="shared" si="373"/>
        <v/>
      </c>
    </row>
    <row r="4675" spans="9:16">
      <c r="I4675" s="23" t="str">
        <f>_xlfn.IFNA(VLOOKUP(A4675,A$3524:$H4676,8,0),"")</f>
        <v/>
      </c>
      <c r="J4675" s="40" t="str">
        <f t="shared" si="369"/>
        <v/>
      </c>
      <c r="K4675" s="24" t="str">
        <f t="shared" si="370"/>
        <v/>
      </c>
      <c r="L4675" s="25" t="str">
        <f t="shared" si="371"/>
        <v/>
      </c>
      <c r="O4675" s="33" t="str">
        <f t="shared" si="372"/>
        <v/>
      </c>
      <c r="P4675" s="33" t="str">
        <f t="shared" si="373"/>
        <v/>
      </c>
    </row>
    <row r="4676" spans="9:16">
      <c r="I4676" s="23" t="str">
        <f>_xlfn.IFNA(VLOOKUP(A4676,A$3524:$H4677,8,0),"")</f>
        <v/>
      </c>
      <c r="J4676" s="40" t="str">
        <f t="shared" si="369"/>
        <v/>
      </c>
      <c r="K4676" s="24" t="str">
        <f t="shared" si="370"/>
        <v/>
      </c>
      <c r="L4676" s="25" t="str">
        <f t="shared" si="371"/>
        <v/>
      </c>
      <c r="O4676" s="33" t="str">
        <f t="shared" si="372"/>
        <v/>
      </c>
      <c r="P4676" s="33" t="str">
        <f t="shared" si="373"/>
        <v/>
      </c>
    </row>
    <row r="4677" spans="9:16">
      <c r="I4677" s="23" t="str">
        <f>_xlfn.IFNA(VLOOKUP(A4677,A$3524:$H4678,8,0),"")</f>
        <v/>
      </c>
      <c r="J4677" s="40" t="str">
        <f t="shared" si="369"/>
        <v/>
      </c>
      <c r="K4677" s="24" t="str">
        <f t="shared" si="370"/>
        <v/>
      </c>
      <c r="L4677" s="25" t="str">
        <f t="shared" si="371"/>
        <v/>
      </c>
      <c r="O4677" s="33" t="str">
        <f t="shared" si="372"/>
        <v/>
      </c>
      <c r="P4677" s="33" t="str">
        <f t="shared" si="373"/>
        <v/>
      </c>
    </row>
    <row r="4678" spans="9:16">
      <c r="I4678" s="23" t="str">
        <f>_xlfn.IFNA(VLOOKUP(A4678,A$3524:$H4679,8,0),"")</f>
        <v/>
      </c>
      <c r="J4678" s="40" t="str">
        <f t="shared" ref="J4678:J4741" si="374">IF(B4678="OFF",0,IF(AND(D4678&lt;&gt;"",E4678&lt;&gt;""),E4678-D4678+1,""))</f>
        <v/>
      </c>
      <c r="K4678" s="24" t="str">
        <f t="shared" si="370"/>
        <v/>
      </c>
      <c r="L4678" s="25" t="str">
        <f t="shared" si="371"/>
        <v/>
      </c>
      <c r="O4678" s="33" t="str">
        <f t="shared" si="372"/>
        <v/>
      </c>
      <c r="P4678" s="33" t="str">
        <f t="shared" si="373"/>
        <v/>
      </c>
    </row>
    <row r="4679" spans="9:16">
      <c r="I4679" s="23" t="str">
        <f>_xlfn.IFNA(VLOOKUP(A4679,A$3524:$H4680,8,0),"")</f>
        <v/>
      </c>
      <c r="J4679" s="40" t="str">
        <f t="shared" si="374"/>
        <v/>
      </c>
      <c r="K4679" s="24" t="str">
        <f t="shared" si="370"/>
        <v/>
      </c>
      <c r="L4679" s="25" t="str">
        <f t="shared" si="371"/>
        <v/>
      </c>
      <c r="O4679" s="33" t="str">
        <f t="shared" si="372"/>
        <v/>
      </c>
      <c r="P4679" s="33" t="str">
        <f t="shared" si="373"/>
        <v/>
      </c>
    </row>
    <row r="4680" spans="9:16">
      <c r="I4680" s="23" t="str">
        <f>_xlfn.IFNA(VLOOKUP(A4680,A$3524:$H4681,8,0),"")</f>
        <v/>
      </c>
      <c r="J4680" s="40" t="str">
        <f t="shared" si="374"/>
        <v/>
      </c>
      <c r="K4680" s="24" t="str">
        <f t="shared" si="370"/>
        <v/>
      </c>
      <c r="L4680" s="25" t="str">
        <f t="shared" si="371"/>
        <v/>
      </c>
      <c r="O4680" s="33" t="str">
        <f t="shared" si="372"/>
        <v/>
      </c>
      <c r="P4680" s="33" t="str">
        <f t="shared" si="373"/>
        <v/>
      </c>
    </row>
    <row r="4681" spans="9:16">
      <c r="I4681" s="23" t="str">
        <f>_xlfn.IFNA(VLOOKUP(A4681,A$3524:$H4682,8,0),"")</f>
        <v/>
      </c>
      <c r="J4681" s="40" t="str">
        <f t="shared" si="374"/>
        <v/>
      </c>
      <c r="K4681" s="24" t="str">
        <f t="shared" si="370"/>
        <v/>
      </c>
      <c r="L4681" s="25" t="str">
        <f t="shared" si="371"/>
        <v/>
      </c>
      <c r="O4681" s="33" t="str">
        <f t="shared" si="372"/>
        <v/>
      </c>
      <c r="P4681" s="33" t="str">
        <f t="shared" si="373"/>
        <v/>
      </c>
    </row>
    <row r="4682" spans="9:16">
      <c r="I4682" s="23" t="str">
        <f>_xlfn.IFNA(VLOOKUP(A4682,A$3524:$H4683,8,0),"")</f>
        <v/>
      </c>
      <c r="J4682" s="40" t="str">
        <f t="shared" si="374"/>
        <v/>
      </c>
      <c r="K4682" s="24" t="str">
        <f t="shared" si="370"/>
        <v/>
      </c>
      <c r="L4682" s="25" t="str">
        <f t="shared" si="371"/>
        <v/>
      </c>
      <c r="O4682" s="33" t="str">
        <f t="shared" si="372"/>
        <v/>
      </c>
      <c r="P4682" s="33" t="str">
        <f t="shared" si="373"/>
        <v/>
      </c>
    </row>
    <row r="4683" spans="9:16">
      <c r="I4683" s="23" t="str">
        <f>_xlfn.IFNA(VLOOKUP(A4683,A$3524:$H4684,8,0),"")</f>
        <v/>
      </c>
      <c r="J4683" s="40" t="str">
        <f t="shared" si="374"/>
        <v/>
      </c>
      <c r="K4683" s="24" t="str">
        <f t="shared" si="370"/>
        <v/>
      </c>
      <c r="L4683" s="25" t="str">
        <f t="shared" si="371"/>
        <v/>
      </c>
      <c r="O4683" s="33" t="str">
        <f t="shared" si="372"/>
        <v/>
      </c>
      <c r="P4683" s="33" t="str">
        <f t="shared" si="373"/>
        <v/>
      </c>
    </row>
    <row r="4684" spans="9:16">
      <c r="I4684" s="23" t="str">
        <f>_xlfn.IFNA(VLOOKUP(A4684,A$3524:$H4685,8,0),"")</f>
        <v/>
      </c>
      <c r="J4684" s="40" t="str">
        <f t="shared" si="374"/>
        <v/>
      </c>
      <c r="K4684" s="24" t="str">
        <f t="shared" si="370"/>
        <v/>
      </c>
      <c r="L4684" s="25" t="str">
        <f t="shared" si="371"/>
        <v/>
      </c>
      <c r="O4684" s="33" t="str">
        <f t="shared" si="372"/>
        <v/>
      </c>
      <c r="P4684" s="33" t="str">
        <f t="shared" si="373"/>
        <v/>
      </c>
    </row>
    <row r="4685" spans="9:16">
      <c r="I4685" s="23" t="str">
        <f>_xlfn.IFNA(VLOOKUP(A4685,A$3524:$H4686,8,0),"")</f>
        <v/>
      </c>
      <c r="J4685" s="40" t="str">
        <f t="shared" si="374"/>
        <v/>
      </c>
      <c r="K4685" s="24" t="str">
        <f t="shared" si="370"/>
        <v/>
      </c>
      <c r="L4685" s="25" t="str">
        <f t="shared" si="371"/>
        <v/>
      </c>
      <c r="O4685" s="33" t="str">
        <f t="shared" si="372"/>
        <v/>
      </c>
      <c r="P4685" s="33" t="str">
        <f t="shared" si="373"/>
        <v/>
      </c>
    </row>
    <row r="4686" spans="9:16">
      <c r="I4686" s="23" t="str">
        <f>_xlfn.IFNA(VLOOKUP(A4686,A$3524:$H4687,8,0),"")</f>
        <v/>
      </c>
      <c r="J4686" s="40" t="str">
        <f t="shared" si="374"/>
        <v/>
      </c>
      <c r="K4686" s="24" t="str">
        <f t="shared" si="370"/>
        <v/>
      </c>
      <c r="L4686" s="25" t="str">
        <f t="shared" si="371"/>
        <v/>
      </c>
      <c r="O4686" s="33" t="str">
        <f t="shared" si="372"/>
        <v/>
      </c>
      <c r="P4686" s="33" t="str">
        <f t="shared" si="373"/>
        <v/>
      </c>
    </row>
    <row r="4687" spans="9:16">
      <c r="I4687" s="23" t="str">
        <f>_xlfn.IFNA(VLOOKUP(A4687,A$3524:$H4688,8,0),"")</f>
        <v/>
      </c>
      <c r="J4687" s="40" t="str">
        <f t="shared" si="374"/>
        <v/>
      </c>
      <c r="K4687" s="24" t="str">
        <f t="shared" si="370"/>
        <v/>
      </c>
      <c r="L4687" s="25" t="str">
        <f t="shared" si="371"/>
        <v/>
      </c>
      <c r="O4687" s="33" t="str">
        <f t="shared" si="372"/>
        <v/>
      </c>
      <c r="P4687" s="33" t="str">
        <f t="shared" si="373"/>
        <v/>
      </c>
    </row>
    <row r="4688" spans="9:16">
      <c r="I4688" s="23" t="str">
        <f>_xlfn.IFNA(VLOOKUP(A4688,A$3524:$H4689,8,0),"")</f>
        <v/>
      </c>
      <c r="J4688" s="40" t="str">
        <f t="shared" si="374"/>
        <v/>
      </c>
      <c r="K4688" s="24" t="str">
        <f t="shared" si="370"/>
        <v/>
      </c>
      <c r="L4688" s="25" t="str">
        <f t="shared" si="371"/>
        <v/>
      </c>
      <c r="O4688" s="33" t="str">
        <f t="shared" si="372"/>
        <v/>
      </c>
      <c r="P4688" s="33" t="str">
        <f t="shared" si="373"/>
        <v/>
      </c>
    </row>
    <row r="4689" spans="9:16">
      <c r="I4689" s="23" t="str">
        <f>_xlfn.IFNA(VLOOKUP(A4689,A$3524:$H4690,8,0),"")</f>
        <v/>
      </c>
      <c r="J4689" s="40" t="str">
        <f t="shared" si="374"/>
        <v/>
      </c>
      <c r="K4689" s="24" t="str">
        <f t="shared" si="370"/>
        <v/>
      </c>
      <c r="L4689" s="25" t="str">
        <f t="shared" si="371"/>
        <v/>
      </c>
      <c r="O4689" s="33" t="str">
        <f t="shared" si="372"/>
        <v/>
      </c>
      <c r="P4689" s="33" t="str">
        <f t="shared" si="373"/>
        <v/>
      </c>
    </row>
    <row r="4690" spans="9:16">
      <c r="I4690" s="23" t="str">
        <f>_xlfn.IFNA(VLOOKUP(A4690,A$3524:$H4691,8,0),"")</f>
        <v/>
      </c>
      <c r="J4690" s="40" t="str">
        <f t="shared" si="374"/>
        <v/>
      </c>
      <c r="K4690" s="24" t="str">
        <f t="shared" si="370"/>
        <v/>
      </c>
      <c r="L4690" s="25" t="str">
        <f t="shared" si="371"/>
        <v/>
      </c>
      <c r="O4690" s="33" t="str">
        <f t="shared" si="372"/>
        <v/>
      </c>
      <c r="P4690" s="33" t="str">
        <f t="shared" si="373"/>
        <v/>
      </c>
    </row>
    <row r="4691" spans="9:16">
      <c r="I4691" s="23" t="str">
        <f>_xlfn.IFNA(VLOOKUP(A4691,A$3524:$H4692,8,0),"")</f>
        <v/>
      </c>
      <c r="J4691" s="40" t="str">
        <f t="shared" si="374"/>
        <v/>
      </c>
      <c r="K4691" s="24" t="str">
        <f t="shared" si="370"/>
        <v/>
      </c>
      <c r="L4691" s="25" t="str">
        <f t="shared" si="371"/>
        <v/>
      </c>
      <c r="O4691" s="33" t="str">
        <f t="shared" si="372"/>
        <v/>
      </c>
      <c r="P4691" s="33" t="str">
        <f t="shared" si="373"/>
        <v/>
      </c>
    </row>
    <row r="4692" spans="9:16">
      <c r="I4692" s="23" t="str">
        <f>_xlfn.IFNA(VLOOKUP(A4692,A$3524:$H4693,8,0),"")</f>
        <v/>
      </c>
      <c r="J4692" s="40" t="str">
        <f t="shared" si="374"/>
        <v/>
      </c>
      <c r="K4692" s="24" t="str">
        <f t="shared" si="370"/>
        <v/>
      </c>
      <c r="L4692" s="25" t="str">
        <f t="shared" si="371"/>
        <v/>
      </c>
      <c r="O4692" s="33" t="str">
        <f t="shared" si="372"/>
        <v/>
      </c>
      <c r="P4692" s="33" t="str">
        <f t="shared" si="373"/>
        <v/>
      </c>
    </row>
    <row r="4693" spans="9:16">
      <c r="I4693" s="23" t="str">
        <f>_xlfn.IFNA(VLOOKUP(A4693,A$3524:$H4694,8,0),"")</f>
        <v/>
      </c>
      <c r="J4693" s="40" t="str">
        <f t="shared" si="374"/>
        <v/>
      </c>
      <c r="K4693" s="24" t="str">
        <f t="shared" si="370"/>
        <v/>
      </c>
      <c r="L4693" s="25" t="str">
        <f t="shared" si="371"/>
        <v/>
      </c>
      <c r="O4693" s="33" t="str">
        <f t="shared" si="372"/>
        <v/>
      </c>
      <c r="P4693" s="33" t="str">
        <f t="shared" si="373"/>
        <v/>
      </c>
    </row>
    <row r="4694" spans="9:16">
      <c r="I4694" s="23" t="str">
        <f>_xlfn.IFNA(VLOOKUP(A4694,A$3524:$H4695,8,0),"")</f>
        <v/>
      </c>
      <c r="J4694" s="40" t="str">
        <f t="shared" si="374"/>
        <v/>
      </c>
      <c r="K4694" s="24" t="str">
        <f t="shared" ref="K4694:K4757" si="375">IF(H4694="","",IFERROR((I4694-H4694)*24,0))</f>
        <v/>
      </c>
      <c r="L4694" s="25" t="str">
        <f t="shared" si="371"/>
        <v/>
      </c>
      <c r="O4694" s="33" t="str">
        <f t="shared" si="372"/>
        <v/>
      </c>
      <c r="P4694" s="33" t="str">
        <f t="shared" si="373"/>
        <v/>
      </c>
    </row>
    <row r="4695" spans="9:16">
      <c r="I4695" s="23" t="str">
        <f>_xlfn.IFNA(VLOOKUP(A4695,A$3524:$H4696,8,0),"")</f>
        <v/>
      </c>
      <c r="J4695" s="40" t="str">
        <f t="shared" si="374"/>
        <v/>
      </c>
      <c r="K4695" s="24" t="str">
        <f t="shared" si="375"/>
        <v/>
      </c>
      <c r="L4695" s="25" t="str">
        <f t="shared" si="371"/>
        <v/>
      </c>
      <c r="O4695" s="33" t="str">
        <f t="shared" si="372"/>
        <v/>
      </c>
      <c r="P4695" s="33" t="str">
        <f t="shared" si="373"/>
        <v/>
      </c>
    </row>
    <row r="4696" spans="9:16">
      <c r="I4696" s="23" t="str">
        <f>_xlfn.IFNA(VLOOKUP(A4696,A$3524:$H4697,8,0),"")</f>
        <v/>
      </c>
      <c r="J4696" s="40" t="str">
        <f t="shared" si="374"/>
        <v/>
      </c>
      <c r="K4696" s="24" t="str">
        <f t="shared" si="375"/>
        <v/>
      </c>
      <c r="L4696" s="25" t="str">
        <f t="shared" si="371"/>
        <v/>
      </c>
      <c r="O4696" s="33" t="str">
        <f t="shared" si="372"/>
        <v/>
      </c>
      <c r="P4696" s="33" t="str">
        <f t="shared" si="373"/>
        <v/>
      </c>
    </row>
    <row r="4697" spans="9:16">
      <c r="I4697" s="23" t="str">
        <f>_xlfn.IFNA(VLOOKUP(A4697,A$3524:$H4698,8,0),"")</f>
        <v/>
      </c>
      <c r="J4697" s="40" t="str">
        <f t="shared" si="374"/>
        <v/>
      </c>
      <c r="K4697" s="24" t="str">
        <f t="shared" si="375"/>
        <v/>
      </c>
      <c r="L4697" s="25" t="str">
        <f t="shared" si="371"/>
        <v/>
      </c>
      <c r="O4697" s="33" t="str">
        <f t="shared" si="372"/>
        <v/>
      </c>
      <c r="P4697" s="33" t="str">
        <f t="shared" si="373"/>
        <v/>
      </c>
    </row>
    <row r="4698" spans="9:16">
      <c r="I4698" s="23" t="str">
        <f>_xlfn.IFNA(VLOOKUP(A4698,A$3524:$H4699,8,0),"")</f>
        <v/>
      </c>
      <c r="J4698" s="40" t="str">
        <f t="shared" si="374"/>
        <v/>
      </c>
      <c r="K4698" s="24" t="str">
        <f t="shared" si="375"/>
        <v/>
      </c>
      <c r="L4698" s="25" t="str">
        <f t="shared" si="371"/>
        <v/>
      </c>
      <c r="O4698" s="33" t="str">
        <f t="shared" si="372"/>
        <v/>
      </c>
      <c r="P4698" s="33" t="str">
        <f t="shared" si="373"/>
        <v/>
      </c>
    </row>
    <row r="4699" spans="9:16">
      <c r="I4699" s="23" t="str">
        <f>_xlfn.IFNA(VLOOKUP(A4699,A$3524:$H4700,8,0),"")</f>
        <v/>
      </c>
      <c r="J4699" s="40" t="str">
        <f t="shared" si="374"/>
        <v/>
      </c>
      <c r="K4699" s="24" t="str">
        <f t="shared" si="375"/>
        <v/>
      </c>
      <c r="L4699" s="25" t="str">
        <f t="shared" si="371"/>
        <v/>
      </c>
      <c r="O4699" s="33" t="str">
        <f t="shared" si="372"/>
        <v/>
      </c>
      <c r="P4699" s="33" t="str">
        <f t="shared" si="373"/>
        <v/>
      </c>
    </row>
    <row r="4700" spans="9:16">
      <c r="I4700" s="23" t="str">
        <f>_xlfn.IFNA(VLOOKUP(A4700,A$3524:$H4701,8,0),"")</f>
        <v/>
      </c>
      <c r="J4700" s="40" t="str">
        <f t="shared" si="374"/>
        <v/>
      </c>
      <c r="K4700" s="24" t="str">
        <f t="shared" si="375"/>
        <v/>
      </c>
      <c r="L4700" s="25" t="str">
        <f t="shared" si="371"/>
        <v/>
      </c>
      <c r="O4700" s="33" t="str">
        <f t="shared" si="372"/>
        <v/>
      </c>
      <c r="P4700" s="33" t="str">
        <f t="shared" si="373"/>
        <v/>
      </c>
    </row>
    <row r="4701" spans="9:16">
      <c r="I4701" s="23" t="str">
        <f>_xlfn.IFNA(VLOOKUP(A4701,A$3524:$H4702,8,0),"")</f>
        <v/>
      </c>
      <c r="J4701" s="40" t="str">
        <f t="shared" si="374"/>
        <v/>
      </c>
      <c r="K4701" s="24" t="str">
        <f t="shared" si="375"/>
        <v/>
      </c>
      <c r="L4701" s="25" t="str">
        <f t="shared" si="371"/>
        <v/>
      </c>
      <c r="O4701" s="33" t="str">
        <f t="shared" si="372"/>
        <v/>
      </c>
      <c r="P4701" s="33" t="str">
        <f t="shared" si="373"/>
        <v/>
      </c>
    </row>
    <row r="4702" spans="9:16">
      <c r="I4702" s="23" t="str">
        <f>_xlfn.IFNA(VLOOKUP(A4702,A$3524:$H4703,8,0),"")</f>
        <v/>
      </c>
      <c r="J4702" s="40" t="str">
        <f t="shared" si="374"/>
        <v/>
      </c>
      <c r="K4702" s="24" t="str">
        <f t="shared" si="375"/>
        <v/>
      </c>
      <c r="L4702" s="25" t="str">
        <f t="shared" si="371"/>
        <v/>
      </c>
      <c r="O4702" s="33" t="str">
        <f t="shared" si="372"/>
        <v/>
      </c>
      <c r="P4702" s="33" t="str">
        <f t="shared" si="373"/>
        <v/>
      </c>
    </row>
    <row r="4703" spans="9:16">
      <c r="I4703" s="23" t="str">
        <f>_xlfn.IFNA(VLOOKUP(A4703,A$3524:$H4704,8,0),"")</f>
        <v/>
      </c>
      <c r="J4703" s="40" t="str">
        <f t="shared" si="374"/>
        <v/>
      </c>
      <c r="K4703" s="24" t="str">
        <f t="shared" si="375"/>
        <v/>
      </c>
      <c r="L4703" s="25" t="str">
        <f t="shared" si="371"/>
        <v/>
      </c>
      <c r="O4703" s="33" t="str">
        <f t="shared" si="372"/>
        <v/>
      </c>
      <c r="P4703" s="33" t="str">
        <f t="shared" si="373"/>
        <v/>
      </c>
    </row>
    <row r="4704" spans="9:16">
      <c r="I4704" s="23" t="str">
        <f>_xlfn.IFNA(VLOOKUP(A4704,A$3524:$H4705,8,0),"")</f>
        <v/>
      </c>
      <c r="J4704" s="40" t="str">
        <f t="shared" si="374"/>
        <v/>
      </c>
      <c r="K4704" s="24" t="str">
        <f t="shared" si="375"/>
        <v/>
      </c>
      <c r="L4704" s="25" t="str">
        <f t="shared" si="371"/>
        <v/>
      </c>
      <c r="O4704" s="33" t="str">
        <f t="shared" si="372"/>
        <v/>
      </c>
      <c r="P4704" s="33" t="str">
        <f t="shared" si="373"/>
        <v/>
      </c>
    </row>
    <row r="4705" spans="9:16">
      <c r="I4705" s="23" t="str">
        <f>_xlfn.IFNA(VLOOKUP(A4705,A$3524:$H4706,8,0),"")</f>
        <v/>
      </c>
      <c r="J4705" s="40" t="str">
        <f t="shared" si="374"/>
        <v/>
      </c>
      <c r="K4705" s="24" t="str">
        <f t="shared" si="375"/>
        <v/>
      </c>
      <c r="L4705" s="25" t="str">
        <f t="shared" si="371"/>
        <v/>
      </c>
      <c r="O4705" s="33" t="str">
        <f t="shared" si="372"/>
        <v/>
      </c>
      <c r="P4705" s="33" t="str">
        <f t="shared" si="373"/>
        <v/>
      </c>
    </row>
    <row r="4706" spans="9:16">
      <c r="I4706" s="23" t="str">
        <f>_xlfn.IFNA(VLOOKUP(A4706,A$3524:$H4707,8,0),"")</f>
        <v/>
      </c>
      <c r="J4706" s="40" t="str">
        <f t="shared" si="374"/>
        <v/>
      </c>
      <c r="K4706" s="24" t="str">
        <f t="shared" si="375"/>
        <v/>
      </c>
      <c r="L4706" s="25" t="str">
        <f t="shared" si="371"/>
        <v/>
      </c>
      <c r="O4706" s="33" t="str">
        <f t="shared" si="372"/>
        <v/>
      </c>
      <c r="P4706" s="33" t="str">
        <f t="shared" si="373"/>
        <v/>
      </c>
    </row>
    <row r="4707" spans="9:16">
      <c r="I4707" s="23" t="str">
        <f>_xlfn.IFNA(VLOOKUP(A4707,A$3524:$H4708,8,0),"")</f>
        <v/>
      </c>
      <c r="J4707" s="40" t="str">
        <f t="shared" si="374"/>
        <v/>
      </c>
      <c r="K4707" s="24" t="str">
        <f t="shared" si="375"/>
        <v/>
      </c>
      <c r="L4707" s="25" t="str">
        <f t="shared" si="371"/>
        <v/>
      </c>
      <c r="O4707" s="33" t="str">
        <f t="shared" si="372"/>
        <v/>
      </c>
      <c r="P4707" s="33" t="str">
        <f t="shared" si="373"/>
        <v/>
      </c>
    </row>
    <row r="4708" spans="9:16">
      <c r="I4708" s="23" t="str">
        <f>_xlfn.IFNA(VLOOKUP(A4708,A$3524:$H4709,8,0),"")</f>
        <v/>
      </c>
      <c r="J4708" s="40" t="str">
        <f t="shared" si="374"/>
        <v/>
      </c>
      <c r="K4708" s="24" t="str">
        <f t="shared" si="375"/>
        <v/>
      </c>
      <c r="L4708" s="25" t="str">
        <f t="shared" si="371"/>
        <v/>
      </c>
      <c r="O4708" s="33" t="str">
        <f t="shared" si="372"/>
        <v/>
      </c>
      <c r="P4708" s="33" t="str">
        <f t="shared" si="373"/>
        <v/>
      </c>
    </row>
    <row r="4709" spans="9:16">
      <c r="I4709" s="23" t="str">
        <f>_xlfn.IFNA(VLOOKUP(A4709,A$3524:$H4710,8,0),"")</f>
        <v/>
      </c>
      <c r="J4709" s="40" t="str">
        <f t="shared" si="374"/>
        <v/>
      </c>
      <c r="K4709" s="24" t="str">
        <f t="shared" si="375"/>
        <v/>
      </c>
      <c r="L4709" s="25" t="str">
        <f t="shared" si="371"/>
        <v/>
      </c>
      <c r="O4709" s="33" t="str">
        <f t="shared" si="372"/>
        <v/>
      </c>
      <c r="P4709" s="33" t="str">
        <f t="shared" si="373"/>
        <v/>
      </c>
    </row>
    <row r="4710" spans="9:16">
      <c r="I4710" s="23" t="str">
        <f>_xlfn.IFNA(VLOOKUP(A4710,A$3524:$H4711,8,0),"")</f>
        <v/>
      </c>
      <c r="J4710" s="40" t="str">
        <f t="shared" si="374"/>
        <v/>
      </c>
      <c r="K4710" s="24" t="str">
        <f t="shared" si="375"/>
        <v/>
      </c>
      <c r="L4710" s="25" t="str">
        <f t="shared" si="371"/>
        <v/>
      </c>
      <c r="O4710" s="33" t="str">
        <f t="shared" si="372"/>
        <v/>
      </c>
      <c r="P4710" s="33" t="str">
        <f t="shared" si="373"/>
        <v/>
      </c>
    </row>
    <row r="4711" spans="9:16">
      <c r="I4711" s="23" t="str">
        <f>_xlfn.IFNA(VLOOKUP(A4711,A$3524:$H4712,8,0),"")</f>
        <v/>
      </c>
      <c r="J4711" s="40" t="str">
        <f t="shared" si="374"/>
        <v/>
      </c>
      <c r="K4711" s="24" t="str">
        <f t="shared" si="375"/>
        <v/>
      </c>
      <c r="L4711" s="25" t="str">
        <f t="shared" si="371"/>
        <v/>
      </c>
      <c r="O4711" s="33" t="str">
        <f t="shared" si="372"/>
        <v/>
      </c>
      <c r="P4711" s="33" t="str">
        <f t="shared" si="373"/>
        <v/>
      </c>
    </row>
    <row r="4712" spans="9:16">
      <c r="I4712" s="23" t="str">
        <f>_xlfn.IFNA(VLOOKUP(A4712,A$3524:$H4713,8,0),"")</f>
        <v/>
      </c>
      <c r="J4712" s="40" t="str">
        <f t="shared" si="374"/>
        <v/>
      </c>
      <c r="K4712" s="24" t="str">
        <f t="shared" si="375"/>
        <v/>
      </c>
      <c r="L4712" s="25" t="str">
        <f t="shared" si="371"/>
        <v/>
      </c>
      <c r="O4712" s="33" t="str">
        <f t="shared" si="372"/>
        <v/>
      </c>
      <c r="P4712" s="33" t="str">
        <f t="shared" si="373"/>
        <v/>
      </c>
    </row>
    <row r="4713" spans="9:16">
      <c r="I4713" s="23" t="str">
        <f>_xlfn.IFNA(VLOOKUP(A4713,A$3524:$H4714,8,0),"")</f>
        <v/>
      </c>
      <c r="J4713" s="40" t="str">
        <f t="shared" si="374"/>
        <v/>
      </c>
      <c r="K4713" s="24" t="str">
        <f t="shared" si="375"/>
        <v/>
      </c>
      <c r="L4713" s="25" t="str">
        <f t="shared" si="371"/>
        <v/>
      </c>
      <c r="O4713" s="33" t="str">
        <f t="shared" si="372"/>
        <v/>
      </c>
      <c r="P4713" s="33" t="str">
        <f t="shared" si="373"/>
        <v/>
      </c>
    </row>
    <row r="4714" spans="9:16">
      <c r="I4714" s="23" t="str">
        <f>_xlfn.IFNA(VLOOKUP(A4714,A$3524:$H4715,8,0),"")</f>
        <v/>
      </c>
      <c r="J4714" s="40" t="str">
        <f t="shared" si="374"/>
        <v/>
      </c>
      <c r="K4714" s="24" t="str">
        <f t="shared" si="375"/>
        <v/>
      </c>
      <c r="L4714" s="25" t="str">
        <f t="shared" si="371"/>
        <v/>
      </c>
      <c r="O4714" s="33" t="str">
        <f t="shared" si="372"/>
        <v/>
      </c>
      <c r="P4714" s="33" t="str">
        <f t="shared" si="373"/>
        <v/>
      </c>
    </row>
    <row r="4715" spans="9:16">
      <c r="I4715" s="23" t="str">
        <f>_xlfn.IFNA(VLOOKUP(A4715,A$3524:$H4716,8,0),"")</f>
        <v/>
      </c>
      <c r="J4715" s="40" t="str">
        <f t="shared" si="374"/>
        <v/>
      </c>
      <c r="K4715" s="24" t="str">
        <f t="shared" si="375"/>
        <v/>
      </c>
      <c r="L4715" s="25" t="str">
        <f t="shared" si="371"/>
        <v/>
      </c>
      <c r="O4715" s="33" t="str">
        <f t="shared" si="372"/>
        <v/>
      </c>
      <c r="P4715" s="33" t="str">
        <f t="shared" si="373"/>
        <v/>
      </c>
    </row>
    <row r="4716" spans="9:16">
      <c r="I4716" s="23" t="str">
        <f>_xlfn.IFNA(VLOOKUP(A4716,A$3524:$H4717,8,0),"")</f>
        <v/>
      </c>
      <c r="J4716" s="40" t="str">
        <f t="shared" si="374"/>
        <v/>
      </c>
      <c r="K4716" s="24" t="str">
        <f t="shared" si="375"/>
        <v/>
      </c>
      <c r="L4716" s="25" t="str">
        <f t="shared" si="371"/>
        <v/>
      </c>
      <c r="O4716" s="33" t="str">
        <f t="shared" si="372"/>
        <v/>
      </c>
      <c r="P4716" s="33" t="str">
        <f t="shared" si="373"/>
        <v/>
      </c>
    </row>
    <row r="4717" spans="9:16">
      <c r="I4717" s="23" t="str">
        <f>_xlfn.IFNA(VLOOKUP(A4717,A$3524:$H4718,8,0),"")</f>
        <v/>
      </c>
      <c r="J4717" s="40" t="str">
        <f t="shared" si="374"/>
        <v/>
      </c>
      <c r="K4717" s="24" t="str">
        <f t="shared" si="375"/>
        <v/>
      </c>
      <c r="L4717" s="25" t="str">
        <f t="shared" si="371"/>
        <v/>
      </c>
      <c r="O4717" s="33" t="str">
        <f t="shared" si="372"/>
        <v/>
      </c>
      <c r="P4717" s="33" t="str">
        <f t="shared" si="373"/>
        <v/>
      </c>
    </row>
    <row r="4718" spans="9:16">
      <c r="I4718" s="23" t="str">
        <f>_xlfn.IFNA(VLOOKUP(A4718,A$3524:$H4719,8,0),"")</f>
        <v/>
      </c>
      <c r="J4718" s="40" t="str">
        <f t="shared" si="374"/>
        <v/>
      </c>
      <c r="K4718" s="24" t="str">
        <f t="shared" si="375"/>
        <v/>
      </c>
      <c r="L4718" s="25" t="str">
        <f t="shared" si="371"/>
        <v/>
      </c>
      <c r="O4718" s="33" t="str">
        <f t="shared" si="372"/>
        <v/>
      </c>
      <c r="P4718" s="33" t="str">
        <f t="shared" si="373"/>
        <v/>
      </c>
    </row>
    <row r="4719" spans="9:16">
      <c r="I4719" s="23" t="str">
        <f>_xlfn.IFNA(VLOOKUP(A4719,A$3524:$H4720,8,0),"")</f>
        <v/>
      </c>
      <c r="J4719" s="40" t="str">
        <f t="shared" si="374"/>
        <v/>
      </c>
      <c r="K4719" s="24" t="str">
        <f t="shared" si="375"/>
        <v/>
      </c>
      <c r="L4719" s="25" t="str">
        <f t="shared" si="371"/>
        <v/>
      </c>
      <c r="O4719" s="33" t="str">
        <f t="shared" si="372"/>
        <v/>
      </c>
      <c r="P4719" s="33" t="str">
        <f t="shared" si="373"/>
        <v/>
      </c>
    </row>
    <row r="4720" spans="9:16">
      <c r="I4720" s="23" t="str">
        <f>_xlfn.IFNA(VLOOKUP(A4720,A$3524:$H4721,8,0),"")</f>
        <v/>
      </c>
      <c r="J4720" s="40" t="str">
        <f t="shared" si="374"/>
        <v/>
      </c>
      <c r="K4720" s="24" t="str">
        <f t="shared" si="375"/>
        <v/>
      </c>
      <c r="L4720" s="25" t="str">
        <f t="shared" si="371"/>
        <v/>
      </c>
      <c r="O4720" s="33" t="str">
        <f t="shared" si="372"/>
        <v/>
      </c>
      <c r="P4720" s="33" t="str">
        <f t="shared" si="373"/>
        <v/>
      </c>
    </row>
    <row r="4721" spans="9:16">
      <c r="I4721" s="23" t="str">
        <f>_xlfn.IFNA(VLOOKUP(A4721,A$3524:$H4722,8,0),"")</f>
        <v/>
      </c>
      <c r="J4721" s="40" t="str">
        <f t="shared" si="374"/>
        <v/>
      </c>
      <c r="K4721" s="24" t="str">
        <f t="shared" si="375"/>
        <v/>
      </c>
      <c r="L4721" s="25" t="str">
        <f t="shared" si="371"/>
        <v/>
      </c>
      <c r="O4721" s="33" t="str">
        <f t="shared" si="372"/>
        <v/>
      </c>
      <c r="P4721" s="33" t="str">
        <f t="shared" si="373"/>
        <v/>
      </c>
    </row>
    <row r="4722" spans="9:16">
      <c r="I4722" s="23" t="str">
        <f>_xlfn.IFNA(VLOOKUP(A4722,A$3524:$H4723,8,0),"")</f>
        <v/>
      </c>
      <c r="J4722" s="40" t="str">
        <f t="shared" si="374"/>
        <v/>
      </c>
      <c r="K4722" s="24" t="str">
        <f t="shared" si="375"/>
        <v/>
      </c>
      <c r="L4722" s="25" t="str">
        <f t="shared" si="371"/>
        <v/>
      </c>
      <c r="O4722" s="33" t="str">
        <f t="shared" si="372"/>
        <v/>
      </c>
      <c r="P4722" s="33" t="str">
        <f t="shared" si="373"/>
        <v/>
      </c>
    </row>
    <row r="4723" spans="9:16">
      <c r="I4723" s="23" t="str">
        <f>_xlfn.IFNA(VLOOKUP(A4723,A$3524:$H4724,8,0),"")</f>
        <v/>
      </c>
      <c r="J4723" s="40" t="str">
        <f t="shared" si="374"/>
        <v/>
      </c>
      <c r="K4723" s="24" t="str">
        <f t="shared" si="375"/>
        <v/>
      </c>
      <c r="L4723" s="25" t="str">
        <f t="shared" si="371"/>
        <v/>
      </c>
      <c r="O4723" s="33" t="str">
        <f t="shared" si="372"/>
        <v/>
      </c>
      <c r="P4723" s="33" t="str">
        <f t="shared" si="373"/>
        <v/>
      </c>
    </row>
    <row r="4724" spans="9:16">
      <c r="I4724" s="23" t="str">
        <f>_xlfn.IFNA(VLOOKUP(A4724,A$3524:$H4725,8,0),"")</f>
        <v/>
      </c>
      <c r="J4724" s="40" t="str">
        <f t="shared" si="374"/>
        <v/>
      </c>
      <c r="K4724" s="24" t="str">
        <f t="shared" si="375"/>
        <v/>
      </c>
      <c r="L4724" s="25" t="str">
        <f t="shared" si="371"/>
        <v/>
      </c>
      <c r="O4724" s="33" t="str">
        <f t="shared" si="372"/>
        <v/>
      </c>
      <c r="P4724" s="33" t="str">
        <f t="shared" si="373"/>
        <v/>
      </c>
    </row>
    <row r="4725" spans="9:16">
      <c r="I4725" s="23" t="str">
        <f>_xlfn.IFNA(VLOOKUP(A4725,A$3524:$H4726,8,0),"")</f>
        <v/>
      </c>
      <c r="J4725" s="40" t="str">
        <f t="shared" si="374"/>
        <v/>
      </c>
      <c r="K4725" s="24" t="str">
        <f t="shared" si="375"/>
        <v/>
      </c>
      <c r="L4725" s="25" t="str">
        <f t="shared" si="371"/>
        <v/>
      </c>
      <c r="O4725" s="33" t="str">
        <f t="shared" si="372"/>
        <v/>
      </c>
      <c r="P4725" s="33" t="str">
        <f t="shared" si="373"/>
        <v/>
      </c>
    </row>
    <row r="4726" spans="9:16">
      <c r="I4726" s="23" t="str">
        <f>_xlfn.IFNA(VLOOKUP(A4726,A$3524:$H4727,8,0),"")</f>
        <v/>
      </c>
      <c r="J4726" s="40" t="str">
        <f t="shared" si="374"/>
        <v/>
      </c>
      <c r="K4726" s="24" t="str">
        <f t="shared" si="375"/>
        <v/>
      </c>
      <c r="L4726" s="25" t="str">
        <f t="shared" si="371"/>
        <v/>
      </c>
      <c r="O4726" s="33" t="str">
        <f t="shared" si="372"/>
        <v/>
      </c>
      <c r="P4726" s="33" t="str">
        <f t="shared" si="373"/>
        <v/>
      </c>
    </row>
    <row r="4727" spans="9:16">
      <c r="I4727" s="23" t="str">
        <f>_xlfn.IFNA(VLOOKUP(A4727,A$3524:$H4728,8,0),"")</f>
        <v/>
      </c>
      <c r="J4727" s="40" t="str">
        <f t="shared" si="374"/>
        <v/>
      </c>
      <c r="K4727" s="24" t="str">
        <f t="shared" si="375"/>
        <v/>
      </c>
      <c r="L4727" s="25" t="str">
        <f t="shared" ref="L4727:L4790" si="376">IF(K4727="","",IF(B4727="Break","Break",IF(K4727&lt;&gt;0,"Work Finished",IF(B4727="OFF","Work Finished",IF(I4727="","Working","Work Finished")))))</f>
        <v/>
      </c>
      <c r="O4727" s="33" t="str">
        <f t="shared" ref="O4727:O4790" si="377">IF(AND(J4727="",M4727="",N4727=""),"",J4727-M4727-N4727)</f>
        <v/>
      </c>
      <c r="P4727" s="33" t="str">
        <f t="shared" ref="P4727:P4790" si="378">IF(HOUR(H4727)=0,"",HOUR(H4727))</f>
        <v/>
      </c>
    </row>
    <row r="4728" spans="9:16">
      <c r="I4728" s="23" t="str">
        <f>_xlfn.IFNA(VLOOKUP(A4728,A$3524:$H4729,8,0),"")</f>
        <v/>
      </c>
      <c r="J4728" s="40" t="str">
        <f t="shared" si="374"/>
        <v/>
      </c>
      <c r="K4728" s="24" t="str">
        <f t="shared" si="375"/>
        <v/>
      </c>
      <c r="L4728" s="25" t="str">
        <f t="shared" si="376"/>
        <v/>
      </c>
      <c r="O4728" s="33" t="str">
        <f t="shared" si="377"/>
        <v/>
      </c>
      <c r="P4728" s="33" t="str">
        <f t="shared" si="378"/>
        <v/>
      </c>
    </row>
    <row r="4729" spans="9:16">
      <c r="I4729" s="23" t="str">
        <f>_xlfn.IFNA(VLOOKUP(A4729,A$3524:$H4730,8,0),"")</f>
        <v/>
      </c>
      <c r="J4729" s="40" t="str">
        <f t="shared" si="374"/>
        <v/>
      </c>
      <c r="K4729" s="24" t="str">
        <f t="shared" si="375"/>
        <v/>
      </c>
      <c r="L4729" s="25" t="str">
        <f t="shared" si="376"/>
        <v/>
      </c>
      <c r="O4729" s="33" t="str">
        <f t="shared" si="377"/>
        <v/>
      </c>
      <c r="P4729" s="33" t="str">
        <f t="shared" si="378"/>
        <v/>
      </c>
    </row>
    <row r="4730" spans="9:16">
      <c r="I4730" s="23" t="str">
        <f>_xlfn.IFNA(VLOOKUP(A4730,A$3524:$H4731,8,0),"")</f>
        <v/>
      </c>
      <c r="J4730" s="40" t="str">
        <f t="shared" si="374"/>
        <v/>
      </c>
      <c r="K4730" s="24" t="str">
        <f t="shared" si="375"/>
        <v/>
      </c>
      <c r="L4730" s="25" t="str">
        <f t="shared" si="376"/>
        <v/>
      </c>
      <c r="O4730" s="33" t="str">
        <f t="shared" si="377"/>
        <v/>
      </c>
      <c r="P4730" s="33" t="str">
        <f t="shared" si="378"/>
        <v/>
      </c>
    </row>
    <row r="4731" spans="9:16">
      <c r="I4731" s="23" t="str">
        <f>_xlfn.IFNA(VLOOKUP(A4731,A$3524:$H4732,8,0),"")</f>
        <v/>
      </c>
      <c r="J4731" s="40" t="str">
        <f t="shared" si="374"/>
        <v/>
      </c>
      <c r="K4731" s="24" t="str">
        <f t="shared" si="375"/>
        <v/>
      </c>
      <c r="L4731" s="25" t="str">
        <f t="shared" si="376"/>
        <v/>
      </c>
      <c r="O4731" s="33" t="str">
        <f t="shared" si="377"/>
        <v/>
      </c>
      <c r="P4731" s="33" t="str">
        <f t="shared" si="378"/>
        <v/>
      </c>
    </row>
    <row r="4732" spans="9:16">
      <c r="I4732" s="23" t="str">
        <f>_xlfn.IFNA(VLOOKUP(A4732,A$3524:$H4733,8,0),"")</f>
        <v/>
      </c>
      <c r="J4732" s="40" t="str">
        <f t="shared" si="374"/>
        <v/>
      </c>
      <c r="K4732" s="24" t="str">
        <f t="shared" si="375"/>
        <v/>
      </c>
      <c r="L4732" s="25" t="str">
        <f t="shared" si="376"/>
        <v/>
      </c>
      <c r="O4732" s="33" t="str">
        <f t="shared" si="377"/>
        <v/>
      </c>
      <c r="P4732" s="33" t="str">
        <f t="shared" si="378"/>
        <v/>
      </c>
    </row>
    <row r="4733" spans="9:16">
      <c r="I4733" s="23" t="str">
        <f>_xlfn.IFNA(VLOOKUP(A4733,A$3524:$H4734,8,0),"")</f>
        <v/>
      </c>
      <c r="J4733" s="40" t="str">
        <f t="shared" si="374"/>
        <v/>
      </c>
      <c r="K4733" s="24" t="str">
        <f t="shared" si="375"/>
        <v/>
      </c>
      <c r="L4733" s="25" t="str">
        <f t="shared" si="376"/>
        <v/>
      </c>
      <c r="O4733" s="33" t="str">
        <f t="shared" si="377"/>
        <v/>
      </c>
      <c r="P4733" s="33" t="str">
        <f t="shared" si="378"/>
        <v/>
      </c>
    </row>
    <row r="4734" spans="9:16">
      <c r="I4734" s="23" t="str">
        <f>_xlfn.IFNA(VLOOKUP(A4734,A$3524:$H4735,8,0),"")</f>
        <v/>
      </c>
      <c r="J4734" s="40" t="str">
        <f t="shared" si="374"/>
        <v/>
      </c>
      <c r="K4734" s="24" t="str">
        <f t="shared" si="375"/>
        <v/>
      </c>
      <c r="L4734" s="25" t="str">
        <f t="shared" si="376"/>
        <v/>
      </c>
      <c r="O4734" s="33" t="str">
        <f t="shared" si="377"/>
        <v/>
      </c>
      <c r="P4734" s="33" t="str">
        <f t="shared" si="378"/>
        <v/>
      </c>
    </row>
    <row r="4735" spans="9:16">
      <c r="I4735" s="23" t="str">
        <f>_xlfn.IFNA(VLOOKUP(A4735,A$3524:$H4736,8,0),"")</f>
        <v/>
      </c>
      <c r="J4735" s="40" t="str">
        <f t="shared" si="374"/>
        <v/>
      </c>
      <c r="K4735" s="24" t="str">
        <f t="shared" si="375"/>
        <v/>
      </c>
      <c r="L4735" s="25" t="str">
        <f t="shared" si="376"/>
        <v/>
      </c>
      <c r="O4735" s="33" t="str">
        <f t="shared" si="377"/>
        <v/>
      </c>
      <c r="P4735" s="33" t="str">
        <f t="shared" si="378"/>
        <v/>
      </c>
    </row>
    <row r="4736" spans="9:16">
      <c r="I4736" s="23" t="str">
        <f>_xlfn.IFNA(VLOOKUP(A4736,A$3524:$H4737,8,0),"")</f>
        <v/>
      </c>
      <c r="J4736" s="40" t="str">
        <f t="shared" si="374"/>
        <v/>
      </c>
      <c r="K4736" s="24" t="str">
        <f t="shared" si="375"/>
        <v/>
      </c>
      <c r="L4736" s="25" t="str">
        <f t="shared" si="376"/>
        <v/>
      </c>
      <c r="O4736" s="33" t="str">
        <f t="shared" si="377"/>
        <v/>
      </c>
      <c r="P4736" s="33" t="str">
        <f t="shared" si="378"/>
        <v/>
      </c>
    </row>
    <row r="4737" spans="9:16">
      <c r="I4737" s="23" t="str">
        <f>_xlfn.IFNA(VLOOKUP(A4737,A$3524:$H4738,8,0),"")</f>
        <v/>
      </c>
      <c r="J4737" s="40" t="str">
        <f t="shared" si="374"/>
        <v/>
      </c>
      <c r="K4737" s="24" t="str">
        <f t="shared" si="375"/>
        <v/>
      </c>
      <c r="L4737" s="25" t="str">
        <f t="shared" si="376"/>
        <v/>
      </c>
      <c r="O4737" s="33" t="str">
        <f t="shared" si="377"/>
        <v/>
      </c>
      <c r="P4737" s="33" t="str">
        <f t="shared" si="378"/>
        <v/>
      </c>
    </row>
    <row r="4738" spans="9:16">
      <c r="I4738" s="23" t="str">
        <f>_xlfn.IFNA(VLOOKUP(A4738,A$3524:$H4739,8,0),"")</f>
        <v/>
      </c>
      <c r="J4738" s="40" t="str">
        <f t="shared" si="374"/>
        <v/>
      </c>
      <c r="K4738" s="24" t="str">
        <f t="shared" si="375"/>
        <v/>
      </c>
      <c r="L4738" s="25" t="str">
        <f t="shared" si="376"/>
        <v/>
      </c>
      <c r="O4738" s="33" t="str">
        <f t="shared" si="377"/>
        <v/>
      </c>
      <c r="P4738" s="33" t="str">
        <f t="shared" si="378"/>
        <v/>
      </c>
    </row>
    <row r="4739" spans="9:16">
      <c r="I4739" s="23" t="str">
        <f>_xlfn.IFNA(VLOOKUP(A4739,A$3524:$H4740,8,0),"")</f>
        <v/>
      </c>
      <c r="J4739" s="40" t="str">
        <f t="shared" si="374"/>
        <v/>
      </c>
      <c r="K4739" s="24" t="str">
        <f t="shared" si="375"/>
        <v/>
      </c>
      <c r="L4739" s="25" t="str">
        <f t="shared" si="376"/>
        <v/>
      </c>
      <c r="O4739" s="33" t="str">
        <f t="shared" si="377"/>
        <v/>
      </c>
      <c r="P4739" s="33" t="str">
        <f t="shared" si="378"/>
        <v/>
      </c>
    </row>
    <row r="4740" spans="9:16">
      <c r="I4740" s="23" t="str">
        <f>_xlfn.IFNA(VLOOKUP(A4740,A$3524:$H4741,8,0),"")</f>
        <v/>
      </c>
      <c r="J4740" s="40" t="str">
        <f t="shared" si="374"/>
        <v/>
      </c>
      <c r="K4740" s="24" t="str">
        <f t="shared" si="375"/>
        <v/>
      </c>
      <c r="L4740" s="25" t="str">
        <f t="shared" si="376"/>
        <v/>
      </c>
      <c r="O4740" s="33" t="str">
        <f t="shared" si="377"/>
        <v/>
      </c>
      <c r="P4740" s="33" t="str">
        <f t="shared" si="378"/>
        <v/>
      </c>
    </row>
    <row r="4741" spans="9:16">
      <c r="I4741" s="23" t="str">
        <f>_xlfn.IFNA(VLOOKUP(A4741,A$3524:$H4742,8,0),"")</f>
        <v/>
      </c>
      <c r="J4741" s="40" t="str">
        <f t="shared" si="374"/>
        <v/>
      </c>
      <c r="K4741" s="24" t="str">
        <f t="shared" si="375"/>
        <v/>
      </c>
      <c r="L4741" s="25" t="str">
        <f t="shared" si="376"/>
        <v/>
      </c>
      <c r="O4741" s="33" t="str">
        <f t="shared" si="377"/>
        <v/>
      </c>
      <c r="P4741" s="33" t="str">
        <f t="shared" si="378"/>
        <v/>
      </c>
    </row>
    <row r="4742" spans="9:16">
      <c r="I4742" s="23" t="str">
        <f>_xlfn.IFNA(VLOOKUP(A4742,A$3524:$H4743,8,0),"")</f>
        <v/>
      </c>
      <c r="J4742" s="40" t="str">
        <f t="shared" ref="J4742:J4805" si="379">IF(B4742="OFF",0,IF(AND(D4742&lt;&gt;"",E4742&lt;&gt;""),E4742-D4742+1,""))</f>
        <v/>
      </c>
      <c r="K4742" s="24" t="str">
        <f t="shared" si="375"/>
        <v/>
      </c>
      <c r="L4742" s="25" t="str">
        <f t="shared" si="376"/>
        <v/>
      </c>
      <c r="O4742" s="33" t="str">
        <f t="shared" si="377"/>
        <v/>
      </c>
      <c r="P4742" s="33" t="str">
        <f t="shared" si="378"/>
        <v/>
      </c>
    </row>
    <row r="4743" spans="9:16">
      <c r="I4743" s="23" t="str">
        <f>_xlfn.IFNA(VLOOKUP(A4743,A$3524:$H4744,8,0),"")</f>
        <v/>
      </c>
      <c r="J4743" s="40" t="str">
        <f t="shared" si="379"/>
        <v/>
      </c>
      <c r="K4743" s="24" t="str">
        <f t="shared" si="375"/>
        <v/>
      </c>
      <c r="L4743" s="25" t="str">
        <f t="shared" si="376"/>
        <v/>
      </c>
      <c r="O4743" s="33" t="str">
        <f t="shared" si="377"/>
        <v/>
      </c>
      <c r="P4743" s="33" t="str">
        <f t="shared" si="378"/>
        <v/>
      </c>
    </row>
    <row r="4744" spans="9:16">
      <c r="I4744" s="23" t="str">
        <f>_xlfn.IFNA(VLOOKUP(A4744,A$3524:$H4745,8,0),"")</f>
        <v/>
      </c>
      <c r="J4744" s="40" t="str">
        <f t="shared" si="379"/>
        <v/>
      </c>
      <c r="K4744" s="24" t="str">
        <f t="shared" si="375"/>
        <v/>
      </c>
      <c r="L4744" s="25" t="str">
        <f t="shared" si="376"/>
        <v/>
      </c>
      <c r="O4744" s="33" t="str">
        <f t="shared" si="377"/>
        <v/>
      </c>
      <c r="P4744" s="33" t="str">
        <f t="shared" si="378"/>
        <v/>
      </c>
    </row>
    <row r="4745" spans="9:16">
      <c r="I4745" s="23" t="str">
        <f>_xlfn.IFNA(VLOOKUP(A4745,A$3524:$H4746,8,0),"")</f>
        <v/>
      </c>
      <c r="J4745" s="40" t="str">
        <f t="shared" si="379"/>
        <v/>
      </c>
      <c r="K4745" s="24" t="str">
        <f t="shared" si="375"/>
        <v/>
      </c>
      <c r="L4745" s="25" t="str">
        <f t="shared" si="376"/>
        <v/>
      </c>
      <c r="O4745" s="33" t="str">
        <f t="shared" si="377"/>
        <v/>
      </c>
      <c r="P4745" s="33" t="str">
        <f t="shared" si="378"/>
        <v/>
      </c>
    </row>
    <row r="4746" spans="9:16">
      <c r="I4746" s="23" t="str">
        <f>_xlfn.IFNA(VLOOKUP(A4746,A$3524:$H4747,8,0),"")</f>
        <v/>
      </c>
      <c r="J4746" s="40" t="str">
        <f t="shared" si="379"/>
        <v/>
      </c>
      <c r="K4746" s="24" t="str">
        <f t="shared" si="375"/>
        <v/>
      </c>
      <c r="L4746" s="25" t="str">
        <f t="shared" si="376"/>
        <v/>
      </c>
      <c r="O4746" s="33" t="str">
        <f t="shared" si="377"/>
        <v/>
      </c>
      <c r="P4746" s="33" t="str">
        <f t="shared" si="378"/>
        <v/>
      </c>
    </row>
    <row r="4747" spans="9:16">
      <c r="I4747" s="23" t="str">
        <f>_xlfn.IFNA(VLOOKUP(A4747,A$3524:$H4748,8,0),"")</f>
        <v/>
      </c>
      <c r="J4747" s="40" t="str">
        <f t="shared" si="379"/>
        <v/>
      </c>
      <c r="K4747" s="24" t="str">
        <f t="shared" si="375"/>
        <v/>
      </c>
      <c r="L4747" s="25" t="str">
        <f t="shared" si="376"/>
        <v/>
      </c>
      <c r="O4747" s="33" t="str">
        <f t="shared" si="377"/>
        <v/>
      </c>
      <c r="P4747" s="33" t="str">
        <f t="shared" si="378"/>
        <v/>
      </c>
    </row>
    <row r="4748" spans="9:16">
      <c r="I4748" s="23" t="str">
        <f>_xlfn.IFNA(VLOOKUP(A4748,A$3524:$H4749,8,0),"")</f>
        <v/>
      </c>
      <c r="J4748" s="40" t="str">
        <f t="shared" si="379"/>
        <v/>
      </c>
      <c r="K4748" s="24" t="str">
        <f t="shared" si="375"/>
        <v/>
      </c>
      <c r="L4748" s="25" t="str">
        <f t="shared" si="376"/>
        <v/>
      </c>
      <c r="O4748" s="33" t="str">
        <f t="shared" si="377"/>
        <v/>
      </c>
      <c r="P4748" s="33" t="str">
        <f t="shared" si="378"/>
        <v/>
      </c>
    </row>
    <row r="4749" spans="9:16">
      <c r="I4749" s="23" t="str">
        <f>_xlfn.IFNA(VLOOKUP(A4749,A$3524:$H4750,8,0),"")</f>
        <v/>
      </c>
      <c r="J4749" s="40" t="str">
        <f t="shared" si="379"/>
        <v/>
      </c>
      <c r="K4749" s="24" t="str">
        <f t="shared" si="375"/>
        <v/>
      </c>
      <c r="L4749" s="25" t="str">
        <f t="shared" si="376"/>
        <v/>
      </c>
      <c r="O4749" s="33" t="str">
        <f t="shared" si="377"/>
        <v/>
      </c>
      <c r="P4749" s="33" t="str">
        <f t="shared" si="378"/>
        <v/>
      </c>
    </row>
    <row r="4750" spans="9:16">
      <c r="I4750" s="23" t="str">
        <f>_xlfn.IFNA(VLOOKUP(A4750,A$3524:$H4751,8,0),"")</f>
        <v/>
      </c>
      <c r="J4750" s="40" t="str">
        <f t="shared" si="379"/>
        <v/>
      </c>
      <c r="K4750" s="24" t="str">
        <f t="shared" si="375"/>
        <v/>
      </c>
      <c r="L4750" s="25" t="str">
        <f t="shared" si="376"/>
        <v/>
      </c>
      <c r="O4750" s="33" t="str">
        <f t="shared" si="377"/>
        <v/>
      </c>
      <c r="P4750" s="33" t="str">
        <f t="shared" si="378"/>
        <v/>
      </c>
    </row>
    <row r="4751" spans="9:16">
      <c r="I4751" s="23" t="str">
        <f>_xlfn.IFNA(VLOOKUP(A4751,A$3524:$H4752,8,0),"")</f>
        <v/>
      </c>
      <c r="J4751" s="40" t="str">
        <f t="shared" si="379"/>
        <v/>
      </c>
      <c r="K4751" s="24" t="str">
        <f t="shared" si="375"/>
        <v/>
      </c>
      <c r="L4751" s="25" t="str">
        <f t="shared" si="376"/>
        <v/>
      </c>
      <c r="O4751" s="33" t="str">
        <f t="shared" si="377"/>
        <v/>
      </c>
      <c r="P4751" s="33" t="str">
        <f t="shared" si="378"/>
        <v/>
      </c>
    </row>
    <row r="4752" spans="9:16">
      <c r="I4752" s="23" t="str">
        <f>_xlfn.IFNA(VLOOKUP(A4752,A$3524:$H4753,8,0),"")</f>
        <v/>
      </c>
      <c r="J4752" s="40" t="str">
        <f t="shared" si="379"/>
        <v/>
      </c>
      <c r="K4752" s="24" t="str">
        <f t="shared" si="375"/>
        <v/>
      </c>
      <c r="L4752" s="25" t="str">
        <f t="shared" si="376"/>
        <v/>
      </c>
      <c r="O4752" s="33" t="str">
        <f t="shared" si="377"/>
        <v/>
      </c>
      <c r="P4752" s="33" t="str">
        <f t="shared" si="378"/>
        <v/>
      </c>
    </row>
    <row r="4753" spans="9:16">
      <c r="I4753" s="23" t="str">
        <f>_xlfn.IFNA(VLOOKUP(A4753,A$3524:$H4754,8,0),"")</f>
        <v/>
      </c>
      <c r="J4753" s="40" t="str">
        <f t="shared" si="379"/>
        <v/>
      </c>
      <c r="K4753" s="24" t="str">
        <f t="shared" si="375"/>
        <v/>
      </c>
      <c r="L4753" s="25" t="str">
        <f t="shared" si="376"/>
        <v/>
      </c>
      <c r="O4753" s="33" t="str">
        <f t="shared" si="377"/>
        <v/>
      </c>
      <c r="P4753" s="33" t="str">
        <f t="shared" si="378"/>
        <v/>
      </c>
    </row>
    <row r="4754" spans="9:16">
      <c r="I4754" s="23" t="str">
        <f>_xlfn.IFNA(VLOOKUP(A4754,A$3524:$H4755,8,0),"")</f>
        <v/>
      </c>
      <c r="J4754" s="40" t="str">
        <f t="shared" si="379"/>
        <v/>
      </c>
      <c r="K4754" s="24" t="str">
        <f t="shared" si="375"/>
        <v/>
      </c>
      <c r="L4754" s="25" t="str">
        <f t="shared" si="376"/>
        <v/>
      </c>
      <c r="O4754" s="33" t="str">
        <f t="shared" si="377"/>
        <v/>
      </c>
      <c r="P4754" s="33" t="str">
        <f t="shared" si="378"/>
        <v/>
      </c>
    </row>
    <row r="4755" spans="9:16">
      <c r="I4755" s="23" t="str">
        <f>_xlfn.IFNA(VLOOKUP(A4755,A$3524:$H4756,8,0),"")</f>
        <v/>
      </c>
      <c r="J4755" s="40" t="str">
        <f t="shared" si="379"/>
        <v/>
      </c>
      <c r="K4755" s="24" t="str">
        <f t="shared" si="375"/>
        <v/>
      </c>
      <c r="L4755" s="25" t="str">
        <f t="shared" si="376"/>
        <v/>
      </c>
      <c r="O4755" s="33" t="str">
        <f t="shared" si="377"/>
        <v/>
      </c>
      <c r="P4755" s="33" t="str">
        <f t="shared" si="378"/>
        <v/>
      </c>
    </row>
    <row r="4756" spans="9:16">
      <c r="I4756" s="23" t="str">
        <f>_xlfn.IFNA(VLOOKUP(A4756,A$3524:$H4757,8,0),"")</f>
        <v/>
      </c>
      <c r="J4756" s="40" t="str">
        <f t="shared" si="379"/>
        <v/>
      </c>
      <c r="K4756" s="24" t="str">
        <f t="shared" si="375"/>
        <v/>
      </c>
      <c r="L4756" s="25" t="str">
        <f t="shared" si="376"/>
        <v/>
      </c>
      <c r="O4756" s="33" t="str">
        <f t="shared" si="377"/>
        <v/>
      </c>
      <c r="P4756" s="33" t="str">
        <f t="shared" si="378"/>
        <v/>
      </c>
    </row>
    <row r="4757" spans="9:16">
      <c r="I4757" s="23" t="str">
        <f>_xlfn.IFNA(VLOOKUP(A4757,A$3524:$H4758,8,0),"")</f>
        <v/>
      </c>
      <c r="J4757" s="40" t="str">
        <f t="shared" si="379"/>
        <v/>
      </c>
      <c r="K4757" s="24" t="str">
        <f t="shared" si="375"/>
        <v/>
      </c>
      <c r="L4757" s="25" t="str">
        <f t="shared" si="376"/>
        <v/>
      </c>
      <c r="O4757" s="33" t="str">
        <f t="shared" si="377"/>
        <v/>
      </c>
      <c r="P4757" s="33" t="str">
        <f t="shared" si="378"/>
        <v/>
      </c>
    </row>
    <row r="4758" spans="9:16">
      <c r="I4758" s="23" t="str">
        <f>_xlfn.IFNA(VLOOKUP(A4758,A$3524:$H4759,8,0),"")</f>
        <v/>
      </c>
      <c r="J4758" s="40" t="str">
        <f t="shared" si="379"/>
        <v/>
      </c>
      <c r="K4758" s="24" t="str">
        <f t="shared" ref="K4758:K4821" si="380">IF(H4758="","",IFERROR((I4758-H4758)*24,0))</f>
        <v/>
      </c>
      <c r="L4758" s="25" t="str">
        <f t="shared" si="376"/>
        <v/>
      </c>
      <c r="O4758" s="33" t="str">
        <f t="shared" si="377"/>
        <v/>
      </c>
      <c r="P4758" s="33" t="str">
        <f t="shared" si="378"/>
        <v/>
      </c>
    </row>
    <row r="4759" spans="9:16">
      <c r="I4759" s="23" t="str">
        <f>_xlfn.IFNA(VLOOKUP(A4759,A$3524:$H4760,8,0),"")</f>
        <v/>
      </c>
      <c r="J4759" s="40" t="str">
        <f t="shared" si="379"/>
        <v/>
      </c>
      <c r="K4759" s="24" t="str">
        <f t="shared" si="380"/>
        <v/>
      </c>
      <c r="L4759" s="25" t="str">
        <f t="shared" si="376"/>
        <v/>
      </c>
      <c r="O4759" s="33" t="str">
        <f t="shared" si="377"/>
        <v/>
      </c>
      <c r="P4759" s="33" t="str">
        <f t="shared" si="378"/>
        <v/>
      </c>
    </row>
    <row r="4760" spans="9:16">
      <c r="I4760" s="23" t="str">
        <f>_xlfn.IFNA(VLOOKUP(A4760,A$3524:$H4761,8,0),"")</f>
        <v/>
      </c>
      <c r="J4760" s="40" t="str">
        <f t="shared" si="379"/>
        <v/>
      </c>
      <c r="K4760" s="24" t="str">
        <f t="shared" si="380"/>
        <v/>
      </c>
      <c r="L4760" s="25" t="str">
        <f t="shared" si="376"/>
        <v/>
      </c>
      <c r="O4760" s="33" t="str">
        <f t="shared" si="377"/>
        <v/>
      </c>
      <c r="P4760" s="33" t="str">
        <f t="shared" si="378"/>
        <v/>
      </c>
    </row>
    <row r="4761" spans="9:16">
      <c r="I4761" s="23" t="str">
        <f>_xlfn.IFNA(VLOOKUP(A4761,A$3524:$H4762,8,0),"")</f>
        <v/>
      </c>
      <c r="J4761" s="40" t="str">
        <f t="shared" si="379"/>
        <v/>
      </c>
      <c r="K4761" s="24" t="str">
        <f t="shared" si="380"/>
        <v/>
      </c>
      <c r="L4761" s="25" t="str">
        <f t="shared" si="376"/>
        <v/>
      </c>
      <c r="O4761" s="33" t="str">
        <f t="shared" si="377"/>
        <v/>
      </c>
      <c r="P4761" s="33" t="str">
        <f t="shared" si="378"/>
        <v/>
      </c>
    </row>
    <row r="4762" spans="9:16">
      <c r="I4762" s="23" t="str">
        <f>_xlfn.IFNA(VLOOKUP(A4762,A$3524:$H4763,8,0),"")</f>
        <v/>
      </c>
      <c r="J4762" s="40" t="str">
        <f t="shared" si="379"/>
        <v/>
      </c>
      <c r="K4762" s="24" t="str">
        <f t="shared" si="380"/>
        <v/>
      </c>
      <c r="L4762" s="25" t="str">
        <f t="shared" si="376"/>
        <v/>
      </c>
      <c r="O4762" s="33" t="str">
        <f t="shared" si="377"/>
        <v/>
      </c>
      <c r="P4762" s="33" t="str">
        <f t="shared" si="378"/>
        <v/>
      </c>
    </row>
    <row r="4763" spans="9:16">
      <c r="I4763" s="23" t="str">
        <f>_xlfn.IFNA(VLOOKUP(A4763,A$3524:$H4764,8,0),"")</f>
        <v/>
      </c>
      <c r="J4763" s="40" t="str">
        <f t="shared" si="379"/>
        <v/>
      </c>
      <c r="K4763" s="24" t="str">
        <f t="shared" si="380"/>
        <v/>
      </c>
      <c r="L4763" s="25" t="str">
        <f t="shared" si="376"/>
        <v/>
      </c>
      <c r="O4763" s="33" t="str">
        <f t="shared" si="377"/>
        <v/>
      </c>
      <c r="P4763" s="33" t="str">
        <f t="shared" si="378"/>
        <v/>
      </c>
    </row>
    <row r="4764" spans="9:16">
      <c r="I4764" s="23" t="str">
        <f>_xlfn.IFNA(VLOOKUP(A4764,A$3524:$H4765,8,0),"")</f>
        <v/>
      </c>
      <c r="J4764" s="40" t="str">
        <f t="shared" si="379"/>
        <v/>
      </c>
      <c r="K4764" s="24" t="str">
        <f t="shared" si="380"/>
        <v/>
      </c>
      <c r="L4764" s="25" t="str">
        <f t="shared" si="376"/>
        <v/>
      </c>
      <c r="O4764" s="33" t="str">
        <f t="shared" si="377"/>
        <v/>
      </c>
      <c r="P4764" s="33" t="str">
        <f t="shared" si="378"/>
        <v/>
      </c>
    </row>
    <row r="4765" spans="9:16">
      <c r="I4765" s="23" t="str">
        <f>_xlfn.IFNA(VLOOKUP(A4765,A$3524:$H4766,8,0),"")</f>
        <v/>
      </c>
      <c r="J4765" s="40" t="str">
        <f t="shared" si="379"/>
        <v/>
      </c>
      <c r="K4765" s="24" t="str">
        <f t="shared" si="380"/>
        <v/>
      </c>
      <c r="L4765" s="25" t="str">
        <f t="shared" si="376"/>
        <v/>
      </c>
      <c r="O4765" s="33" t="str">
        <f t="shared" si="377"/>
        <v/>
      </c>
      <c r="P4765" s="33" t="str">
        <f t="shared" si="378"/>
        <v/>
      </c>
    </row>
    <row r="4766" spans="9:16">
      <c r="I4766" s="23" t="str">
        <f>_xlfn.IFNA(VLOOKUP(A4766,A$3524:$H4767,8,0),"")</f>
        <v/>
      </c>
      <c r="J4766" s="40" t="str">
        <f t="shared" si="379"/>
        <v/>
      </c>
      <c r="K4766" s="24" t="str">
        <f t="shared" si="380"/>
        <v/>
      </c>
      <c r="L4766" s="25" t="str">
        <f t="shared" si="376"/>
        <v/>
      </c>
      <c r="O4766" s="33" t="str">
        <f t="shared" si="377"/>
        <v/>
      </c>
      <c r="P4766" s="33" t="str">
        <f t="shared" si="378"/>
        <v/>
      </c>
    </row>
    <row r="4767" spans="9:16">
      <c r="I4767" s="23" t="str">
        <f>_xlfn.IFNA(VLOOKUP(A4767,A$3524:$H4768,8,0),"")</f>
        <v/>
      </c>
      <c r="J4767" s="40" t="str">
        <f t="shared" si="379"/>
        <v/>
      </c>
      <c r="K4767" s="24" t="str">
        <f t="shared" si="380"/>
        <v/>
      </c>
      <c r="L4767" s="25" t="str">
        <f t="shared" si="376"/>
        <v/>
      </c>
      <c r="O4767" s="33" t="str">
        <f t="shared" si="377"/>
        <v/>
      </c>
      <c r="P4767" s="33" t="str">
        <f t="shared" si="378"/>
        <v/>
      </c>
    </row>
    <row r="4768" spans="9:16">
      <c r="I4768" s="23" t="str">
        <f>_xlfn.IFNA(VLOOKUP(A4768,A$3524:$H4769,8,0),"")</f>
        <v/>
      </c>
      <c r="J4768" s="40" t="str">
        <f t="shared" si="379"/>
        <v/>
      </c>
      <c r="K4768" s="24" t="str">
        <f t="shared" si="380"/>
        <v/>
      </c>
      <c r="L4768" s="25" t="str">
        <f t="shared" si="376"/>
        <v/>
      </c>
      <c r="O4768" s="33" t="str">
        <f t="shared" si="377"/>
        <v/>
      </c>
      <c r="P4768" s="33" t="str">
        <f t="shared" si="378"/>
        <v/>
      </c>
    </row>
    <row r="4769" spans="9:16">
      <c r="I4769" s="23" t="str">
        <f>_xlfn.IFNA(VLOOKUP(A4769,A$3524:$H4770,8,0),"")</f>
        <v/>
      </c>
      <c r="J4769" s="40" t="str">
        <f t="shared" si="379"/>
        <v/>
      </c>
      <c r="K4769" s="24" t="str">
        <f t="shared" si="380"/>
        <v/>
      </c>
      <c r="L4769" s="25" t="str">
        <f t="shared" si="376"/>
        <v/>
      </c>
      <c r="O4769" s="33" t="str">
        <f t="shared" si="377"/>
        <v/>
      </c>
      <c r="P4769" s="33" t="str">
        <f t="shared" si="378"/>
        <v/>
      </c>
    </row>
    <row r="4770" spans="9:16">
      <c r="I4770" s="23" t="str">
        <f>_xlfn.IFNA(VLOOKUP(A4770,A$3524:$H4771,8,0),"")</f>
        <v/>
      </c>
      <c r="J4770" s="40" t="str">
        <f t="shared" si="379"/>
        <v/>
      </c>
      <c r="K4770" s="24" t="str">
        <f t="shared" si="380"/>
        <v/>
      </c>
      <c r="L4770" s="25" t="str">
        <f t="shared" si="376"/>
        <v/>
      </c>
      <c r="O4770" s="33" t="str">
        <f t="shared" si="377"/>
        <v/>
      </c>
      <c r="P4770" s="33" t="str">
        <f t="shared" si="378"/>
        <v/>
      </c>
    </row>
    <row r="4771" spans="9:16">
      <c r="I4771" s="23" t="str">
        <f>_xlfn.IFNA(VLOOKUP(A4771,A$3524:$H4772,8,0),"")</f>
        <v/>
      </c>
      <c r="J4771" s="40" t="str">
        <f t="shared" si="379"/>
        <v/>
      </c>
      <c r="K4771" s="24" t="str">
        <f t="shared" si="380"/>
        <v/>
      </c>
      <c r="L4771" s="25" t="str">
        <f t="shared" si="376"/>
        <v/>
      </c>
      <c r="O4771" s="33" t="str">
        <f t="shared" si="377"/>
        <v/>
      </c>
      <c r="P4771" s="33" t="str">
        <f t="shared" si="378"/>
        <v/>
      </c>
    </row>
    <row r="4772" spans="9:16">
      <c r="I4772" s="23" t="str">
        <f>_xlfn.IFNA(VLOOKUP(A4772,A$3524:$H4773,8,0),"")</f>
        <v/>
      </c>
      <c r="J4772" s="40" t="str">
        <f t="shared" si="379"/>
        <v/>
      </c>
      <c r="K4772" s="24" t="str">
        <f t="shared" si="380"/>
        <v/>
      </c>
      <c r="L4772" s="25" t="str">
        <f t="shared" si="376"/>
        <v/>
      </c>
      <c r="O4772" s="33" t="str">
        <f t="shared" si="377"/>
        <v/>
      </c>
      <c r="P4772" s="33" t="str">
        <f t="shared" si="378"/>
        <v/>
      </c>
    </row>
    <row r="4773" spans="9:16">
      <c r="I4773" s="23" t="str">
        <f>_xlfn.IFNA(VLOOKUP(A4773,A$3524:$H4774,8,0),"")</f>
        <v/>
      </c>
      <c r="J4773" s="40" t="str">
        <f t="shared" si="379"/>
        <v/>
      </c>
      <c r="K4773" s="24" t="str">
        <f t="shared" si="380"/>
        <v/>
      </c>
      <c r="L4773" s="25" t="str">
        <f t="shared" si="376"/>
        <v/>
      </c>
      <c r="O4773" s="33" t="str">
        <f t="shared" si="377"/>
        <v/>
      </c>
      <c r="P4773" s="33" t="str">
        <f t="shared" si="378"/>
        <v/>
      </c>
    </row>
    <row r="4774" spans="9:16">
      <c r="I4774" s="23" t="str">
        <f>_xlfn.IFNA(VLOOKUP(A4774,A$3524:$H4775,8,0),"")</f>
        <v/>
      </c>
      <c r="J4774" s="40" t="str">
        <f t="shared" si="379"/>
        <v/>
      </c>
      <c r="K4774" s="24" t="str">
        <f t="shared" si="380"/>
        <v/>
      </c>
      <c r="L4774" s="25" t="str">
        <f t="shared" si="376"/>
        <v/>
      </c>
      <c r="O4774" s="33" t="str">
        <f t="shared" si="377"/>
        <v/>
      </c>
      <c r="P4774" s="33" t="str">
        <f t="shared" si="378"/>
        <v/>
      </c>
    </row>
    <row r="4775" spans="9:16">
      <c r="I4775" s="23" t="str">
        <f>_xlfn.IFNA(VLOOKUP(A4775,A$3524:$H4776,8,0),"")</f>
        <v/>
      </c>
      <c r="J4775" s="40" t="str">
        <f t="shared" si="379"/>
        <v/>
      </c>
      <c r="K4775" s="24" t="str">
        <f t="shared" si="380"/>
        <v/>
      </c>
      <c r="L4775" s="25" t="str">
        <f t="shared" si="376"/>
        <v/>
      </c>
      <c r="O4775" s="33" t="str">
        <f t="shared" si="377"/>
        <v/>
      </c>
      <c r="P4775" s="33" t="str">
        <f t="shared" si="378"/>
        <v/>
      </c>
    </row>
    <row r="4776" spans="9:16">
      <c r="I4776" s="23" t="str">
        <f>_xlfn.IFNA(VLOOKUP(A4776,A$3524:$H4777,8,0),"")</f>
        <v/>
      </c>
      <c r="J4776" s="40" t="str">
        <f t="shared" si="379"/>
        <v/>
      </c>
      <c r="K4776" s="24" t="str">
        <f t="shared" si="380"/>
        <v/>
      </c>
      <c r="L4776" s="25" t="str">
        <f t="shared" si="376"/>
        <v/>
      </c>
      <c r="O4776" s="33" t="str">
        <f t="shared" si="377"/>
        <v/>
      </c>
      <c r="P4776" s="33" t="str">
        <f t="shared" si="378"/>
        <v/>
      </c>
    </row>
    <row r="4777" spans="9:16">
      <c r="I4777" s="23" t="str">
        <f>_xlfn.IFNA(VLOOKUP(A4777,A$3524:$H4778,8,0),"")</f>
        <v/>
      </c>
      <c r="J4777" s="40" t="str">
        <f t="shared" si="379"/>
        <v/>
      </c>
      <c r="K4777" s="24" t="str">
        <f t="shared" si="380"/>
        <v/>
      </c>
      <c r="L4777" s="25" t="str">
        <f t="shared" si="376"/>
        <v/>
      </c>
      <c r="O4777" s="33" t="str">
        <f t="shared" si="377"/>
        <v/>
      </c>
      <c r="P4777" s="33" t="str">
        <f t="shared" si="378"/>
        <v/>
      </c>
    </row>
    <row r="4778" spans="9:16">
      <c r="I4778" s="23" t="str">
        <f>_xlfn.IFNA(VLOOKUP(A4778,A$3524:$H4779,8,0),"")</f>
        <v/>
      </c>
      <c r="J4778" s="40" t="str">
        <f t="shared" si="379"/>
        <v/>
      </c>
      <c r="K4778" s="24" t="str">
        <f t="shared" si="380"/>
        <v/>
      </c>
      <c r="L4778" s="25" t="str">
        <f t="shared" si="376"/>
        <v/>
      </c>
      <c r="O4778" s="33" t="str">
        <f t="shared" si="377"/>
        <v/>
      </c>
      <c r="P4778" s="33" t="str">
        <f t="shared" si="378"/>
        <v/>
      </c>
    </row>
    <row r="4779" spans="9:16">
      <c r="I4779" s="23" t="str">
        <f>_xlfn.IFNA(VLOOKUP(A4779,A$3524:$H4780,8,0),"")</f>
        <v/>
      </c>
      <c r="J4779" s="40" t="str">
        <f t="shared" si="379"/>
        <v/>
      </c>
      <c r="K4779" s="24" t="str">
        <f t="shared" si="380"/>
        <v/>
      </c>
      <c r="L4779" s="25" t="str">
        <f t="shared" si="376"/>
        <v/>
      </c>
      <c r="O4779" s="33" t="str">
        <f t="shared" si="377"/>
        <v/>
      </c>
      <c r="P4779" s="33" t="str">
        <f t="shared" si="378"/>
        <v/>
      </c>
    </row>
    <row r="4780" spans="9:16">
      <c r="I4780" s="23" t="str">
        <f>_xlfn.IFNA(VLOOKUP(A4780,A$3524:$H4781,8,0),"")</f>
        <v/>
      </c>
      <c r="J4780" s="40" t="str">
        <f t="shared" si="379"/>
        <v/>
      </c>
      <c r="K4780" s="24" t="str">
        <f t="shared" si="380"/>
        <v/>
      </c>
      <c r="L4780" s="25" t="str">
        <f t="shared" si="376"/>
        <v/>
      </c>
      <c r="O4780" s="33" t="str">
        <f t="shared" si="377"/>
        <v/>
      </c>
      <c r="P4780" s="33" t="str">
        <f t="shared" si="378"/>
        <v/>
      </c>
    </row>
    <row r="4781" spans="9:16">
      <c r="I4781" s="23" t="str">
        <f>_xlfn.IFNA(VLOOKUP(A4781,A$3524:$H4782,8,0),"")</f>
        <v/>
      </c>
      <c r="J4781" s="40" t="str">
        <f t="shared" si="379"/>
        <v/>
      </c>
      <c r="K4781" s="24" t="str">
        <f t="shared" si="380"/>
        <v/>
      </c>
      <c r="L4781" s="25" t="str">
        <f t="shared" si="376"/>
        <v/>
      </c>
      <c r="O4781" s="33" t="str">
        <f t="shared" si="377"/>
        <v/>
      </c>
      <c r="P4781" s="33" t="str">
        <f t="shared" si="378"/>
        <v/>
      </c>
    </row>
    <row r="4782" spans="9:16">
      <c r="I4782" s="23" t="str">
        <f>_xlfn.IFNA(VLOOKUP(A4782,A$3524:$H4783,8,0),"")</f>
        <v/>
      </c>
      <c r="J4782" s="40" t="str">
        <f t="shared" si="379"/>
        <v/>
      </c>
      <c r="K4782" s="24" t="str">
        <f t="shared" si="380"/>
        <v/>
      </c>
      <c r="L4782" s="25" t="str">
        <f t="shared" si="376"/>
        <v/>
      </c>
      <c r="O4782" s="33" t="str">
        <f t="shared" si="377"/>
        <v/>
      </c>
      <c r="P4782" s="33" t="str">
        <f t="shared" si="378"/>
        <v/>
      </c>
    </row>
    <row r="4783" spans="9:16">
      <c r="I4783" s="23" t="str">
        <f>_xlfn.IFNA(VLOOKUP(A4783,A$3524:$H4784,8,0),"")</f>
        <v/>
      </c>
      <c r="J4783" s="40" t="str">
        <f t="shared" si="379"/>
        <v/>
      </c>
      <c r="K4783" s="24" t="str">
        <f t="shared" si="380"/>
        <v/>
      </c>
      <c r="L4783" s="25" t="str">
        <f t="shared" si="376"/>
        <v/>
      </c>
      <c r="O4783" s="33" t="str">
        <f t="shared" si="377"/>
        <v/>
      </c>
      <c r="P4783" s="33" t="str">
        <f t="shared" si="378"/>
        <v/>
      </c>
    </row>
    <row r="4784" spans="9:16">
      <c r="I4784" s="23" t="str">
        <f>_xlfn.IFNA(VLOOKUP(A4784,A$3524:$H4785,8,0),"")</f>
        <v/>
      </c>
      <c r="J4784" s="40" t="str">
        <f t="shared" si="379"/>
        <v/>
      </c>
      <c r="K4784" s="24" t="str">
        <f t="shared" si="380"/>
        <v/>
      </c>
      <c r="L4784" s="25" t="str">
        <f t="shared" si="376"/>
        <v/>
      </c>
      <c r="O4784" s="33" t="str">
        <f t="shared" si="377"/>
        <v/>
      </c>
      <c r="P4784" s="33" t="str">
        <f t="shared" si="378"/>
        <v/>
      </c>
    </row>
    <row r="4785" spans="9:16">
      <c r="I4785" s="23" t="str">
        <f>_xlfn.IFNA(VLOOKUP(A4785,A$3524:$H4786,8,0),"")</f>
        <v/>
      </c>
      <c r="J4785" s="40" t="str">
        <f t="shared" si="379"/>
        <v/>
      </c>
      <c r="K4785" s="24" t="str">
        <f t="shared" si="380"/>
        <v/>
      </c>
      <c r="L4785" s="25" t="str">
        <f t="shared" si="376"/>
        <v/>
      </c>
      <c r="O4785" s="33" t="str">
        <f t="shared" si="377"/>
        <v/>
      </c>
      <c r="P4785" s="33" t="str">
        <f t="shared" si="378"/>
        <v/>
      </c>
    </row>
    <row r="4786" spans="9:16">
      <c r="I4786" s="23" t="str">
        <f>_xlfn.IFNA(VLOOKUP(A4786,A$3524:$H4787,8,0),"")</f>
        <v/>
      </c>
      <c r="J4786" s="40" t="str">
        <f t="shared" si="379"/>
        <v/>
      </c>
      <c r="K4786" s="24" t="str">
        <f t="shared" si="380"/>
        <v/>
      </c>
      <c r="L4786" s="25" t="str">
        <f t="shared" si="376"/>
        <v/>
      </c>
      <c r="O4786" s="33" t="str">
        <f t="shared" si="377"/>
        <v/>
      </c>
      <c r="P4786" s="33" t="str">
        <f t="shared" si="378"/>
        <v/>
      </c>
    </row>
    <row r="4787" spans="9:16">
      <c r="I4787" s="23" t="str">
        <f>_xlfn.IFNA(VLOOKUP(A4787,A$3524:$H4788,8,0),"")</f>
        <v/>
      </c>
      <c r="J4787" s="40" t="str">
        <f t="shared" si="379"/>
        <v/>
      </c>
      <c r="K4787" s="24" t="str">
        <f t="shared" si="380"/>
        <v/>
      </c>
      <c r="L4787" s="25" t="str">
        <f t="shared" si="376"/>
        <v/>
      </c>
      <c r="O4787" s="33" t="str">
        <f t="shared" si="377"/>
        <v/>
      </c>
      <c r="P4787" s="33" t="str">
        <f t="shared" si="378"/>
        <v/>
      </c>
    </row>
    <row r="4788" spans="9:16">
      <c r="I4788" s="23" t="str">
        <f>_xlfn.IFNA(VLOOKUP(A4788,A$3524:$H4789,8,0),"")</f>
        <v/>
      </c>
      <c r="J4788" s="40" t="str">
        <f t="shared" si="379"/>
        <v/>
      </c>
      <c r="K4788" s="24" t="str">
        <f t="shared" si="380"/>
        <v/>
      </c>
      <c r="L4788" s="25" t="str">
        <f t="shared" si="376"/>
        <v/>
      </c>
      <c r="O4788" s="33" t="str">
        <f t="shared" si="377"/>
        <v/>
      </c>
      <c r="P4788" s="33" t="str">
        <f t="shared" si="378"/>
        <v/>
      </c>
    </row>
    <row r="4789" spans="9:16">
      <c r="I4789" s="23" t="str">
        <f>_xlfn.IFNA(VLOOKUP(A4789,A$3524:$H4790,8,0),"")</f>
        <v/>
      </c>
      <c r="J4789" s="40" t="str">
        <f t="shared" si="379"/>
        <v/>
      </c>
      <c r="K4789" s="24" t="str">
        <f t="shared" si="380"/>
        <v/>
      </c>
      <c r="L4789" s="25" t="str">
        <f t="shared" si="376"/>
        <v/>
      </c>
      <c r="O4789" s="33" t="str">
        <f t="shared" si="377"/>
        <v/>
      </c>
      <c r="P4789" s="33" t="str">
        <f t="shared" si="378"/>
        <v/>
      </c>
    </row>
    <row r="4790" spans="9:16">
      <c r="I4790" s="23" t="str">
        <f>_xlfn.IFNA(VLOOKUP(A4790,A$3524:$H4791,8,0),"")</f>
        <v/>
      </c>
      <c r="J4790" s="40" t="str">
        <f t="shared" si="379"/>
        <v/>
      </c>
      <c r="K4790" s="24" t="str">
        <f t="shared" si="380"/>
        <v/>
      </c>
      <c r="L4790" s="25" t="str">
        <f t="shared" si="376"/>
        <v/>
      </c>
      <c r="O4790" s="33" t="str">
        <f t="shared" si="377"/>
        <v/>
      </c>
      <c r="P4790" s="33" t="str">
        <f t="shared" si="378"/>
        <v/>
      </c>
    </row>
    <row r="4791" spans="9:16">
      <c r="I4791" s="23" t="str">
        <f>_xlfn.IFNA(VLOOKUP(A4791,A$3524:$H4792,8,0),"")</f>
        <v/>
      </c>
      <c r="J4791" s="40" t="str">
        <f t="shared" si="379"/>
        <v/>
      </c>
      <c r="K4791" s="24" t="str">
        <f t="shared" si="380"/>
        <v/>
      </c>
      <c r="L4791" s="25" t="str">
        <f t="shared" ref="L4791:L4854" si="381">IF(K4791="","",IF(B4791="Break","Break",IF(K4791&lt;&gt;0,"Work Finished",IF(B4791="OFF","Work Finished",IF(I4791="","Working","Work Finished")))))</f>
        <v/>
      </c>
      <c r="O4791" s="33" t="str">
        <f t="shared" ref="O4791:O4854" si="382">IF(AND(J4791="",M4791="",N4791=""),"",J4791-M4791-N4791)</f>
        <v/>
      </c>
      <c r="P4791" s="33" t="str">
        <f t="shared" ref="P4791:P4854" si="383">IF(HOUR(H4791)=0,"",HOUR(H4791))</f>
        <v/>
      </c>
    </row>
    <row r="4792" spans="9:16">
      <c r="I4792" s="23" t="str">
        <f>_xlfn.IFNA(VLOOKUP(A4792,A$3524:$H4793,8,0),"")</f>
        <v/>
      </c>
      <c r="J4792" s="40" t="str">
        <f t="shared" si="379"/>
        <v/>
      </c>
      <c r="K4792" s="24" t="str">
        <f t="shared" si="380"/>
        <v/>
      </c>
      <c r="L4792" s="25" t="str">
        <f t="shared" si="381"/>
        <v/>
      </c>
      <c r="O4792" s="33" t="str">
        <f t="shared" si="382"/>
        <v/>
      </c>
      <c r="P4792" s="33" t="str">
        <f t="shared" si="383"/>
        <v/>
      </c>
    </row>
    <row r="4793" spans="9:16">
      <c r="I4793" s="23" t="str">
        <f>_xlfn.IFNA(VLOOKUP(A4793,A$3524:$H4794,8,0),"")</f>
        <v/>
      </c>
      <c r="J4793" s="40" t="str">
        <f t="shared" si="379"/>
        <v/>
      </c>
      <c r="K4793" s="24" t="str">
        <f t="shared" si="380"/>
        <v/>
      </c>
      <c r="L4793" s="25" t="str">
        <f t="shared" si="381"/>
        <v/>
      </c>
      <c r="O4793" s="33" t="str">
        <f t="shared" si="382"/>
        <v/>
      </c>
      <c r="P4793" s="33" t="str">
        <f t="shared" si="383"/>
        <v/>
      </c>
    </row>
    <row r="4794" spans="9:16">
      <c r="I4794" s="23" t="str">
        <f>_xlfn.IFNA(VLOOKUP(A4794,A$3524:$H4795,8,0),"")</f>
        <v/>
      </c>
      <c r="J4794" s="40" t="str">
        <f t="shared" si="379"/>
        <v/>
      </c>
      <c r="K4794" s="24" t="str">
        <f t="shared" si="380"/>
        <v/>
      </c>
      <c r="L4794" s="25" t="str">
        <f t="shared" si="381"/>
        <v/>
      </c>
      <c r="O4794" s="33" t="str">
        <f t="shared" si="382"/>
        <v/>
      </c>
      <c r="P4794" s="33" t="str">
        <f t="shared" si="383"/>
        <v/>
      </c>
    </row>
    <row r="4795" spans="9:16">
      <c r="I4795" s="23" t="str">
        <f>_xlfn.IFNA(VLOOKUP(A4795,A$3524:$H4796,8,0),"")</f>
        <v/>
      </c>
      <c r="J4795" s="40" t="str">
        <f t="shared" si="379"/>
        <v/>
      </c>
      <c r="K4795" s="24" t="str">
        <f t="shared" si="380"/>
        <v/>
      </c>
      <c r="L4795" s="25" t="str">
        <f t="shared" si="381"/>
        <v/>
      </c>
      <c r="O4795" s="33" t="str">
        <f t="shared" si="382"/>
        <v/>
      </c>
      <c r="P4795" s="33" t="str">
        <f t="shared" si="383"/>
        <v/>
      </c>
    </row>
    <row r="4796" spans="9:16">
      <c r="I4796" s="23" t="str">
        <f>_xlfn.IFNA(VLOOKUP(A4796,A$3524:$H4797,8,0),"")</f>
        <v/>
      </c>
      <c r="J4796" s="40" t="str">
        <f t="shared" si="379"/>
        <v/>
      </c>
      <c r="K4796" s="24" t="str">
        <f t="shared" si="380"/>
        <v/>
      </c>
      <c r="L4796" s="25" t="str">
        <f t="shared" si="381"/>
        <v/>
      </c>
      <c r="O4796" s="33" t="str">
        <f t="shared" si="382"/>
        <v/>
      </c>
      <c r="P4796" s="33" t="str">
        <f t="shared" si="383"/>
        <v/>
      </c>
    </row>
    <row r="4797" spans="9:16">
      <c r="I4797" s="23" t="str">
        <f>_xlfn.IFNA(VLOOKUP(A4797,A$3524:$H4798,8,0),"")</f>
        <v/>
      </c>
      <c r="J4797" s="40" t="str">
        <f t="shared" si="379"/>
        <v/>
      </c>
      <c r="K4797" s="24" t="str">
        <f t="shared" si="380"/>
        <v/>
      </c>
      <c r="L4797" s="25" t="str">
        <f t="shared" si="381"/>
        <v/>
      </c>
      <c r="O4797" s="33" t="str">
        <f t="shared" si="382"/>
        <v/>
      </c>
      <c r="P4797" s="33" t="str">
        <f t="shared" si="383"/>
        <v/>
      </c>
    </row>
    <row r="4798" spans="9:16">
      <c r="I4798" s="23" t="str">
        <f>_xlfn.IFNA(VLOOKUP(A4798,A$3524:$H4799,8,0),"")</f>
        <v/>
      </c>
      <c r="J4798" s="40" t="str">
        <f t="shared" si="379"/>
        <v/>
      </c>
      <c r="K4798" s="24" t="str">
        <f t="shared" si="380"/>
        <v/>
      </c>
      <c r="L4798" s="25" t="str">
        <f t="shared" si="381"/>
        <v/>
      </c>
      <c r="O4798" s="33" t="str">
        <f t="shared" si="382"/>
        <v/>
      </c>
      <c r="P4798" s="33" t="str">
        <f t="shared" si="383"/>
        <v/>
      </c>
    </row>
    <row r="4799" spans="9:16">
      <c r="I4799" s="23" t="str">
        <f>_xlfn.IFNA(VLOOKUP(A4799,A$3524:$H4800,8,0),"")</f>
        <v/>
      </c>
      <c r="J4799" s="40" t="str">
        <f t="shared" si="379"/>
        <v/>
      </c>
      <c r="K4799" s="24" t="str">
        <f t="shared" si="380"/>
        <v/>
      </c>
      <c r="L4799" s="25" t="str">
        <f t="shared" si="381"/>
        <v/>
      </c>
      <c r="O4799" s="33" t="str">
        <f t="shared" si="382"/>
        <v/>
      </c>
      <c r="P4799" s="33" t="str">
        <f t="shared" si="383"/>
        <v/>
      </c>
    </row>
    <row r="4800" spans="9:16">
      <c r="I4800" s="23" t="str">
        <f>_xlfn.IFNA(VLOOKUP(A4800,A$3524:$H4801,8,0),"")</f>
        <v/>
      </c>
      <c r="J4800" s="40" t="str">
        <f t="shared" si="379"/>
        <v/>
      </c>
      <c r="K4800" s="24" t="str">
        <f t="shared" si="380"/>
        <v/>
      </c>
      <c r="L4800" s="25" t="str">
        <f t="shared" si="381"/>
        <v/>
      </c>
      <c r="O4800" s="33" t="str">
        <f t="shared" si="382"/>
        <v/>
      </c>
      <c r="P4800" s="33" t="str">
        <f t="shared" si="383"/>
        <v/>
      </c>
    </row>
    <row r="4801" spans="9:16">
      <c r="I4801" s="23" t="str">
        <f>_xlfn.IFNA(VLOOKUP(A4801,A$3524:$H4802,8,0),"")</f>
        <v/>
      </c>
      <c r="J4801" s="40" t="str">
        <f t="shared" si="379"/>
        <v/>
      </c>
      <c r="K4801" s="24" t="str">
        <f t="shared" si="380"/>
        <v/>
      </c>
      <c r="L4801" s="25" t="str">
        <f t="shared" si="381"/>
        <v/>
      </c>
      <c r="O4801" s="33" t="str">
        <f t="shared" si="382"/>
        <v/>
      </c>
      <c r="P4801" s="33" t="str">
        <f t="shared" si="383"/>
        <v/>
      </c>
    </row>
    <row r="4802" spans="9:16">
      <c r="I4802" s="23" t="str">
        <f>_xlfn.IFNA(VLOOKUP(A4802,A$3524:$H4803,8,0),"")</f>
        <v/>
      </c>
      <c r="J4802" s="40" t="str">
        <f t="shared" si="379"/>
        <v/>
      </c>
      <c r="K4802" s="24" t="str">
        <f t="shared" si="380"/>
        <v/>
      </c>
      <c r="L4802" s="25" t="str">
        <f t="shared" si="381"/>
        <v/>
      </c>
      <c r="O4802" s="33" t="str">
        <f t="shared" si="382"/>
        <v/>
      </c>
      <c r="P4802" s="33" t="str">
        <f t="shared" si="383"/>
        <v/>
      </c>
    </row>
    <row r="4803" spans="9:16">
      <c r="I4803" s="23" t="str">
        <f>_xlfn.IFNA(VLOOKUP(A4803,A$3524:$H4804,8,0),"")</f>
        <v/>
      </c>
      <c r="J4803" s="40" t="str">
        <f t="shared" si="379"/>
        <v/>
      </c>
      <c r="K4803" s="24" t="str">
        <f t="shared" si="380"/>
        <v/>
      </c>
      <c r="L4803" s="25" t="str">
        <f t="shared" si="381"/>
        <v/>
      </c>
      <c r="O4803" s="33" t="str">
        <f t="shared" si="382"/>
        <v/>
      </c>
      <c r="P4803" s="33" t="str">
        <f t="shared" si="383"/>
        <v/>
      </c>
    </row>
    <row r="4804" spans="9:16">
      <c r="I4804" s="23" t="str">
        <f>_xlfn.IFNA(VLOOKUP(A4804,A$3524:$H4805,8,0),"")</f>
        <v/>
      </c>
      <c r="J4804" s="40" t="str">
        <f t="shared" si="379"/>
        <v/>
      </c>
      <c r="K4804" s="24" t="str">
        <f t="shared" si="380"/>
        <v/>
      </c>
      <c r="L4804" s="25" t="str">
        <f t="shared" si="381"/>
        <v/>
      </c>
      <c r="O4804" s="33" t="str">
        <f t="shared" si="382"/>
        <v/>
      </c>
      <c r="P4804" s="33" t="str">
        <f t="shared" si="383"/>
        <v/>
      </c>
    </row>
    <row r="4805" spans="9:16">
      <c r="I4805" s="23" t="str">
        <f>_xlfn.IFNA(VLOOKUP(A4805,A$3524:$H4806,8,0),"")</f>
        <v/>
      </c>
      <c r="J4805" s="40" t="str">
        <f t="shared" si="379"/>
        <v/>
      </c>
      <c r="K4805" s="24" t="str">
        <f t="shared" si="380"/>
        <v/>
      </c>
      <c r="L4805" s="25" t="str">
        <f t="shared" si="381"/>
        <v/>
      </c>
      <c r="O4805" s="33" t="str">
        <f t="shared" si="382"/>
        <v/>
      </c>
      <c r="P4805" s="33" t="str">
        <f t="shared" si="383"/>
        <v/>
      </c>
    </row>
    <row r="4806" spans="9:16">
      <c r="I4806" s="23" t="str">
        <f>_xlfn.IFNA(VLOOKUP(A4806,A$3524:$H4807,8,0),"")</f>
        <v/>
      </c>
      <c r="J4806" s="40" t="str">
        <f t="shared" ref="J4806:J4869" si="384">IF(B4806="OFF",0,IF(AND(D4806&lt;&gt;"",E4806&lt;&gt;""),E4806-D4806+1,""))</f>
        <v/>
      </c>
      <c r="K4806" s="24" t="str">
        <f t="shared" si="380"/>
        <v/>
      </c>
      <c r="L4806" s="25" t="str">
        <f t="shared" si="381"/>
        <v/>
      </c>
      <c r="O4806" s="33" t="str">
        <f t="shared" si="382"/>
        <v/>
      </c>
      <c r="P4806" s="33" t="str">
        <f t="shared" si="383"/>
        <v/>
      </c>
    </row>
    <row r="4807" spans="9:16">
      <c r="I4807" s="23" t="str">
        <f>_xlfn.IFNA(VLOOKUP(A4807,A$3524:$H4808,8,0),"")</f>
        <v/>
      </c>
      <c r="J4807" s="40" t="str">
        <f t="shared" si="384"/>
        <v/>
      </c>
      <c r="K4807" s="24" t="str">
        <f t="shared" si="380"/>
        <v/>
      </c>
      <c r="L4807" s="25" t="str">
        <f t="shared" si="381"/>
        <v/>
      </c>
      <c r="O4807" s="33" t="str">
        <f t="shared" si="382"/>
        <v/>
      </c>
      <c r="P4807" s="33" t="str">
        <f t="shared" si="383"/>
        <v/>
      </c>
    </row>
    <row r="4808" spans="9:16">
      <c r="I4808" s="23" t="str">
        <f>_xlfn.IFNA(VLOOKUP(A4808,A$3524:$H4809,8,0),"")</f>
        <v/>
      </c>
      <c r="J4808" s="40" t="str">
        <f t="shared" si="384"/>
        <v/>
      </c>
      <c r="K4808" s="24" t="str">
        <f t="shared" si="380"/>
        <v/>
      </c>
      <c r="L4808" s="25" t="str">
        <f t="shared" si="381"/>
        <v/>
      </c>
      <c r="O4808" s="33" t="str">
        <f t="shared" si="382"/>
        <v/>
      </c>
      <c r="P4808" s="33" t="str">
        <f t="shared" si="383"/>
        <v/>
      </c>
    </row>
    <row r="4809" spans="9:16">
      <c r="I4809" s="23" t="str">
        <f>_xlfn.IFNA(VLOOKUP(A4809,A$3524:$H4810,8,0),"")</f>
        <v/>
      </c>
      <c r="J4809" s="40" t="str">
        <f t="shared" si="384"/>
        <v/>
      </c>
      <c r="K4809" s="24" t="str">
        <f t="shared" si="380"/>
        <v/>
      </c>
      <c r="L4809" s="25" t="str">
        <f t="shared" si="381"/>
        <v/>
      </c>
      <c r="O4809" s="33" t="str">
        <f t="shared" si="382"/>
        <v/>
      </c>
      <c r="P4809" s="33" t="str">
        <f t="shared" si="383"/>
        <v/>
      </c>
    </row>
    <row r="4810" spans="9:16">
      <c r="I4810" s="23" t="str">
        <f>_xlfn.IFNA(VLOOKUP(A4810,A$3524:$H4811,8,0),"")</f>
        <v/>
      </c>
      <c r="J4810" s="40" t="str">
        <f t="shared" si="384"/>
        <v/>
      </c>
      <c r="K4810" s="24" t="str">
        <f t="shared" si="380"/>
        <v/>
      </c>
      <c r="L4810" s="25" t="str">
        <f t="shared" si="381"/>
        <v/>
      </c>
      <c r="O4810" s="33" t="str">
        <f t="shared" si="382"/>
        <v/>
      </c>
      <c r="P4810" s="33" t="str">
        <f t="shared" si="383"/>
        <v/>
      </c>
    </row>
    <row r="4811" spans="9:16">
      <c r="I4811" s="23" t="str">
        <f>_xlfn.IFNA(VLOOKUP(A4811,A$3524:$H4812,8,0),"")</f>
        <v/>
      </c>
      <c r="J4811" s="40" t="str">
        <f t="shared" si="384"/>
        <v/>
      </c>
      <c r="K4811" s="24" t="str">
        <f t="shared" si="380"/>
        <v/>
      </c>
      <c r="L4811" s="25" t="str">
        <f t="shared" si="381"/>
        <v/>
      </c>
      <c r="O4811" s="33" t="str">
        <f t="shared" si="382"/>
        <v/>
      </c>
      <c r="P4811" s="33" t="str">
        <f t="shared" si="383"/>
        <v/>
      </c>
    </row>
    <row r="4812" spans="9:16">
      <c r="I4812" s="23" t="str">
        <f>_xlfn.IFNA(VLOOKUP(A4812,A$3524:$H4813,8,0),"")</f>
        <v/>
      </c>
      <c r="J4812" s="40" t="str">
        <f t="shared" si="384"/>
        <v/>
      </c>
      <c r="K4812" s="24" t="str">
        <f t="shared" si="380"/>
        <v/>
      </c>
      <c r="L4812" s="25" t="str">
        <f t="shared" si="381"/>
        <v/>
      </c>
      <c r="O4812" s="33" t="str">
        <f t="shared" si="382"/>
        <v/>
      </c>
      <c r="P4812" s="33" t="str">
        <f t="shared" si="383"/>
        <v/>
      </c>
    </row>
    <row r="4813" spans="9:16">
      <c r="I4813" s="23" t="str">
        <f>_xlfn.IFNA(VLOOKUP(A4813,A$3524:$H4814,8,0),"")</f>
        <v/>
      </c>
      <c r="J4813" s="40" t="str">
        <f t="shared" si="384"/>
        <v/>
      </c>
      <c r="K4813" s="24" t="str">
        <f t="shared" si="380"/>
        <v/>
      </c>
      <c r="L4813" s="25" t="str">
        <f t="shared" si="381"/>
        <v/>
      </c>
      <c r="O4813" s="33" t="str">
        <f t="shared" si="382"/>
        <v/>
      </c>
      <c r="P4813" s="33" t="str">
        <f t="shared" si="383"/>
        <v/>
      </c>
    </row>
    <row r="4814" spans="9:16">
      <c r="I4814" s="23" t="str">
        <f>_xlfn.IFNA(VLOOKUP(A4814,A$3524:$H4815,8,0),"")</f>
        <v/>
      </c>
      <c r="J4814" s="40" t="str">
        <f t="shared" si="384"/>
        <v/>
      </c>
      <c r="K4814" s="24" t="str">
        <f t="shared" si="380"/>
        <v/>
      </c>
      <c r="L4814" s="25" t="str">
        <f t="shared" si="381"/>
        <v/>
      </c>
      <c r="O4814" s="33" t="str">
        <f t="shared" si="382"/>
        <v/>
      </c>
      <c r="P4814" s="33" t="str">
        <f t="shared" si="383"/>
        <v/>
      </c>
    </row>
    <row r="4815" spans="9:16">
      <c r="I4815" s="23" t="str">
        <f>_xlfn.IFNA(VLOOKUP(A4815,A$3524:$H4816,8,0),"")</f>
        <v/>
      </c>
      <c r="J4815" s="40" t="str">
        <f t="shared" si="384"/>
        <v/>
      </c>
      <c r="K4815" s="24" t="str">
        <f t="shared" si="380"/>
        <v/>
      </c>
      <c r="L4815" s="25" t="str">
        <f t="shared" si="381"/>
        <v/>
      </c>
      <c r="O4815" s="33" t="str">
        <f t="shared" si="382"/>
        <v/>
      </c>
      <c r="P4815" s="33" t="str">
        <f t="shared" si="383"/>
        <v/>
      </c>
    </row>
    <row r="4816" spans="9:16">
      <c r="I4816" s="23" t="str">
        <f>_xlfn.IFNA(VLOOKUP(A4816,A$3524:$H4817,8,0),"")</f>
        <v/>
      </c>
      <c r="J4816" s="40" t="str">
        <f t="shared" si="384"/>
        <v/>
      </c>
      <c r="K4816" s="24" t="str">
        <f t="shared" si="380"/>
        <v/>
      </c>
      <c r="L4816" s="25" t="str">
        <f t="shared" si="381"/>
        <v/>
      </c>
      <c r="O4816" s="33" t="str">
        <f t="shared" si="382"/>
        <v/>
      </c>
      <c r="P4816" s="33" t="str">
        <f t="shared" si="383"/>
        <v/>
      </c>
    </row>
    <row r="4817" spans="9:16">
      <c r="I4817" s="23" t="str">
        <f>_xlfn.IFNA(VLOOKUP(A4817,A$3524:$H4818,8,0),"")</f>
        <v/>
      </c>
      <c r="J4817" s="40" t="str">
        <f t="shared" si="384"/>
        <v/>
      </c>
      <c r="K4817" s="24" t="str">
        <f t="shared" si="380"/>
        <v/>
      </c>
      <c r="L4817" s="25" t="str">
        <f t="shared" si="381"/>
        <v/>
      </c>
      <c r="O4817" s="33" t="str">
        <f t="shared" si="382"/>
        <v/>
      </c>
      <c r="P4817" s="33" t="str">
        <f t="shared" si="383"/>
        <v/>
      </c>
    </row>
    <row r="4818" spans="9:16">
      <c r="I4818" s="23" t="str">
        <f>_xlfn.IFNA(VLOOKUP(A4818,A$3524:$H4819,8,0),"")</f>
        <v/>
      </c>
      <c r="J4818" s="40" t="str">
        <f t="shared" si="384"/>
        <v/>
      </c>
      <c r="K4818" s="24" t="str">
        <f t="shared" si="380"/>
        <v/>
      </c>
      <c r="L4818" s="25" t="str">
        <f t="shared" si="381"/>
        <v/>
      </c>
      <c r="O4818" s="33" t="str">
        <f t="shared" si="382"/>
        <v/>
      </c>
      <c r="P4818" s="33" t="str">
        <f t="shared" si="383"/>
        <v/>
      </c>
    </row>
    <row r="4819" spans="9:16">
      <c r="I4819" s="23" t="str">
        <f>_xlfn.IFNA(VLOOKUP(A4819,A$3524:$H4820,8,0),"")</f>
        <v/>
      </c>
      <c r="J4819" s="40" t="str">
        <f t="shared" si="384"/>
        <v/>
      </c>
      <c r="K4819" s="24" t="str">
        <f t="shared" si="380"/>
        <v/>
      </c>
      <c r="L4819" s="25" t="str">
        <f t="shared" si="381"/>
        <v/>
      </c>
      <c r="O4819" s="33" t="str">
        <f t="shared" si="382"/>
        <v/>
      </c>
      <c r="P4819" s="33" t="str">
        <f t="shared" si="383"/>
        <v/>
      </c>
    </row>
    <row r="4820" spans="9:16">
      <c r="I4820" s="23" t="str">
        <f>_xlfn.IFNA(VLOOKUP(A4820,A$3524:$H4821,8,0),"")</f>
        <v/>
      </c>
      <c r="J4820" s="40" t="str">
        <f t="shared" si="384"/>
        <v/>
      </c>
      <c r="K4820" s="24" t="str">
        <f t="shared" si="380"/>
        <v/>
      </c>
      <c r="L4820" s="25" t="str">
        <f t="shared" si="381"/>
        <v/>
      </c>
      <c r="O4820" s="33" t="str">
        <f t="shared" si="382"/>
        <v/>
      </c>
      <c r="P4820" s="33" t="str">
        <f t="shared" si="383"/>
        <v/>
      </c>
    </row>
    <row r="4821" spans="9:16">
      <c r="I4821" s="23" t="str">
        <f>_xlfn.IFNA(VLOOKUP(A4821,A$3524:$H4822,8,0),"")</f>
        <v/>
      </c>
      <c r="J4821" s="40" t="str">
        <f t="shared" si="384"/>
        <v/>
      </c>
      <c r="K4821" s="24" t="str">
        <f t="shared" si="380"/>
        <v/>
      </c>
      <c r="L4821" s="25" t="str">
        <f t="shared" si="381"/>
        <v/>
      </c>
      <c r="O4821" s="33" t="str">
        <f t="shared" si="382"/>
        <v/>
      </c>
      <c r="P4821" s="33" t="str">
        <f t="shared" si="383"/>
        <v/>
      </c>
    </row>
    <row r="4822" spans="9:16">
      <c r="I4822" s="23" t="str">
        <f>_xlfn.IFNA(VLOOKUP(A4822,A$3524:$H4823,8,0),"")</f>
        <v/>
      </c>
      <c r="J4822" s="40" t="str">
        <f t="shared" si="384"/>
        <v/>
      </c>
      <c r="K4822" s="24" t="str">
        <f t="shared" ref="K4822:K4885" si="385">IF(H4822="","",IFERROR((I4822-H4822)*24,0))</f>
        <v/>
      </c>
      <c r="L4822" s="25" t="str">
        <f t="shared" si="381"/>
        <v/>
      </c>
      <c r="O4822" s="33" t="str">
        <f t="shared" si="382"/>
        <v/>
      </c>
      <c r="P4822" s="33" t="str">
        <f t="shared" si="383"/>
        <v/>
      </c>
    </row>
    <row r="4823" spans="9:16">
      <c r="I4823" s="23" t="str">
        <f>_xlfn.IFNA(VLOOKUP(A4823,A$3524:$H4824,8,0),"")</f>
        <v/>
      </c>
      <c r="J4823" s="40" t="str">
        <f t="shared" si="384"/>
        <v/>
      </c>
      <c r="K4823" s="24" t="str">
        <f t="shared" si="385"/>
        <v/>
      </c>
      <c r="L4823" s="25" t="str">
        <f t="shared" si="381"/>
        <v/>
      </c>
      <c r="O4823" s="33" t="str">
        <f t="shared" si="382"/>
        <v/>
      </c>
      <c r="P4823" s="33" t="str">
        <f t="shared" si="383"/>
        <v/>
      </c>
    </row>
    <row r="4824" spans="9:16">
      <c r="I4824" s="23" t="str">
        <f>_xlfn.IFNA(VLOOKUP(A4824,A$3524:$H4825,8,0),"")</f>
        <v/>
      </c>
      <c r="J4824" s="40" t="str">
        <f t="shared" si="384"/>
        <v/>
      </c>
      <c r="K4824" s="24" t="str">
        <f t="shared" si="385"/>
        <v/>
      </c>
      <c r="L4824" s="25" t="str">
        <f t="shared" si="381"/>
        <v/>
      </c>
      <c r="O4824" s="33" t="str">
        <f t="shared" si="382"/>
        <v/>
      </c>
      <c r="P4824" s="33" t="str">
        <f t="shared" si="383"/>
        <v/>
      </c>
    </row>
    <row r="4825" spans="9:16">
      <c r="I4825" s="23" t="str">
        <f>_xlfn.IFNA(VLOOKUP(A4825,A$3524:$H4826,8,0),"")</f>
        <v/>
      </c>
      <c r="J4825" s="40" t="str">
        <f t="shared" si="384"/>
        <v/>
      </c>
      <c r="K4825" s="24" t="str">
        <f t="shared" si="385"/>
        <v/>
      </c>
      <c r="L4825" s="25" t="str">
        <f t="shared" si="381"/>
        <v/>
      </c>
      <c r="O4825" s="33" t="str">
        <f t="shared" si="382"/>
        <v/>
      </c>
      <c r="P4825" s="33" t="str">
        <f t="shared" si="383"/>
        <v/>
      </c>
    </row>
    <row r="4826" spans="9:16">
      <c r="I4826" s="23" t="str">
        <f>_xlfn.IFNA(VLOOKUP(A4826,A$3524:$H4827,8,0),"")</f>
        <v/>
      </c>
      <c r="J4826" s="40" t="str">
        <f t="shared" si="384"/>
        <v/>
      </c>
      <c r="K4826" s="24" t="str">
        <f t="shared" si="385"/>
        <v/>
      </c>
      <c r="L4826" s="25" t="str">
        <f t="shared" si="381"/>
        <v/>
      </c>
      <c r="O4826" s="33" t="str">
        <f t="shared" si="382"/>
        <v/>
      </c>
      <c r="P4826" s="33" t="str">
        <f t="shared" si="383"/>
        <v/>
      </c>
    </row>
    <row r="4827" spans="9:16">
      <c r="I4827" s="23" t="str">
        <f>_xlfn.IFNA(VLOOKUP(A4827,A$3524:$H4828,8,0),"")</f>
        <v/>
      </c>
      <c r="J4827" s="40" t="str">
        <f t="shared" si="384"/>
        <v/>
      </c>
      <c r="K4827" s="24" t="str">
        <f t="shared" si="385"/>
        <v/>
      </c>
      <c r="L4827" s="25" t="str">
        <f t="shared" si="381"/>
        <v/>
      </c>
      <c r="O4827" s="33" t="str">
        <f t="shared" si="382"/>
        <v/>
      </c>
      <c r="P4827" s="33" t="str">
        <f t="shared" si="383"/>
        <v/>
      </c>
    </row>
    <row r="4828" spans="9:16">
      <c r="I4828" s="23" t="str">
        <f>_xlfn.IFNA(VLOOKUP(A4828,A$3524:$H4829,8,0),"")</f>
        <v/>
      </c>
      <c r="J4828" s="40" t="str">
        <f t="shared" si="384"/>
        <v/>
      </c>
      <c r="K4828" s="24" t="str">
        <f t="shared" si="385"/>
        <v/>
      </c>
      <c r="L4828" s="25" t="str">
        <f t="shared" si="381"/>
        <v/>
      </c>
      <c r="O4828" s="33" t="str">
        <f t="shared" si="382"/>
        <v/>
      </c>
      <c r="P4828" s="33" t="str">
        <f t="shared" si="383"/>
        <v/>
      </c>
    </row>
    <row r="4829" spans="9:16">
      <c r="I4829" s="23" t="str">
        <f>_xlfn.IFNA(VLOOKUP(A4829,A$3524:$H4830,8,0),"")</f>
        <v/>
      </c>
      <c r="J4829" s="40" t="str">
        <f t="shared" si="384"/>
        <v/>
      </c>
      <c r="K4829" s="24" t="str">
        <f t="shared" si="385"/>
        <v/>
      </c>
      <c r="L4829" s="25" t="str">
        <f t="shared" si="381"/>
        <v/>
      </c>
      <c r="O4829" s="33" t="str">
        <f t="shared" si="382"/>
        <v/>
      </c>
      <c r="P4829" s="33" t="str">
        <f t="shared" si="383"/>
        <v/>
      </c>
    </row>
    <row r="4830" spans="9:16">
      <c r="I4830" s="23" t="str">
        <f>_xlfn.IFNA(VLOOKUP(A4830,A$3524:$H4831,8,0),"")</f>
        <v/>
      </c>
      <c r="J4830" s="40" t="str">
        <f t="shared" si="384"/>
        <v/>
      </c>
      <c r="K4830" s="24" t="str">
        <f t="shared" si="385"/>
        <v/>
      </c>
      <c r="L4830" s="25" t="str">
        <f t="shared" si="381"/>
        <v/>
      </c>
      <c r="O4830" s="33" t="str">
        <f t="shared" si="382"/>
        <v/>
      </c>
      <c r="P4830" s="33" t="str">
        <f t="shared" si="383"/>
        <v/>
      </c>
    </row>
    <row r="4831" spans="9:16">
      <c r="I4831" s="23" t="str">
        <f>_xlfn.IFNA(VLOOKUP(A4831,A$3524:$H4832,8,0),"")</f>
        <v/>
      </c>
      <c r="J4831" s="40" t="str">
        <f t="shared" si="384"/>
        <v/>
      </c>
      <c r="K4831" s="24" t="str">
        <f t="shared" si="385"/>
        <v/>
      </c>
      <c r="L4831" s="25" t="str">
        <f t="shared" si="381"/>
        <v/>
      </c>
      <c r="O4831" s="33" t="str">
        <f t="shared" si="382"/>
        <v/>
      </c>
      <c r="P4831" s="33" t="str">
        <f t="shared" si="383"/>
        <v/>
      </c>
    </row>
    <row r="4832" spans="9:16">
      <c r="I4832" s="23" t="str">
        <f>_xlfn.IFNA(VLOOKUP(A4832,A$3524:$H4833,8,0),"")</f>
        <v/>
      </c>
      <c r="J4832" s="40" t="str">
        <f t="shared" si="384"/>
        <v/>
      </c>
      <c r="K4832" s="24" t="str">
        <f t="shared" si="385"/>
        <v/>
      </c>
      <c r="L4832" s="25" t="str">
        <f t="shared" si="381"/>
        <v/>
      </c>
      <c r="O4832" s="33" t="str">
        <f t="shared" si="382"/>
        <v/>
      </c>
      <c r="P4832" s="33" t="str">
        <f t="shared" si="383"/>
        <v/>
      </c>
    </row>
    <row r="4833" spans="9:16">
      <c r="I4833" s="23" t="str">
        <f>_xlfn.IFNA(VLOOKUP(A4833,A$3524:$H4834,8,0),"")</f>
        <v/>
      </c>
      <c r="J4833" s="40" t="str">
        <f t="shared" si="384"/>
        <v/>
      </c>
      <c r="K4833" s="24" t="str">
        <f t="shared" si="385"/>
        <v/>
      </c>
      <c r="L4833" s="25" t="str">
        <f t="shared" si="381"/>
        <v/>
      </c>
      <c r="O4833" s="33" t="str">
        <f t="shared" si="382"/>
        <v/>
      </c>
      <c r="P4833" s="33" t="str">
        <f t="shared" si="383"/>
        <v/>
      </c>
    </row>
    <row r="4834" spans="9:16">
      <c r="I4834" s="23" t="str">
        <f>_xlfn.IFNA(VLOOKUP(A4834,A$3524:$H4835,8,0),"")</f>
        <v/>
      </c>
      <c r="J4834" s="40" t="str">
        <f t="shared" si="384"/>
        <v/>
      </c>
      <c r="K4834" s="24" t="str">
        <f t="shared" si="385"/>
        <v/>
      </c>
      <c r="L4834" s="25" t="str">
        <f t="shared" si="381"/>
        <v/>
      </c>
      <c r="O4834" s="33" t="str">
        <f t="shared" si="382"/>
        <v/>
      </c>
      <c r="P4834" s="33" t="str">
        <f t="shared" si="383"/>
        <v/>
      </c>
    </row>
    <row r="4835" spans="9:16">
      <c r="I4835" s="23" t="str">
        <f>_xlfn.IFNA(VLOOKUP(A4835,A$3524:$H4836,8,0),"")</f>
        <v/>
      </c>
      <c r="J4835" s="40" t="str">
        <f t="shared" si="384"/>
        <v/>
      </c>
      <c r="K4835" s="24" t="str">
        <f t="shared" si="385"/>
        <v/>
      </c>
      <c r="L4835" s="25" t="str">
        <f t="shared" si="381"/>
        <v/>
      </c>
      <c r="O4835" s="33" t="str">
        <f t="shared" si="382"/>
        <v/>
      </c>
      <c r="P4835" s="33" t="str">
        <f t="shared" si="383"/>
        <v/>
      </c>
    </row>
    <row r="4836" spans="9:16">
      <c r="I4836" s="23" t="str">
        <f>_xlfn.IFNA(VLOOKUP(A4836,A$3524:$H4837,8,0),"")</f>
        <v/>
      </c>
      <c r="J4836" s="40" t="str">
        <f t="shared" si="384"/>
        <v/>
      </c>
      <c r="K4836" s="24" t="str">
        <f t="shared" si="385"/>
        <v/>
      </c>
      <c r="L4836" s="25" t="str">
        <f t="shared" si="381"/>
        <v/>
      </c>
      <c r="O4836" s="33" t="str">
        <f t="shared" si="382"/>
        <v/>
      </c>
      <c r="P4836" s="33" t="str">
        <f t="shared" si="383"/>
        <v/>
      </c>
    </row>
    <row r="4837" spans="9:16">
      <c r="I4837" s="23" t="str">
        <f>_xlfn.IFNA(VLOOKUP(A4837,A$3524:$H4838,8,0),"")</f>
        <v/>
      </c>
      <c r="J4837" s="40" t="str">
        <f t="shared" si="384"/>
        <v/>
      </c>
      <c r="K4837" s="24" t="str">
        <f t="shared" si="385"/>
        <v/>
      </c>
      <c r="L4837" s="25" t="str">
        <f t="shared" si="381"/>
        <v/>
      </c>
      <c r="O4837" s="33" t="str">
        <f t="shared" si="382"/>
        <v/>
      </c>
      <c r="P4837" s="33" t="str">
        <f t="shared" si="383"/>
        <v/>
      </c>
    </row>
    <row r="4838" spans="9:16">
      <c r="I4838" s="23" t="str">
        <f>_xlfn.IFNA(VLOOKUP(A4838,A$3524:$H4839,8,0),"")</f>
        <v/>
      </c>
      <c r="J4838" s="40" t="str">
        <f t="shared" si="384"/>
        <v/>
      </c>
      <c r="K4838" s="24" t="str">
        <f t="shared" si="385"/>
        <v/>
      </c>
      <c r="L4838" s="25" t="str">
        <f t="shared" si="381"/>
        <v/>
      </c>
      <c r="O4838" s="33" t="str">
        <f t="shared" si="382"/>
        <v/>
      </c>
      <c r="P4838" s="33" t="str">
        <f t="shared" si="383"/>
        <v/>
      </c>
    </row>
    <row r="4839" spans="9:16">
      <c r="I4839" s="23" t="str">
        <f>_xlfn.IFNA(VLOOKUP(A4839,A$3524:$H4840,8,0),"")</f>
        <v/>
      </c>
      <c r="J4839" s="40" t="str">
        <f t="shared" si="384"/>
        <v/>
      </c>
      <c r="K4839" s="24" t="str">
        <f t="shared" si="385"/>
        <v/>
      </c>
      <c r="L4839" s="25" t="str">
        <f t="shared" si="381"/>
        <v/>
      </c>
      <c r="O4839" s="33" t="str">
        <f t="shared" si="382"/>
        <v/>
      </c>
      <c r="P4839" s="33" t="str">
        <f t="shared" si="383"/>
        <v/>
      </c>
    </row>
    <row r="4840" spans="9:16">
      <c r="I4840" s="23" t="str">
        <f>_xlfn.IFNA(VLOOKUP(A4840,A$3524:$H4841,8,0),"")</f>
        <v/>
      </c>
      <c r="J4840" s="40" t="str">
        <f t="shared" si="384"/>
        <v/>
      </c>
      <c r="K4840" s="24" t="str">
        <f t="shared" si="385"/>
        <v/>
      </c>
      <c r="L4840" s="25" t="str">
        <f t="shared" si="381"/>
        <v/>
      </c>
      <c r="O4840" s="33" t="str">
        <f t="shared" si="382"/>
        <v/>
      </c>
      <c r="P4840" s="33" t="str">
        <f t="shared" si="383"/>
        <v/>
      </c>
    </row>
    <row r="4841" spans="9:16">
      <c r="I4841" s="23" t="str">
        <f>_xlfn.IFNA(VLOOKUP(A4841,A$3524:$H4842,8,0),"")</f>
        <v/>
      </c>
      <c r="J4841" s="40" t="str">
        <f t="shared" si="384"/>
        <v/>
      </c>
      <c r="K4841" s="24" t="str">
        <f t="shared" si="385"/>
        <v/>
      </c>
      <c r="L4841" s="25" t="str">
        <f t="shared" si="381"/>
        <v/>
      </c>
      <c r="O4841" s="33" t="str">
        <f t="shared" si="382"/>
        <v/>
      </c>
      <c r="P4841" s="33" t="str">
        <f t="shared" si="383"/>
        <v/>
      </c>
    </row>
    <row r="4842" spans="9:16">
      <c r="I4842" s="23" t="str">
        <f>_xlfn.IFNA(VLOOKUP(A4842,A$3524:$H4843,8,0),"")</f>
        <v/>
      </c>
      <c r="J4842" s="40" t="str">
        <f t="shared" si="384"/>
        <v/>
      </c>
      <c r="K4842" s="24" t="str">
        <f t="shared" si="385"/>
        <v/>
      </c>
      <c r="L4842" s="25" t="str">
        <f t="shared" si="381"/>
        <v/>
      </c>
      <c r="O4842" s="33" t="str">
        <f t="shared" si="382"/>
        <v/>
      </c>
      <c r="P4842" s="33" t="str">
        <f t="shared" si="383"/>
        <v/>
      </c>
    </row>
    <row r="4843" spans="9:16">
      <c r="I4843" s="23" t="str">
        <f>_xlfn.IFNA(VLOOKUP(A4843,A$3524:$H4844,8,0),"")</f>
        <v/>
      </c>
      <c r="J4843" s="40" t="str">
        <f t="shared" si="384"/>
        <v/>
      </c>
      <c r="K4843" s="24" t="str">
        <f t="shared" si="385"/>
        <v/>
      </c>
      <c r="L4843" s="25" t="str">
        <f t="shared" si="381"/>
        <v/>
      </c>
      <c r="O4843" s="33" t="str">
        <f t="shared" si="382"/>
        <v/>
      </c>
      <c r="P4843" s="33" t="str">
        <f t="shared" si="383"/>
        <v/>
      </c>
    </row>
    <row r="4844" spans="9:16">
      <c r="I4844" s="23" t="str">
        <f>_xlfn.IFNA(VLOOKUP(A4844,A$3524:$H4845,8,0),"")</f>
        <v/>
      </c>
      <c r="J4844" s="40" t="str">
        <f t="shared" si="384"/>
        <v/>
      </c>
      <c r="K4844" s="24" t="str">
        <f t="shared" si="385"/>
        <v/>
      </c>
      <c r="L4844" s="25" t="str">
        <f t="shared" si="381"/>
        <v/>
      </c>
      <c r="O4844" s="33" t="str">
        <f t="shared" si="382"/>
        <v/>
      </c>
      <c r="P4844" s="33" t="str">
        <f t="shared" si="383"/>
        <v/>
      </c>
    </row>
    <row r="4845" spans="9:16">
      <c r="I4845" s="23" t="str">
        <f>_xlfn.IFNA(VLOOKUP(A4845,A$3524:$H4846,8,0),"")</f>
        <v/>
      </c>
      <c r="J4845" s="40" t="str">
        <f t="shared" si="384"/>
        <v/>
      </c>
      <c r="K4845" s="24" t="str">
        <f t="shared" si="385"/>
        <v/>
      </c>
      <c r="L4845" s="25" t="str">
        <f t="shared" si="381"/>
        <v/>
      </c>
      <c r="O4845" s="33" t="str">
        <f t="shared" si="382"/>
        <v/>
      </c>
      <c r="P4845" s="33" t="str">
        <f t="shared" si="383"/>
        <v/>
      </c>
    </row>
    <row r="4846" spans="9:16">
      <c r="I4846" s="23" t="str">
        <f>_xlfn.IFNA(VLOOKUP(A4846,A$3524:$H4847,8,0),"")</f>
        <v/>
      </c>
      <c r="J4846" s="40" t="str">
        <f t="shared" si="384"/>
        <v/>
      </c>
      <c r="K4846" s="24" t="str">
        <f t="shared" si="385"/>
        <v/>
      </c>
      <c r="L4846" s="25" t="str">
        <f t="shared" si="381"/>
        <v/>
      </c>
      <c r="O4846" s="33" t="str">
        <f t="shared" si="382"/>
        <v/>
      </c>
      <c r="P4846" s="33" t="str">
        <f t="shared" si="383"/>
        <v/>
      </c>
    </row>
    <row r="4847" spans="9:16">
      <c r="I4847" s="23" t="str">
        <f>_xlfn.IFNA(VLOOKUP(A4847,A$3524:$H4848,8,0),"")</f>
        <v/>
      </c>
      <c r="J4847" s="40" t="str">
        <f t="shared" si="384"/>
        <v/>
      </c>
      <c r="K4847" s="24" t="str">
        <f t="shared" si="385"/>
        <v/>
      </c>
      <c r="L4847" s="25" t="str">
        <f t="shared" si="381"/>
        <v/>
      </c>
      <c r="O4847" s="33" t="str">
        <f t="shared" si="382"/>
        <v/>
      </c>
      <c r="P4847" s="33" t="str">
        <f t="shared" si="383"/>
        <v/>
      </c>
    </row>
    <row r="4848" spans="9:16">
      <c r="I4848" s="23" t="str">
        <f>_xlfn.IFNA(VLOOKUP(A4848,A$3524:$H4849,8,0),"")</f>
        <v/>
      </c>
      <c r="J4848" s="40" t="str">
        <f t="shared" si="384"/>
        <v/>
      </c>
      <c r="K4848" s="24" t="str">
        <f t="shared" si="385"/>
        <v/>
      </c>
      <c r="L4848" s="25" t="str">
        <f t="shared" si="381"/>
        <v/>
      </c>
      <c r="O4848" s="33" t="str">
        <f t="shared" si="382"/>
        <v/>
      </c>
      <c r="P4848" s="33" t="str">
        <f t="shared" si="383"/>
        <v/>
      </c>
    </row>
    <row r="4849" spans="9:16">
      <c r="I4849" s="23" t="str">
        <f>_xlfn.IFNA(VLOOKUP(A4849,A$3524:$H4850,8,0),"")</f>
        <v/>
      </c>
      <c r="J4849" s="40" t="str">
        <f t="shared" si="384"/>
        <v/>
      </c>
      <c r="K4849" s="24" t="str">
        <f t="shared" si="385"/>
        <v/>
      </c>
      <c r="L4849" s="25" t="str">
        <f t="shared" si="381"/>
        <v/>
      </c>
      <c r="O4849" s="33" t="str">
        <f t="shared" si="382"/>
        <v/>
      </c>
      <c r="P4849" s="33" t="str">
        <f t="shared" si="383"/>
        <v/>
      </c>
    </row>
    <row r="4850" spans="9:16">
      <c r="I4850" s="23" t="str">
        <f>_xlfn.IFNA(VLOOKUP(A4850,A$3524:$H4851,8,0),"")</f>
        <v/>
      </c>
      <c r="J4850" s="40" t="str">
        <f t="shared" si="384"/>
        <v/>
      </c>
      <c r="K4850" s="24" t="str">
        <f t="shared" si="385"/>
        <v/>
      </c>
      <c r="L4850" s="25" t="str">
        <f t="shared" si="381"/>
        <v/>
      </c>
      <c r="O4850" s="33" t="str">
        <f t="shared" si="382"/>
        <v/>
      </c>
      <c r="P4850" s="33" t="str">
        <f t="shared" si="383"/>
        <v/>
      </c>
    </row>
    <row r="4851" spans="9:16">
      <c r="I4851" s="23" t="str">
        <f>_xlfn.IFNA(VLOOKUP(A4851,A$3524:$H4852,8,0),"")</f>
        <v/>
      </c>
      <c r="J4851" s="40" t="str">
        <f t="shared" si="384"/>
        <v/>
      </c>
      <c r="K4851" s="24" t="str">
        <f t="shared" si="385"/>
        <v/>
      </c>
      <c r="L4851" s="25" t="str">
        <f t="shared" si="381"/>
        <v/>
      </c>
      <c r="O4851" s="33" t="str">
        <f t="shared" si="382"/>
        <v/>
      </c>
      <c r="P4851" s="33" t="str">
        <f t="shared" si="383"/>
        <v/>
      </c>
    </row>
    <row r="4852" spans="9:16">
      <c r="I4852" s="23" t="str">
        <f>_xlfn.IFNA(VLOOKUP(A4852,A$3524:$H4853,8,0),"")</f>
        <v/>
      </c>
      <c r="J4852" s="40" t="str">
        <f t="shared" si="384"/>
        <v/>
      </c>
      <c r="K4852" s="24" t="str">
        <f t="shared" si="385"/>
        <v/>
      </c>
      <c r="L4852" s="25" t="str">
        <f t="shared" si="381"/>
        <v/>
      </c>
      <c r="O4852" s="33" t="str">
        <f t="shared" si="382"/>
        <v/>
      </c>
      <c r="P4852" s="33" t="str">
        <f t="shared" si="383"/>
        <v/>
      </c>
    </row>
    <row r="4853" spans="9:16">
      <c r="I4853" s="23" t="str">
        <f>_xlfn.IFNA(VLOOKUP(A4853,A$3524:$H4854,8,0),"")</f>
        <v/>
      </c>
      <c r="J4853" s="40" t="str">
        <f t="shared" si="384"/>
        <v/>
      </c>
      <c r="K4853" s="24" t="str">
        <f t="shared" si="385"/>
        <v/>
      </c>
      <c r="L4853" s="25" t="str">
        <f t="shared" si="381"/>
        <v/>
      </c>
      <c r="O4853" s="33" t="str">
        <f t="shared" si="382"/>
        <v/>
      </c>
      <c r="P4853" s="33" t="str">
        <f t="shared" si="383"/>
        <v/>
      </c>
    </row>
    <row r="4854" spans="9:16">
      <c r="I4854" s="23" t="str">
        <f>_xlfn.IFNA(VLOOKUP(A4854,A$3524:$H4855,8,0),"")</f>
        <v/>
      </c>
      <c r="J4854" s="40" t="str">
        <f t="shared" si="384"/>
        <v/>
      </c>
      <c r="K4854" s="24" t="str">
        <f t="shared" si="385"/>
        <v/>
      </c>
      <c r="L4854" s="25" t="str">
        <f t="shared" si="381"/>
        <v/>
      </c>
      <c r="O4854" s="33" t="str">
        <f t="shared" si="382"/>
        <v/>
      </c>
      <c r="P4854" s="33" t="str">
        <f t="shared" si="383"/>
        <v/>
      </c>
    </row>
    <row r="4855" spans="9:16">
      <c r="I4855" s="23" t="str">
        <f>_xlfn.IFNA(VLOOKUP(A4855,A$3524:$H4856,8,0),"")</f>
        <v/>
      </c>
      <c r="J4855" s="40" t="str">
        <f t="shared" si="384"/>
        <v/>
      </c>
      <c r="K4855" s="24" t="str">
        <f t="shared" si="385"/>
        <v/>
      </c>
      <c r="L4855" s="25" t="str">
        <f t="shared" ref="L4855:L4918" si="386">IF(K4855="","",IF(B4855="Break","Break",IF(K4855&lt;&gt;0,"Work Finished",IF(B4855="OFF","Work Finished",IF(I4855="","Working","Work Finished")))))</f>
        <v/>
      </c>
      <c r="O4855" s="33" t="str">
        <f t="shared" ref="O4855:O4918" si="387">IF(AND(J4855="",M4855="",N4855=""),"",J4855-M4855-N4855)</f>
        <v/>
      </c>
      <c r="P4855" s="33" t="str">
        <f t="shared" ref="P4855:P4918" si="388">IF(HOUR(H4855)=0,"",HOUR(H4855))</f>
        <v/>
      </c>
    </row>
    <row r="4856" spans="9:16">
      <c r="I4856" s="23" t="str">
        <f>_xlfn.IFNA(VLOOKUP(A4856,A$3524:$H4857,8,0),"")</f>
        <v/>
      </c>
      <c r="J4856" s="40" t="str">
        <f t="shared" si="384"/>
        <v/>
      </c>
      <c r="K4856" s="24" t="str">
        <f t="shared" si="385"/>
        <v/>
      </c>
      <c r="L4856" s="25" t="str">
        <f t="shared" si="386"/>
        <v/>
      </c>
      <c r="O4856" s="33" t="str">
        <f t="shared" si="387"/>
        <v/>
      </c>
      <c r="P4856" s="33" t="str">
        <f t="shared" si="388"/>
        <v/>
      </c>
    </row>
    <row r="4857" spans="9:16">
      <c r="I4857" s="23" t="str">
        <f>_xlfn.IFNA(VLOOKUP(A4857,A$3524:$H4858,8,0),"")</f>
        <v/>
      </c>
      <c r="J4857" s="40" t="str">
        <f t="shared" si="384"/>
        <v/>
      </c>
      <c r="K4857" s="24" t="str">
        <f t="shared" si="385"/>
        <v/>
      </c>
      <c r="L4857" s="25" t="str">
        <f t="shared" si="386"/>
        <v/>
      </c>
      <c r="O4857" s="33" t="str">
        <f t="shared" si="387"/>
        <v/>
      </c>
      <c r="P4857" s="33" t="str">
        <f t="shared" si="388"/>
        <v/>
      </c>
    </row>
    <row r="4858" spans="9:16">
      <c r="I4858" s="23" t="str">
        <f>_xlfn.IFNA(VLOOKUP(A4858,A$3524:$H4859,8,0),"")</f>
        <v/>
      </c>
      <c r="J4858" s="40" t="str">
        <f t="shared" si="384"/>
        <v/>
      </c>
      <c r="K4858" s="24" t="str">
        <f t="shared" si="385"/>
        <v/>
      </c>
      <c r="L4858" s="25" t="str">
        <f t="shared" si="386"/>
        <v/>
      </c>
      <c r="O4858" s="33" t="str">
        <f t="shared" si="387"/>
        <v/>
      </c>
      <c r="P4858" s="33" t="str">
        <f t="shared" si="388"/>
        <v/>
      </c>
    </row>
    <row r="4859" spans="9:16">
      <c r="I4859" s="23" t="str">
        <f>_xlfn.IFNA(VLOOKUP(A4859,A$3524:$H4860,8,0),"")</f>
        <v/>
      </c>
      <c r="J4859" s="40" t="str">
        <f t="shared" si="384"/>
        <v/>
      </c>
      <c r="K4859" s="24" t="str">
        <f t="shared" si="385"/>
        <v/>
      </c>
      <c r="L4859" s="25" t="str">
        <f t="shared" si="386"/>
        <v/>
      </c>
      <c r="O4859" s="33" t="str">
        <f t="shared" si="387"/>
        <v/>
      </c>
      <c r="P4859" s="33" t="str">
        <f t="shared" si="388"/>
        <v/>
      </c>
    </row>
    <row r="4860" spans="9:16">
      <c r="I4860" s="23" t="str">
        <f>_xlfn.IFNA(VLOOKUP(A4860,A$3524:$H4861,8,0),"")</f>
        <v/>
      </c>
      <c r="J4860" s="40" t="str">
        <f t="shared" si="384"/>
        <v/>
      </c>
      <c r="K4860" s="24" t="str">
        <f t="shared" si="385"/>
        <v/>
      </c>
      <c r="L4860" s="25" t="str">
        <f t="shared" si="386"/>
        <v/>
      </c>
      <c r="O4860" s="33" t="str">
        <f t="shared" si="387"/>
        <v/>
      </c>
      <c r="P4860" s="33" t="str">
        <f t="shared" si="388"/>
        <v/>
      </c>
    </row>
    <row r="4861" spans="9:16">
      <c r="I4861" s="23" t="str">
        <f>_xlfn.IFNA(VLOOKUP(A4861,A$3524:$H4862,8,0),"")</f>
        <v/>
      </c>
      <c r="J4861" s="40" t="str">
        <f t="shared" si="384"/>
        <v/>
      </c>
      <c r="K4861" s="24" t="str">
        <f t="shared" si="385"/>
        <v/>
      </c>
      <c r="L4861" s="25" t="str">
        <f t="shared" si="386"/>
        <v/>
      </c>
      <c r="O4861" s="33" t="str">
        <f t="shared" si="387"/>
        <v/>
      </c>
      <c r="P4861" s="33" t="str">
        <f t="shared" si="388"/>
        <v/>
      </c>
    </row>
    <row r="4862" spans="9:16">
      <c r="I4862" s="23" t="str">
        <f>_xlfn.IFNA(VLOOKUP(A4862,A$3524:$H4863,8,0),"")</f>
        <v/>
      </c>
      <c r="J4862" s="40" t="str">
        <f t="shared" si="384"/>
        <v/>
      </c>
      <c r="K4862" s="24" t="str">
        <f t="shared" si="385"/>
        <v/>
      </c>
      <c r="L4862" s="25" t="str">
        <f t="shared" si="386"/>
        <v/>
      </c>
      <c r="O4862" s="33" t="str">
        <f t="shared" si="387"/>
        <v/>
      </c>
      <c r="P4862" s="33" t="str">
        <f t="shared" si="388"/>
        <v/>
      </c>
    </row>
    <row r="4863" spans="9:16">
      <c r="I4863" s="23" t="str">
        <f>_xlfn.IFNA(VLOOKUP(A4863,A$3524:$H4864,8,0),"")</f>
        <v/>
      </c>
      <c r="J4863" s="40" t="str">
        <f t="shared" si="384"/>
        <v/>
      </c>
      <c r="K4863" s="24" t="str">
        <f t="shared" si="385"/>
        <v/>
      </c>
      <c r="L4863" s="25" t="str">
        <f t="shared" si="386"/>
        <v/>
      </c>
      <c r="O4863" s="33" t="str">
        <f t="shared" si="387"/>
        <v/>
      </c>
      <c r="P4863" s="33" t="str">
        <f t="shared" si="388"/>
        <v/>
      </c>
    </row>
    <row r="4864" spans="9:16">
      <c r="I4864" s="23" t="str">
        <f>_xlfn.IFNA(VLOOKUP(A4864,A$3524:$H4865,8,0),"")</f>
        <v/>
      </c>
      <c r="J4864" s="40" t="str">
        <f t="shared" si="384"/>
        <v/>
      </c>
      <c r="K4864" s="24" t="str">
        <f t="shared" si="385"/>
        <v/>
      </c>
      <c r="L4864" s="25" t="str">
        <f t="shared" si="386"/>
        <v/>
      </c>
      <c r="O4864" s="33" t="str">
        <f t="shared" si="387"/>
        <v/>
      </c>
      <c r="P4864" s="33" t="str">
        <f t="shared" si="388"/>
        <v/>
      </c>
    </row>
    <row r="4865" spans="9:16">
      <c r="I4865" s="23" t="str">
        <f>_xlfn.IFNA(VLOOKUP(A4865,A$3524:$H4866,8,0),"")</f>
        <v/>
      </c>
      <c r="J4865" s="40" t="str">
        <f t="shared" si="384"/>
        <v/>
      </c>
      <c r="K4865" s="24" t="str">
        <f t="shared" si="385"/>
        <v/>
      </c>
      <c r="L4865" s="25" t="str">
        <f t="shared" si="386"/>
        <v/>
      </c>
      <c r="O4865" s="33" t="str">
        <f t="shared" si="387"/>
        <v/>
      </c>
      <c r="P4865" s="33" t="str">
        <f t="shared" si="388"/>
        <v/>
      </c>
    </row>
    <row r="4866" spans="9:16">
      <c r="I4866" s="23" t="str">
        <f>_xlfn.IFNA(VLOOKUP(A4866,A$3524:$H4867,8,0),"")</f>
        <v/>
      </c>
      <c r="J4866" s="40" t="str">
        <f t="shared" si="384"/>
        <v/>
      </c>
      <c r="K4866" s="24" t="str">
        <f t="shared" si="385"/>
        <v/>
      </c>
      <c r="L4866" s="25" t="str">
        <f t="shared" si="386"/>
        <v/>
      </c>
      <c r="O4866" s="33" t="str">
        <f t="shared" si="387"/>
        <v/>
      </c>
      <c r="P4866" s="33" t="str">
        <f t="shared" si="388"/>
        <v/>
      </c>
    </row>
    <row r="4867" spans="9:16">
      <c r="I4867" s="23" t="str">
        <f>_xlfn.IFNA(VLOOKUP(A4867,A$3524:$H4868,8,0),"")</f>
        <v/>
      </c>
      <c r="J4867" s="40" t="str">
        <f t="shared" si="384"/>
        <v/>
      </c>
      <c r="K4867" s="24" t="str">
        <f t="shared" si="385"/>
        <v/>
      </c>
      <c r="L4867" s="25" t="str">
        <f t="shared" si="386"/>
        <v/>
      </c>
      <c r="O4867" s="33" t="str">
        <f t="shared" si="387"/>
        <v/>
      </c>
      <c r="P4867" s="33" t="str">
        <f t="shared" si="388"/>
        <v/>
      </c>
    </row>
    <row r="4868" spans="9:16">
      <c r="I4868" s="23" t="str">
        <f>_xlfn.IFNA(VLOOKUP(A4868,A$3524:$H4869,8,0),"")</f>
        <v/>
      </c>
      <c r="J4868" s="40" t="str">
        <f t="shared" si="384"/>
        <v/>
      </c>
      <c r="K4868" s="24" t="str">
        <f t="shared" si="385"/>
        <v/>
      </c>
      <c r="L4868" s="25" t="str">
        <f t="shared" si="386"/>
        <v/>
      </c>
      <c r="O4868" s="33" t="str">
        <f t="shared" si="387"/>
        <v/>
      </c>
      <c r="P4868" s="33" t="str">
        <f t="shared" si="388"/>
        <v/>
      </c>
    </row>
    <row r="4869" spans="9:16">
      <c r="I4869" s="23" t="str">
        <f>_xlfn.IFNA(VLOOKUP(A4869,A$3524:$H4870,8,0),"")</f>
        <v/>
      </c>
      <c r="J4869" s="40" t="str">
        <f t="shared" si="384"/>
        <v/>
      </c>
      <c r="K4869" s="24" t="str">
        <f t="shared" si="385"/>
        <v/>
      </c>
      <c r="L4869" s="25" t="str">
        <f t="shared" si="386"/>
        <v/>
      </c>
      <c r="O4869" s="33" t="str">
        <f t="shared" si="387"/>
        <v/>
      </c>
      <c r="P4869" s="33" t="str">
        <f t="shared" si="388"/>
        <v/>
      </c>
    </row>
    <row r="4870" spans="9:16">
      <c r="I4870" s="23" t="str">
        <f>_xlfn.IFNA(VLOOKUP(A4870,A$3524:$H4871,8,0),"")</f>
        <v/>
      </c>
      <c r="J4870" s="40" t="str">
        <f t="shared" ref="J4870:J4933" si="389">IF(B4870="OFF",0,IF(AND(D4870&lt;&gt;"",E4870&lt;&gt;""),E4870-D4870+1,""))</f>
        <v/>
      </c>
      <c r="K4870" s="24" t="str">
        <f t="shared" si="385"/>
        <v/>
      </c>
      <c r="L4870" s="25" t="str">
        <f t="shared" si="386"/>
        <v/>
      </c>
      <c r="O4870" s="33" t="str">
        <f t="shared" si="387"/>
        <v/>
      </c>
      <c r="P4870" s="33" t="str">
        <f t="shared" si="388"/>
        <v/>
      </c>
    </row>
    <row r="4871" spans="9:16">
      <c r="I4871" s="23" t="str">
        <f>_xlfn.IFNA(VLOOKUP(A4871,A$3524:$H4872,8,0),"")</f>
        <v/>
      </c>
      <c r="J4871" s="40" t="str">
        <f t="shared" si="389"/>
        <v/>
      </c>
      <c r="K4871" s="24" t="str">
        <f t="shared" si="385"/>
        <v/>
      </c>
      <c r="L4871" s="25" t="str">
        <f t="shared" si="386"/>
        <v/>
      </c>
      <c r="O4871" s="33" t="str">
        <f t="shared" si="387"/>
        <v/>
      </c>
      <c r="P4871" s="33" t="str">
        <f t="shared" si="388"/>
        <v/>
      </c>
    </row>
    <row r="4872" spans="9:16">
      <c r="I4872" s="23" t="str">
        <f>_xlfn.IFNA(VLOOKUP(A4872,A$3524:$H4873,8,0),"")</f>
        <v/>
      </c>
      <c r="J4872" s="40" t="str">
        <f t="shared" si="389"/>
        <v/>
      </c>
      <c r="K4872" s="24" t="str">
        <f t="shared" si="385"/>
        <v/>
      </c>
      <c r="L4872" s="25" t="str">
        <f t="shared" si="386"/>
        <v/>
      </c>
      <c r="O4872" s="33" t="str">
        <f t="shared" si="387"/>
        <v/>
      </c>
      <c r="P4872" s="33" t="str">
        <f t="shared" si="388"/>
        <v/>
      </c>
    </row>
    <row r="4873" spans="9:16">
      <c r="I4873" s="23" t="str">
        <f>_xlfn.IFNA(VLOOKUP(A4873,A$3524:$H4874,8,0),"")</f>
        <v/>
      </c>
      <c r="J4873" s="40" t="str">
        <f t="shared" si="389"/>
        <v/>
      </c>
      <c r="K4873" s="24" t="str">
        <f t="shared" si="385"/>
        <v/>
      </c>
      <c r="L4873" s="25" t="str">
        <f t="shared" si="386"/>
        <v/>
      </c>
      <c r="O4873" s="33" t="str">
        <f t="shared" si="387"/>
        <v/>
      </c>
      <c r="P4873" s="33" t="str">
        <f t="shared" si="388"/>
        <v/>
      </c>
    </row>
    <row r="4874" spans="9:16">
      <c r="I4874" s="23" t="str">
        <f>_xlfn.IFNA(VLOOKUP(A4874,A$3524:$H4875,8,0),"")</f>
        <v/>
      </c>
      <c r="J4874" s="40" t="str">
        <f t="shared" si="389"/>
        <v/>
      </c>
      <c r="K4874" s="24" t="str">
        <f t="shared" si="385"/>
        <v/>
      </c>
      <c r="L4874" s="25" t="str">
        <f t="shared" si="386"/>
        <v/>
      </c>
      <c r="O4874" s="33" t="str">
        <f t="shared" si="387"/>
        <v/>
      </c>
      <c r="P4874" s="33" t="str">
        <f t="shared" si="388"/>
        <v/>
      </c>
    </row>
    <row r="4875" spans="9:16">
      <c r="I4875" s="23" t="str">
        <f>_xlfn.IFNA(VLOOKUP(A4875,A$3524:$H4876,8,0),"")</f>
        <v/>
      </c>
      <c r="J4875" s="40" t="str">
        <f t="shared" si="389"/>
        <v/>
      </c>
      <c r="K4875" s="24" t="str">
        <f t="shared" si="385"/>
        <v/>
      </c>
      <c r="L4875" s="25" t="str">
        <f t="shared" si="386"/>
        <v/>
      </c>
      <c r="O4875" s="33" t="str">
        <f t="shared" si="387"/>
        <v/>
      </c>
      <c r="P4875" s="33" t="str">
        <f t="shared" si="388"/>
        <v/>
      </c>
    </row>
    <row r="4876" spans="9:16">
      <c r="I4876" s="23" t="str">
        <f>_xlfn.IFNA(VLOOKUP(A4876,A$3524:$H4877,8,0),"")</f>
        <v/>
      </c>
      <c r="J4876" s="40" t="str">
        <f t="shared" si="389"/>
        <v/>
      </c>
      <c r="K4876" s="24" t="str">
        <f t="shared" si="385"/>
        <v/>
      </c>
      <c r="L4876" s="25" t="str">
        <f t="shared" si="386"/>
        <v/>
      </c>
      <c r="O4876" s="33" t="str">
        <f t="shared" si="387"/>
        <v/>
      </c>
      <c r="P4876" s="33" t="str">
        <f t="shared" si="388"/>
        <v/>
      </c>
    </row>
    <row r="4877" spans="9:16">
      <c r="I4877" s="23" t="str">
        <f>_xlfn.IFNA(VLOOKUP(A4877,A$3524:$H4878,8,0),"")</f>
        <v/>
      </c>
      <c r="J4877" s="40" t="str">
        <f t="shared" si="389"/>
        <v/>
      </c>
      <c r="K4877" s="24" t="str">
        <f t="shared" si="385"/>
        <v/>
      </c>
      <c r="L4877" s="25" t="str">
        <f t="shared" si="386"/>
        <v/>
      </c>
      <c r="O4877" s="33" t="str">
        <f t="shared" si="387"/>
        <v/>
      </c>
      <c r="P4877" s="33" t="str">
        <f t="shared" si="388"/>
        <v/>
      </c>
    </row>
    <row r="4878" spans="9:16">
      <c r="I4878" s="23" t="str">
        <f>_xlfn.IFNA(VLOOKUP(A4878,A$3524:$H4879,8,0),"")</f>
        <v/>
      </c>
      <c r="J4878" s="40" t="str">
        <f t="shared" si="389"/>
        <v/>
      </c>
      <c r="K4878" s="24" t="str">
        <f t="shared" si="385"/>
        <v/>
      </c>
      <c r="L4878" s="25" t="str">
        <f t="shared" si="386"/>
        <v/>
      </c>
      <c r="O4878" s="33" t="str">
        <f t="shared" si="387"/>
        <v/>
      </c>
      <c r="P4878" s="33" t="str">
        <f t="shared" si="388"/>
        <v/>
      </c>
    </row>
    <row r="4879" spans="9:16">
      <c r="I4879" s="23" t="str">
        <f>_xlfn.IFNA(VLOOKUP(A4879,A$3524:$H4880,8,0),"")</f>
        <v/>
      </c>
      <c r="J4879" s="40" t="str">
        <f t="shared" si="389"/>
        <v/>
      </c>
      <c r="K4879" s="24" t="str">
        <f t="shared" si="385"/>
        <v/>
      </c>
      <c r="L4879" s="25" t="str">
        <f t="shared" si="386"/>
        <v/>
      </c>
      <c r="O4879" s="33" t="str">
        <f t="shared" si="387"/>
        <v/>
      </c>
      <c r="P4879" s="33" t="str">
        <f t="shared" si="388"/>
        <v/>
      </c>
    </row>
    <row r="4880" spans="9:16">
      <c r="I4880" s="23" t="str">
        <f>_xlfn.IFNA(VLOOKUP(A4880,A$3524:$H4881,8,0),"")</f>
        <v/>
      </c>
      <c r="J4880" s="40" t="str">
        <f t="shared" si="389"/>
        <v/>
      </c>
      <c r="K4880" s="24" t="str">
        <f t="shared" si="385"/>
        <v/>
      </c>
      <c r="L4880" s="25" t="str">
        <f t="shared" si="386"/>
        <v/>
      </c>
      <c r="O4880" s="33" t="str">
        <f t="shared" si="387"/>
        <v/>
      </c>
      <c r="P4880" s="33" t="str">
        <f t="shared" si="388"/>
        <v/>
      </c>
    </row>
    <row r="4881" spans="9:16">
      <c r="I4881" s="23" t="str">
        <f>_xlfn.IFNA(VLOOKUP(A4881,A$3524:$H4882,8,0),"")</f>
        <v/>
      </c>
      <c r="J4881" s="40" t="str">
        <f t="shared" si="389"/>
        <v/>
      </c>
      <c r="K4881" s="24" t="str">
        <f t="shared" si="385"/>
        <v/>
      </c>
      <c r="L4881" s="25" t="str">
        <f t="shared" si="386"/>
        <v/>
      </c>
      <c r="O4881" s="33" t="str">
        <f t="shared" si="387"/>
        <v/>
      </c>
      <c r="P4881" s="33" t="str">
        <f t="shared" si="388"/>
        <v/>
      </c>
    </row>
    <row r="4882" spans="9:16">
      <c r="I4882" s="23" t="str">
        <f>_xlfn.IFNA(VLOOKUP(A4882,A$3524:$H4883,8,0),"")</f>
        <v/>
      </c>
      <c r="J4882" s="40" t="str">
        <f t="shared" si="389"/>
        <v/>
      </c>
      <c r="K4882" s="24" t="str">
        <f t="shared" si="385"/>
        <v/>
      </c>
      <c r="L4882" s="25" t="str">
        <f t="shared" si="386"/>
        <v/>
      </c>
      <c r="O4882" s="33" t="str">
        <f t="shared" si="387"/>
        <v/>
      </c>
      <c r="P4882" s="33" t="str">
        <f t="shared" si="388"/>
        <v/>
      </c>
    </row>
    <row r="4883" spans="9:16">
      <c r="I4883" s="23" t="str">
        <f>_xlfn.IFNA(VLOOKUP(A4883,A$3524:$H4884,8,0),"")</f>
        <v/>
      </c>
      <c r="J4883" s="40" t="str">
        <f t="shared" si="389"/>
        <v/>
      </c>
      <c r="K4883" s="24" t="str">
        <f t="shared" si="385"/>
        <v/>
      </c>
      <c r="L4883" s="25" t="str">
        <f t="shared" si="386"/>
        <v/>
      </c>
      <c r="O4883" s="33" t="str">
        <f t="shared" si="387"/>
        <v/>
      </c>
      <c r="P4883" s="33" t="str">
        <f t="shared" si="388"/>
        <v/>
      </c>
    </row>
    <row r="4884" spans="9:16">
      <c r="I4884" s="23" t="str">
        <f>_xlfn.IFNA(VLOOKUP(A4884,A$3524:$H4885,8,0),"")</f>
        <v/>
      </c>
      <c r="J4884" s="40" t="str">
        <f t="shared" si="389"/>
        <v/>
      </c>
      <c r="K4884" s="24" t="str">
        <f t="shared" si="385"/>
        <v/>
      </c>
      <c r="L4884" s="25" t="str">
        <f t="shared" si="386"/>
        <v/>
      </c>
      <c r="O4884" s="33" t="str">
        <f t="shared" si="387"/>
        <v/>
      </c>
      <c r="P4884" s="33" t="str">
        <f t="shared" si="388"/>
        <v/>
      </c>
    </row>
    <row r="4885" spans="9:16">
      <c r="I4885" s="23" t="str">
        <f>_xlfn.IFNA(VLOOKUP(A4885,A$3524:$H4886,8,0),"")</f>
        <v/>
      </c>
      <c r="J4885" s="40" t="str">
        <f t="shared" si="389"/>
        <v/>
      </c>
      <c r="K4885" s="24" t="str">
        <f t="shared" si="385"/>
        <v/>
      </c>
      <c r="L4885" s="25" t="str">
        <f t="shared" si="386"/>
        <v/>
      </c>
      <c r="O4885" s="33" t="str">
        <f t="shared" si="387"/>
        <v/>
      </c>
      <c r="P4885" s="33" t="str">
        <f t="shared" si="388"/>
        <v/>
      </c>
    </row>
    <row r="4886" spans="9:16">
      <c r="I4886" s="23" t="str">
        <f>_xlfn.IFNA(VLOOKUP(A4886,A$3524:$H4887,8,0),"")</f>
        <v/>
      </c>
      <c r="J4886" s="40" t="str">
        <f t="shared" si="389"/>
        <v/>
      </c>
      <c r="K4886" s="24" t="str">
        <f t="shared" ref="K4886:K4949" si="390">IF(H4886="","",IFERROR((I4886-H4886)*24,0))</f>
        <v/>
      </c>
      <c r="L4886" s="25" t="str">
        <f t="shared" si="386"/>
        <v/>
      </c>
      <c r="O4886" s="33" t="str">
        <f t="shared" si="387"/>
        <v/>
      </c>
      <c r="P4886" s="33" t="str">
        <f t="shared" si="388"/>
        <v/>
      </c>
    </row>
    <row r="4887" spans="9:16">
      <c r="I4887" s="23" t="str">
        <f>_xlfn.IFNA(VLOOKUP(A4887,A$3524:$H4888,8,0),"")</f>
        <v/>
      </c>
      <c r="J4887" s="40" t="str">
        <f t="shared" si="389"/>
        <v/>
      </c>
      <c r="K4887" s="24" t="str">
        <f t="shared" si="390"/>
        <v/>
      </c>
      <c r="L4887" s="25" t="str">
        <f t="shared" si="386"/>
        <v/>
      </c>
      <c r="O4887" s="33" t="str">
        <f t="shared" si="387"/>
        <v/>
      </c>
      <c r="P4887" s="33" t="str">
        <f t="shared" si="388"/>
        <v/>
      </c>
    </row>
    <row r="4888" spans="9:16">
      <c r="I4888" s="23" t="str">
        <f>_xlfn.IFNA(VLOOKUP(A4888,A$3524:$H4889,8,0),"")</f>
        <v/>
      </c>
      <c r="J4888" s="40" t="str">
        <f t="shared" si="389"/>
        <v/>
      </c>
      <c r="K4888" s="24" t="str">
        <f t="shared" si="390"/>
        <v/>
      </c>
      <c r="L4888" s="25" t="str">
        <f t="shared" si="386"/>
        <v/>
      </c>
      <c r="O4888" s="33" t="str">
        <f t="shared" si="387"/>
        <v/>
      </c>
      <c r="P4888" s="33" t="str">
        <f t="shared" si="388"/>
        <v/>
      </c>
    </row>
    <row r="4889" spans="9:16">
      <c r="I4889" s="23" t="str">
        <f>_xlfn.IFNA(VLOOKUP(A4889,A$3524:$H4890,8,0),"")</f>
        <v/>
      </c>
      <c r="J4889" s="40" t="str">
        <f t="shared" si="389"/>
        <v/>
      </c>
      <c r="K4889" s="24" t="str">
        <f t="shared" si="390"/>
        <v/>
      </c>
      <c r="L4889" s="25" t="str">
        <f t="shared" si="386"/>
        <v/>
      </c>
      <c r="O4889" s="33" t="str">
        <f t="shared" si="387"/>
        <v/>
      </c>
      <c r="P4889" s="33" t="str">
        <f t="shared" si="388"/>
        <v/>
      </c>
    </row>
    <row r="4890" spans="9:16">
      <c r="I4890" s="23" t="str">
        <f>_xlfn.IFNA(VLOOKUP(A4890,A$3524:$H4891,8,0),"")</f>
        <v/>
      </c>
      <c r="J4890" s="40" t="str">
        <f t="shared" si="389"/>
        <v/>
      </c>
      <c r="K4890" s="24" t="str">
        <f t="shared" si="390"/>
        <v/>
      </c>
      <c r="L4890" s="25" t="str">
        <f t="shared" si="386"/>
        <v/>
      </c>
      <c r="O4890" s="33" t="str">
        <f t="shared" si="387"/>
        <v/>
      </c>
      <c r="P4890" s="33" t="str">
        <f t="shared" si="388"/>
        <v/>
      </c>
    </row>
    <row r="4891" spans="9:16">
      <c r="I4891" s="23" t="str">
        <f>_xlfn.IFNA(VLOOKUP(A4891,A$3524:$H4892,8,0),"")</f>
        <v/>
      </c>
      <c r="J4891" s="40" t="str">
        <f t="shared" si="389"/>
        <v/>
      </c>
      <c r="K4891" s="24" t="str">
        <f t="shared" si="390"/>
        <v/>
      </c>
      <c r="L4891" s="25" t="str">
        <f t="shared" si="386"/>
        <v/>
      </c>
      <c r="O4891" s="33" t="str">
        <f t="shared" si="387"/>
        <v/>
      </c>
      <c r="P4891" s="33" t="str">
        <f t="shared" si="388"/>
        <v/>
      </c>
    </row>
    <row r="4892" spans="9:16">
      <c r="I4892" s="23" t="str">
        <f>_xlfn.IFNA(VLOOKUP(A4892,A$3524:$H4893,8,0),"")</f>
        <v/>
      </c>
      <c r="J4892" s="40" t="str">
        <f t="shared" si="389"/>
        <v/>
      </c>
      <c r="K4892" s="24" t="str">
        <f t="shared" si="390"/>
        <v/>
      </c>
      <c r="L4892" s="25" t="str">
        <f t="shared" si="386"/>
        <v/>
      </c>
      <c r="O4892" s="33" t="str">
        <f t="shared" si="387"/>
        <v/>
      </c>
      <c r="P4892" s="33" t="str">
        <f t="shared" si="388"/>
        <v/>
      </c>
    </row>
    <row r="4893" spans="9:16">
      <c r="I4893" s="23" t="str">
        <f>_xlfn.IFNA(VLOOKUP(A4893,A$3524:$H4894,8,0),"")</f>
        <v/>
      </c>
      <c r="J4893" s="40" t="str">
        <f t="shared" si="389"/>
        <v/>
      </c>
      <c r="K4893" s="24" t="str">
        <f t="shared" si="390"/>
        <v/>
      </c>
      <c r="L4893" s="25" t="str">
        <f t="shared" si="386"/>
        <v/>
      </c>
      <c r="O4893" s="33" t="str">
        <f t="shared" si="387"/>
        <v/>
      </c>
      <c r="P4893" s="33" t="str">
        <f t="shared" si="388"/>
        <v/>
      </c>
    </row>
    <row r="4894" spans="9:16">
      <c r="I4894" s="23" t="str">
        <f>_xlfn.IFNA(VLOOKUP(A4894,A$3524:$H4895,8,0),"")</f>
        <v/>
      </c>
      <c r="J4894" s="40" t="str">
        <f t="shared" si="389"/>
        <v/>
      </c>
      <c r="K4894" s="24" t="str">
        <f t="shared" si="390"/>
        <v/>
      </c>
      <c r="L4894" s="25" t="str">
        <f t="shared" si="386"/>
        <v/>
      </c>
      <c r="O4894" s="33" t="str">
        <f t="shared" si="387"/>
        <v/>
      </c>
      <c r="P4894" s="33" t="str">
        <f t="shared" si="388"/>
        <v/>
      </c>
    </row>
    <row r="4895" spans="9:16">
      <c r="I4895" s="23" t="str">
        <f>_xlfn.IFNA(VLOOKUP(A4895,A$3524:$H4896,8,0),"")</f>
        <v/>
      </c>
      <c r="J4895" s="40" t="str">
        <f t="shared" si="389"/>
        <v/>
      </c>
      <c r="K4895" s="24" t="str">
        <f t="shared" si="390"/>
        <v/>
      </c>
      <c r="L4895" s="25" t="str">
        <f t="shared" si="386"/>
        <v/>
      </c>
      <c r="O4895" s="33" t="str">
        <f t="shared" si="387"/>
        <v/>
      </c>
      <c r="P4895" s="33" t="str">
        <f t="shared" si="388"/>
        <v/>
      </c>
    </row>
    <row r="4896" spans="9:16">
      <c r="I4896" s="23" t="str">
        <f>_xlfn.IFNA(VLOOKUP(A4896,A$3524:$H4897,8,0),"")</f>
        <v/>
      </c>
      <c r="J4896" s="40" t="str">
        <f t="shared" si="389"/>
        <v/>
      </c>
      <c r="K4896" s="24" t="str">
        <f t="shared" si="390"/>
        <v/>
      </c>
      <c r="L4896" s="25" t="str">
        <f t="shared" si="386"/>
        <v/>
      </c>
      <c r="O4896" s="33" t="str">
        <f t="shared" si="387"/>
        <v/>
      </c>
      <c r="P4896" s="33" t="str">
        <f t="shared" si="388"/>
        <v/>
      </c>
    </row>
    <row r="4897" spans="9:16">
      <c r="I4897" s="23" t="str">
        <f>_xlfn.IFNA(VLOOKUP(A4897,A$3524:$H4898,8,0),"")</f>
        <v/>
      </c>
      <c r="J4897" s="40" t="str">
        <f t="shared" si="389"/>
        <v/>
      </c>
      <c r="K4897" s="24" t="str">
        <f t="shared" si="390"/>
        <v/>
      </c>
      <c r="L4897" s="25" t="str">
        <f t="shared" si="386"/>
        <v/>
      </c>
      <c r="O4897" s="33" t="str">
        <f t="shared" si="387"/>
        <v/>
      </c>
      <c r="P4897" s="33" t="str">
        <f t="shared" si="388"/>
        <v/>
      </c>
    </row>
    <row r="4898" spans="9:16">
      <c r="I4898" s="23" t="str">
        <f>_xlfn.IFNA(VLOOKUP(A4898,A$3524:$H4899,8,0),"")</f>
        <v/>
      </c>
      <c r="J4898" s="40" t="str">
        <f t="shared" si="389"/>
        <v/>
      </c>
      <c r="K4898" s="24" t="str">
        <f t="shared" si="390"/>
        <v/>
      </c>
      <c r="L4898" s="25" t="str">
        <f t="shared" si="386"/>
        <v/>
      </c>
      <c r="O4898" s="33" t="str">
        <f t="shared" si="387"/>
        <v/>
      </c>
      <c r="P4898" s="33" t="str">
        <f t="shared" si="388"/>
        <v/>
      </c>
    </row>
    <row r="4899" spans="9:16">
      <c r="I4899" s="23" t="str">
        <f>_xlfn.IFNA(VLOOKUP(A4899,A$3524:$H4900,8,0),"")</f>
        <v/>
      </c>
      <c r="J4899" s="40" t="str">
        <f t="shared" si="389"/>
        <v/>
      </c>
      <c r="K4899" s="24" t="str">
        <f t="shared" si="390"/>
        <v/>
      </c>
      <c r="L4899" s="25" t="str">
        <f t="shared" si="386"/>
        <v/>
      </c>
      <c r="O4899" s="33" t="str">
        <f t="shared" si="387"/>
        <v/>
      </c>
      <c r="P4899" s="33" t="str">
        <f t="shared" si="388"/>
        <v/>
      </c>
    </row>
    <row r="4900" spans="9:16">
      <c r="I4900" s="23" t="str">
        <f>_xlfn.IFNA(VLOOKUP(A4900,A$3524:$H4901,8,0),"")</f>
        <v/>
      </c>
      <c r="J4900" s="40" t="str">
        <f t="shared" si="389"/>
        <v/>
      </c>
      <c r="K4900" s="24" t="str">
        <f t="shared" si="390"/>
        <v/>
      </c>
      <c r="L4900" s="25" t="str">
        <f t="shared" si="386"/>
        <v/>
      </c>
      <c r="O4900" s="33" t="str">
        <f t="shared" si="387"/>
        <v/>
      </c>
      <c r="P4900" s="33" t="str">
        <f t="shared" si="388"/>
        <v/>
      </c>
    </row>
    <row r="4901" spans="9:16">
      <c r="I4901" s="23" t="str">
        <f>_xlfn.IFNA(VLOOKUP(A4901,A$3524:$H4902,8,0),"")</f>
        <v/>
      </c>
      <c r="J4901" s="40" t="str">
        <f t="shared" si="389"/>
        <v/>
      </c>
      <c r="K4901" s="24" t="str">
        <f t="shared" si="390"/>
        <v/>
      </c>
      <c r="L4901" s="25" t="str">
        <f t="shared" si="386"/>
        <v/>
      </c>
      <c r="O4901" s="33" t="str">
        <f t="shared" si="387"/>
        <v/>
      </c>
      <c r="P4901" s="33" t="str">
        <f t="shared" si="388"/>
        <v/>
      </c>
    </row>
    <row r="4902" spans="9:16">
      <c r="I4902" s="23" t="str">
        <f>_xlfn.IFNA(VLOOKUP(A4902,A$3524:$H4903,8,0),"")</f>
        <v/>
      </c>
      <c r="J4902" s="40" t="str">
        <f t="shared" si="389"/>
        <v/>
      </c>
      <c r="K4902" s="24" t="str">
        <f t="shared" si="390"/>
        <v/>
      </c>
      <c r="L4902" s="25" t="str">
        <f t="shared" si="386"/>
        <v/>
      </c>
      <c r="O4902" s="33" t="str">
        <f t="shared" si="387"/>
        <v/>
      </c>
      <c r="P4902" s="33" t="str">
        <f t="shared" si="388"/>
        <v/>
      </c>
    </row>
    <row r="4903" spans="9:16">
      <c r="I4903" s="23" t="str">
        <f>_xlfn.IFNA(VLOOKUP(A4903,A$3524:$H4904,8,0),"")</f>
        <v/>
      </c>
      <c r="J4903" s="40" t="str">
        <f t="shared" si="389"/>
        <v/>
      </c>
      <c r="K4903" s="24" t="str">
        <f t="shared" si="390"/>
        <v/>
      </c>
      <c r="L4903" s="25" t="str">
        <f t="shared" si="386"/>
        <v/>
      </c>
      <c r="O4903" s="33" t="str">
        <f t="shared" si="387"/>
        <v/>
      </c>
      <c r="P4903" s="33" t="str">
        <f t="shared" si="388"/>
        <v/>
      </c>
    </row>
    <row r="4904" spans="9:16">
      <c r="I4904" s="23" t="str">
        <f>_xlfn.IFNA(VLOOKUP(A4904,A$3524:$H4905,8,0),"")</f>
        <v/>
      </c>
      <c r="J4904" s="40" t="str">
        <f t="shared" si="389"/>
        <v/>
      </c>
      <c r="K4904" s="24" t="str">
        <f t="shared" si="390"/>
        <v/>
      </c>
      <c r="L4904" s="25" t="str">
        <f t="shared" si="386"/>
        <v/>
      </c>
      <c r="O4904" s="33" t="str">
        <f t="shared" si="387"/>
        <v/>
      </c>
      <c r="P4904" s="33" t="str">
        <f t="shared" si="388"/>
        <v/>
      </c>
    </row>
    <row r="4905" spans="9:16">
      <c r="I4905" s="23" t="str">
        <f>_xlfn.IFNA(VLOOKUP(A4905,A$3524:$H4906,8,0),"")</f>
        <v/>
      </c>
      <c r="J4905" s="40" t="str">
        <f t="shared" si="389"/>
        <v/>
      </c>
      <c r="K4905" s="24" t="str">
        <f t="shared" si="390"/>
        <v/>
      </c>
      <c r="L4905" s="25" t="str">
        <f t="shared" si="386"/>
        <v/>
      </c>
      <c r="O4905" s="33" t="str">
        <f t="shared" si="387"/>
        <v/>
      </c>
      <c r="P4905" s="33" t="str">
        <f t="shared" si="388"/>
        <v/>
      </c>
    </row>
    <row r="4906" spans="9:16">
      <c r="I4906" s="23" t="str">
        <f>_xlfn.IFNA(VLOOKUP(A4906,A$3524:$H4907,8,0),"")</f>
        <v/>
      </c>
      <c r="J4906" s="40" t="str">
        <f t="shared" si="389"/>
        <v/>
      </c>
      <c r="K4906" s="24" t="str">
        <f t="shared" si="390"/>
        <v/>
      </c>
      <c r="L4906" s="25" t="str">
        <f t="shared" si="386"/>
        <v/>
      </c>
      <c r="O4906" s="33" t="str">
        <f t="shared" si="387"/>
        <v/>
      </c>
      <c r="P4906" s="33" t="str">
        <f t="shared" si="388"/>
        <v/>
      </c>
    </row>
    <row r="4907" spans="9:16">
      <c r="I4907" s="23" t="str">
        <f>_xlfn.IFNA(VLOOKUP(A4907,A$3524:$H4908,8,0),"")</f>
        <v/>
      </c>
      <c r="J4907" s="40" t="str">
        <f t="shared" si="389"/>
        <v/>
      </c>
      <c r="K4907" s="24" t="str">
        <f t="shared" si="390"/>
        <v/>
      </c>
      <c r="L4907" s="25" t="str">
        <f t="shared" si="386"/>
        <v/>
      </c>
      <c r="O4907" s="33" t="str">
        <f t="shared" si="387"/>
        <v/>
      </c>
      <c r="P4907" s="33" t="str">
        <f t="shared" si="388"/>
        <v/>
      </c>
    </row>
    <row r="4908" spans="9:16">
      <c r="I4908" s="23" t="str">
        <f>_xlfn.IFNA(VLOOKUP(A4908,A$3524:$H4909,8,0),"")</f>
        <v/>
      </c>
      <c r="J4908" s="40" t="str">
        <f t="shared" si="389"/>
        <v/>
      </c>
      <c r="K4908" s="24" t="str">
        <f t="shared" si="390"/>
        <v/>
      </c>
      <c r="L4908" s="25" t="str">
        <f t="shared" si="386"/>
        <v/>
      </c>
      <c r="O4908" s="33" t="str">
        <f t="shared" si="387"/>
        <v/>
      </c>
      <c r="P4908" s="33" t="str">
        <f t="shared" si="388"/>
        <v/>
      </c>
    </row>
    <row r="4909" spans="9:16">
      <c r="I4909" s="23" t="str">
        <f>_xlfn.IFNA(VLOOKUP(A4909,A$3524:$H4910,8,0),"")</f>
        <v/>
      </c>
      <c r="J4909" s="40" t="str">
        <f t="shared" si="389"/>
        <v/>
      </c>
      <c r="K4909" s="24" t="str">
        <f t="shared" si="390"/>
        <v/>
      </c>
      <c r="L4909" s="25" t="str">
        <f t="shared" si="386"/>
        <v/>
      </c>
      <c r="O4909" s="33" t="str">
        <f t="shared" si="387"/>
        <v/>
      </c>
      <c r="P4909" s="33" t="str">
        <f t="shared" si="388"/>
        <v/>
      </c>
    </row>
    <row r="4910" spans="9:16">
      <c r="I4910" s="23" t="str">
        <f>_xlfn.IFNA(VLOOKUP(A4910,A$3524:$H4911,8,0),"")</f>
        <v/>
      </c>
      <c r="J4910" s="40" t="str">
        <f t="shared" si="389"/>
        <v/>
      </c>
      <c r="K4910" s="24" t="str">
        <f t="shared" si="390"/>
        <v/>
      </c>
      <c r="L4910" s="25" t="str">
        <f t="shared" si="386"/>
        <v/>
      </c>
      <c r="O4910" s="33" t="str">
        <f t="shared" si="387"/>
        <v/>
      </c>
      <c r="P4910" s="33" t="str">
        <f t="shared" si="388"/>
        <v/>
      </c>
    </row>
    <row r="4911" spans="9:16">
      <c r="I4911" s="23" t="str">
        <f>_xlfn.IFNA(VLOOKUP(A4911,A$3524:$H4912,8,0),"")</f>
        <v/>
      </c>
      <c r="J4911" s="40" t="str">
        <f t="shared" si="389"/>
        <v/>
      </c>
      <c r="K4911" s="24" t="str">
        <f t="shared" si="390"/>
        <v/>
      </c>
      <c r="L4911" s="25" t="str">
        <f t="shared" si="386"/>
        <v/>
      </c>
      <c r="O4911" s="33" t="str">
        <f t="shared" si="387"/>
        <v/>
      </c>
      <c r="P4911" s="33" t="str">
        <f t="shared" si="388"/>
        <v/>
      </c>
    </row>
    <row r="4912" spans="9:16">
      <c r="I4912" s="23" t="str">
        <f>_xlfn.IFNA(VLOOKUP(A4912,A$3524:$H4913,8,0),"")</f>
        <v/>
      </c>
      <c r="J4912" s="40" t="str">
        <f t="shared" si="389"/>
        <v/>
      </c>
      <c r="K4912" s="24" t="str">
        <f t="shared" si="390"/>
        <v/>
      </c>
      <c r="L4912" s="25" t="str">
        <f t="shared" si="386"/>
        <v/>
      </c>
      <c r="O4912" s="33" t="str">
        <f t="shared" si="387"/>
        <v/>
      </c>
      <c r="P4912" s="33" t="str">
        <f t="shared" si="388"/>
        <v/>
      </c>
    </row>
    <row r="4913" spans="9:16">
      <c r="I4913" s="23" t="str">
        <f>_xlfn.IFNA(VLOOKUP(A4913,A$3524:$H4914,8,0),"")</f>
        <v/>
      </c>
      <c r="J4913" s="40" t="str">
        <f t="shared" si="389"/>
        <v/>
      </c>
      <c r="K4913" s="24" t="str">
        <f t="shared" si="390"/>
        <v/>
      </c>
      <c r="L4913" s="25" t="str">
        <f t="shared" si="386"/>
        <v/>
      </c>
      <c r="O4913" s="33" t="str">
        <f t="shared" si="387"/>
        <v/>
      </c>
      <c r="P4913" s="33" t="str">
        <f t="shared" si="388"/>
        <v/>
      </c>
    </row>
    <row r="4914" spans="9:16">
      <c r="I4914" s="23" t="str">
        <f>_xlfn.IFNA(VLOOKUP(A4914,A$3524:$H4915,8,0),"")</f>
        <v/>
      </c>
      <c r="J4914" s="40" t="str">
        <f t="shared" si="389"/>
        <v/>
      </c>
      <c r="K4914" s="24" t="str">
        <f t="shared" si="390"/>
        <v/>
      </c>
      <c r="L4914" s="25" t="str">
        <f t="shared" si="386"/>
        <v/>
      </c>
      <c r="O4914" s="33" t="str">
        <f t="shared" si="387"/>
        <v/>
      </c>
      <c r="P4914" s="33" t="str">
        <f t="shared" si="388"/>
        <v/>
      </c>
    </row>
    <row r="4915" spans="9:16">
      <c r="I4915" s="23" t="str">
        <f>_xlfn.IFNA(VLOOKUP(A4915,A$3524:$H4916,8,0),"")</f>
        <v/>
      </c>
      <c r="J4915" s="40" t="str">
        <f t="shared" si="389"/>
        <v/>
      </c>
      <c r="K4915" s="24" t="str">
        <f t="shared" si="390"/>
        <v/>
      </c>
      <c r="L4915" s="25" t="str">
        <f t="shared" si="386"/>
        <v/>
      </c>
      <c r="O4915" s="33" t="str">
        <f t="shared" si="387"/>
        <v/>
      </c>
      <c r="P4915" s="33" t="str">
        <f t="shared" si="388"/>
        <v/>
      </c>
    </row>
    <row r="4916" spans="9:16">
      <c r="I4916" s="23" t="str">
        <f>_xlfn.IFNA(VLOOKUP(A4916,A$3524:$H4917,8,0),"")</f>
        <v/>
      </c>
      <c r="J4916" s="40" t="str">
        <f t="shared" si="389"/>
        <v/>
      </c>
      <c r="K4916" s="24" t="str">
        <f t="shared" si="390"/>
        <v/>
      </c>
      <c r="L4916" s="25" t="str">
        <f t="shared" si="386"/>
        <v/>
      </c>
      <c r="O4916" s="33" t="str">
        <f t="shared" si="387"/>
        <v/>
      </c>
      <c r="P4916" s="33" t="str">
        <f t="shared" si="388"/>
        <v/>
      </c>
    </row>
    <row r="4917" spans="9:16">
      <c r="I4917" s="23" t="str">
        <f>_xlfn.IFNA(VLOOKUP(A4917,A$3524:$H4918,8,0),"")</f>
        <v/>
      </c>
      <c r="J4917" s="40" t="str">
        <f t="shared" si="389"/>
        <v/>
      </c>
      <c r="K4917" s="24" t="str">
        <f t="shared" si="390"/>
        <v/>
      </c>
      <c r="L4917" s="25" t="str">
        <f t="shared" si="386"/>
        <v/>
      </c>
      <c r="O4917" s="33" t="str">
        <f t="shared" si="387"/>
        <v/>
      </c>
      <c r="P4917" s="33" t="str">
        <f t="shared" si="388"/>
        <v/>
      </c>
    </row>
    <row r="4918" spans="9:16">
      <c r="I4918" s="23" t="str">
        <f>_xlfn.IFNA(VLOOKUP(A4918,A$3524:$H4919,8,0),"")</f>
        <v/>
      </c>
      <c r="J4918" s="40" t="str">
        <f t="shared" si="389"/>
        <v/>
      </c>
      <c r="K4918" s="24" t="str">
        <f t="shared" si="390"/>
        <v/>
      </c>
      <c r="L4918" s="25" t="str">
        <f t="shared" si="386"/>
        <v/>
      </c>
      <c r="O4918" s="33" t="str">
        <f t="shared" si="387"/>
        <v/>
      </c>
      <c r="P4918" s="33" t="str">
        <f t="shared" si="388"/>
        <v/>
      </c>
    </row>
    <row r="4919" spans="9:16">
      <c r="I4919" s="23" t="str">
        <f>_xlfn.IFNA(VLOOKUP(A4919,A$3524:$H4920,8,0),"")</f>
        <v/>
      </c>
      <c r="J4919" s="40" t="str">
        <f t="shared" si="389"/>
        <v/>
      </c>
      <c r="K4919" s="24" t="str">
        <f t="shared" si="390"/>
        <v/>
      </c>
      <c r="L4919" s="25" t="str">
        <f t="shared" ref="L4919:L4982" si="391">IF(K4919="","",IF(B4919="Break","Break",IF(K4919&lt;&gt;0,"Work Finished",IF(B4919="OFF","Work Finished",IF(I4919="","Working","Work Finished")))))</f>
        <v/>
      </c>
      <c r="O4919" s="33" t="str">
        <f t="shared" ref="O4919:O4982" si="392">IF(AND(J4919="",M4919="",N4919=""),"",J4919-M4919-N4919)</f>
        <v/>
      </c>
      <c r="P4919" s="33" t="str">
        <f t="shared" ref="P4919:P4982" si="393">IF(HOUR(H4919)=0,"",HOUR(H4919))</f>
        <v/>
      </c>
    </row>
    <row r="4920" spans="9:16">
      <c r="I4920" s="23" t="str">
        <f>_xlfn.IFNA(VLOOKUP(A4920,A$3524:$H4921,8,0),"")</f>
        <v/>
      </c>
      <c r="J4920" s="40" t="str">
        <f t="shared" si="389"/>
        <v/>
      </c>
      <c r="K4920" s="24" t="str">
        <f t="shared" si="390"/>
        <v/>
      </c>
      <c r="L4920" s="25" t="str">
        <f t="shared" si="391"/>
        <v/>
      </c>
      <c r="O4920" s="33" t="str">
        <f t="shared" si="392"/>
        <v/>
      </c>
      <c r="P4920" s="33" t="str">
        <f t="shared" si="393"/>
        <v/>
      </c>
    </row>
    <row r="4921" spans="9:16">
      <c r="I4921" s="23" t="str">
        <f>_xlfn.IFNA(VLOOKUP(A4921,A$3524:$H4922,8,0),"")</f>
        <v/>
      </c>
      <c r="J4921" s="40" t="str">
        <f t="shared" si="389"/>
        <v/>
      </c>
      <c r="K4921" s="24" t="str">
        <f t="shared" si="390"/>
        <v/>
      </c>
      <c r="L4921" s="25" t="str">
        <f t="shared" si="391"/>
        <v/>
      </c>
      <c r="O4921" s="33" t="str">
        <f t="shared" si="392"/>
        <v/>
      </c>
      <c r="P4921" s="33" t="str">
        <f t="shared" si="393"/>
        <v/>
      </c>
    </row>
    <row r="4922" spans="9:16">
      <c r="I4922" s="23" t="str">
        <f>_xlfn.IFNA(VLOOKUP(A4922,A$3524:$H4923,8,0),"")</f>
        <v/>
      </c>
      <c r="J4922" s="40" t="str">
        <f t="shared" si="389"/>
        <v/>
      </c>
      <c r="K4922" s="24" t="str">
        <f t="shared" si="390"/>
        <v/>
      </c>
      <c r="L4922" s="25" t="str">
        <f t="shared" si="391"/>
        <v/>
      </c>
      <c r="O4922" s="33" t="str">
        <f t="shared" si="392"/>
        <v/>
      </c>
      <c r="P4922" s="33" t="str">
        <f t="shared" si="393"/>
        <v/>
      </c>
    </row>
    <row r="4923" spans="9:16">
      <c r="I4923" s="23" t="str">
        <f>_xlfn.IFNA(VLOOKUP(A4923,A$3524:$H4924,8,0),"")</f>
        <v/>
      </c>
      <c r="J4923" s="40" t="str">
        <f t="shared" si="389"/>
        <v/>
      </c>
      <c r="K4923" s="24" t="str">
        <f t="shared" si="390"/>
        <v/>
      </c>
      <c r="L4923" s="25" t="str">
        <f t="shared" si="391"/>
        <v/>
      </c>
      <c r="O4923" s="33" t="str">
        <f t="shared" si="392"/>
        <v/>
      </c>
      <c r="P4923" s="33" t="str">
        <f t="shared" si="393"/>
        <v/>
      </c>
    </row>
    <row r="4924" spans="9:16">
      <c r="I4924" s="23" t="str">
        <f>_xlfn.IFNA(VLOOKUP(A4924,A$3524:$H4925,8,0),"")</f>
        <v/>
      </c>
      <c r="J4924" s="40" t="str">
        <f t="shared" si="389"/>
        <v/>
      </c>
      <c r="K4924" s="24" t="str">
        <f t="shared" si="390"/>
        <v/>
      </c>
      <c r="L4924" s="25" t="str">
        <f t="shared" si="391"/>
        <v/>
      </c>
      <c r="O4924" s="33" t="str">
        <f t="shared" si="392"/>
        <v/>
      </c>
      <c r="P4924" s="33" t="str">
        <f t="shared" si="393"/>
        <v/>
      </c>
    </row>
    <row r="4925" spans="9:16">
      <c r="I4925" s="23" t="str">
        <f>_xlfn.IFNA(VLOOKUP(A4925,A$3524:$H4926,8,0),"")</f>
        <v/>
      </c>
      <c r="J4925" s="40" t="str">
        <f t="shared" si="389"/>
        <v/>
      </c>
      <c r="K4925" s="24" t="str">
        <f t="shared" si="390"/>
        <v/>
      </c>
      <c r="L4925" s="25" t="str">
        <f t="shared" si="391"/>
        <v/>
      </c>
      <c r="O4925" s="33" t="str">
        <f t="shared" si="392"/>
        <v/>
      </c>
      <c r="P4925" s="33" t="str">
        <f t="shared" si="393"/>
        <v/>
      </c>
    </row>
    <row r="4926" spans="9:16">
      <c r="I4926" s="23" t="str">
        <f>_xlfn.IFNA(VLOOKUP(A4926,A$3524:$H4927,8,0),"")</f>
        <v/>
      </c>
      <c r="J4926" s="40" t="str">
        <f t="shared" si="389"/>
        <v/>
      </c>
      <c r="K4926" s="24" t="str">
        <f t="shared" si="390"/>
        <v/>
      </c>
      <c r="L4926" s="25" t="str">
        <f t="shared" si="391"/>
        <v/>
      </c>
      <c r="O4926" s="33" t="str">
        <f t="shared" si="392"/>
        <v/>
      </c>
      <c r="P4926" s="33" t="str">
        <f t="shared" si="393"/>
        <v/>
      </c>
    </row>
    <row r="4927" spans="9:16">
      <c r="I4927" s="23" t="str">
        <f>_xlfn.IFNA(VLOOKUP(A4927,A$3524:$H4928,8,0),"")</f>
        <v/>
      </c>
      <c r="J4927" s="40" t="str">
        <f t="shared" si="389"/>
        <v/>
      </c>
      <c r="K4927" s="24" t="str">
        <f t="shared" si="390"/>
        <v/>
      </c>
      <c r="L4927" s="25" t="str">
        <f t="shared" si="391"/>
        <v/>
      </c>
      <c r="O4927" s="33" t="str">
        <f t="shared" si="392"/>
        <v/>
      </c>
      <c r="P4927" s="33" t="str">
        <f t="shared" si="393"/>
        <v/>
      </c>
    </row>
    <row r="4928" spans="9:16">
      <c r="I4928" s="23" t="str">
        <f>_xlfn.IFNA(VLOOKUP(A4928,A$3524:$H4929,8,0),"")</f>
        <v/>
      </c>
      <c r="J4928" s="40" t="str">
        <f t="shared" si="389"/>
        <v/>
      </c>
      <c r="K4928" s="24" t="str">
        <f t="shared" si="390"/>
        <v/>
      </c>
      <c r="L4928" s="25" t="str">
        <f t="shared" si="391"/>
        <v/>
      </c>
      <c r="O4928" s="33" t="str">
        <f t="shared" si="392"/>
        <v/>
      </c>
      <c r="P4928" s="33" t="str">
        <f t="shared" si="393"/>
        <v/>
      </c>
    </row>
    <row r="4929" spans="9:16">
      <c r="I4929" s="23" t="str">
        <f>_xlfn.IFNA(VLOOKUP(A4929,A$3524:$H4930,8,0),"")</f>
        <v/>
      </c>
      <c r="J4929" s="40" t="str">
        <f t="shared" si="389"/>
        <v/>
      </c>
      <c r="K4929" s="24" t="str">
        <f t="shared" si="390"/>
        <v/>
      </c>
      <c r="L4929" s="25" t="str">
        <f t="shared" si="391"/>
        <v/>
      </c>
      <c r="O4929" s="33" t="str">
        <f t="shared" si="392"/>
        <v/>
      </c>
      <c r="P4929" s="33" t="str">
        <f t="shared" si="393"/>
        <v/>
      </c>
    </row>
    <row r="4930" spans="9:16">
      <c r="I4930" s="23" t="str">
        <f>_xlfn.IFNA(VLOOKUP(A4930,A$3524:$H4931,8,0),"")</f>
        <v/>
      </c>
      <c r="J4930" s="40" t="str">
        <f t="shared" si="389"/>
        <v/>
      </c>
      <c r="K4930" s="24" t="str">
        <f t="shared" si="390"/>
        <v/>
      </c>
      <c r="L4930" s="25" t="str">
        <f t="shared" si="391"/>
        <v/>
      </c>
      <c r="O4930" s="33" t="str">
        <f t="shared" si="392"/>
        <v/>
      </c>
      <c r="P4930" s="33" t="str">
        <f t="shared" si="393"/>
        <v/>
      </c>
    </row>
    <row r="4931" spans="9:16">
      <c r="I4931" s="23" t="str">
        <f>_xlfn.IFNA(VLOOKUP(A4931,A$3524:$H4932,8,0),"")</f>
        <v/>
      </c>
      <c r="J4931" s="40" t="str">
        <f t="shared" si="389"/>
        <v/>
      </c>
      <c r="K4931" s="24" t="str">
        <f t="shared" si="390"/>
        <v/>
      </c>
      <c r="L4931" s="25" t="str">
        <f t="shared" si="391"/>
        <v/>
      </c>
      <c r="O4931" s="33" t="str">
        <f t="shared" si="392"/>
        <v/>
      </c>
      <c r="P4931" s="33" t="str">
        <f t="shared" si="393"/>
        <v/>
      </c>
    </row>
    <row r="4932" spans="9:16">
      <c r="I4932" s="23" t="str">
        <f>_xlfn.IFNA(VLOOKUP(A4932,A$3524:$H4933,8,0),"")</f>
        <v/>
      </c>
      <c r="J4932" s="40" t="str">
        <f t="shared" si="389"/>
        <v/>
      </c>
      <c r="K4932" s="24" t="str">
        <f t="shared" si="390"/>
        <v/>
      </c>
      <c r="L4932" s="25" t="str">
        <f t="shared" si="391"/>
        <v/>
      </c>
      <c r="O4932" s="33" t="str">
        <f t="shared" si="392"/>
        <v/>
      </c>
      <c r="P4932" s="33" t="str">
        <f t="shared" si="393"/>
        <v/>
      </c>
    </row>
    <row r="4933" spans="9:16">
      <c r="I4933" s="23" t="str">
        <f>_xlfn.IFNA(VLOOKUP(A4933,A$3524:$H4934,8,0),"")</f>
        <v/>
      </c>
      <c r="J4933" s="40" t="str">
        <f t="shared" si="389"/>
        <v/>
      </c>
      <c r="K4933" s="24" t="str">
        <f t="shared" si="390"/>
        <v/>
      </c>
      <c r="L4933" s="25" t="str">
        <f t="shared" si="391"/>
        <v/>
      </c>
      <c r="O4933" s="33" t="str">
        <f t="shared" si="392"/>
        <v/>
      </c>
      <c r="P4933" s="33" t="str">
        <f t="shared" si="393"/>
        <v/>
      </c>
    </row>
    <row r="4934" spans="9:16">
      <c r="I4934" s="23" t="str">
        <f>_xlfn.IFNA(VLOOKUP(A4934,A$3524:$H4935,8,0),"")</f>
        <v/>
      </c>
      <c r="J4934" s="40" t="str">
        <f t="shared" ref="J4934:J4983" si="394">IF(B4934="OFF",0,IF(AND(D4934&lt;&gt;"",E4934&lt;&gt;""),E4934-D4934+1,""))</f>
        <v/>
      </c>
      <c r="K4934" s="24" t="str">
        <f t="shared" si="390"/>
        <v/>
      </c>
      <c r="L4934" s="25" t="str">
        <f t="shared" si="391"/>
        <v/>
      </c>
      <c r="O4934" s="33" t="str">
        <f t="shared" si="392"/>
        <v/>
      </c>
      <c r="P4934" s="33" t="str">
        <f t="shared" si="393"/>
        <v/>
      </c>
    </row>
    <row r="4935" spans="9:16">
      <c r="I4935" s="23" t="str">
        <f>_xlfn.IFNA(VLOOKUP(A4935,A$3524:$H4936,8,0),"")</f>
        <v/>
      </c>
      <c r="J4935" s="40" t="str">
        <f t="shared" si="394"/>
        <v/>
      </c>
      <c r="K4935" s="24" t="str">
        <f t="shared" si="390"/>
        <v/>
      </c>
      <c r="L4935" s="25" t="str">
        <f t="shared" si="391"/>
        <v/>
      </c>
      <c r="O4935" s="33" t="str">
        <f t="shared" si="392"/>
        <v/>
      </c>
      <c r="P4935" s="33" t="str">
        <f t="shared" si="393"/>
        <v/>
      </c>
    </row>
    <row r="4936" spans="9:16">
      <c r="I4936" s="23" t="str">
        <f>_xlfn.IFNA(VLOOKUP(A4936,A$3524:$H4937,8,0),"")</f>
        <v/>
      </c>
      <c r="J4936" s="40" t="str">
        <f t="shared" si="394"/>
        <v/>
      </c>
      <c r="K4936" s="24" t="str">
        <f t="shared" si="390"/>
        <v/>
      </c>
      <c r="L4936" s="25" t="str">
        <f t="shared" si="391"/>
        <v/>
      </c>
      <c r="O4936" s="33" t="str">
        <f t="shared" si="392"/>
        <v/>
      </c>
      <c r="P4936" s="33" t="str">
        <f t="shared" si="393"/>
        <v/>
      </c>
    </row>
    <row r="4937" spans="9:16">
      <c r="I4937" s="23" t="str">
        <f>_xlfn.IFNA(VLOOKUP(A4937,A$3524:$H4938,8,0),"")</f>
        <v/>
      </c>
      <c r="J4937" s="40" t="str">
        <f t="shared" si="394"/>
        <v/>
      </c>
      <c r="K4937" s="24" t="str">
        <f t="shared" si="390"/>
        <v/>
      </c>
      <c r="L4937" s="25" t="str">
        <f t="shared" si="391"/>
        <v/>
      </c>
      <c r="O4937" s="33" t="str">
        <f t="shared" si="392"/>
        <v/>
      </c>
      <c r="P4937" s="33" t="str">
        <f t="shared" si="393"/>
        <v/>
      </c>
    </row>
    <row r="4938" spans="9:16">
      <c r="I4938" s="23" t="str">
        <f>_xlfn.IFNA(VLOOKUP(A4938,A$3524:$H4939,8,0),"")</f>
        <v/>
      </c>
      <c r="J4938" s="40" t="str">
        <f t="shared" si="394"/>
        <v/>
      </c>
      <c r="K4938" s="24" t="str">
        <f t="shared" si="390"/>
        <v/>
      </c>
      <c r="L4938" s="25" t="str">
        <f t="shared" si="391"/>
        <v/>
      </c>
      <c r="O4938" s="33" t="str">
        <f t="shared" si="392"/>
        <v/>
      </c>
      <c r="P4938" s="33" t="str">
        <f t="shared" si="393"/>
        <v/>
      </c>
    </row>
    <row r="4939" spans="9:16">
      <c r="I4939" s="23" t="str">
        <f>_xlfn.IFNA(VLOOKUP(A4939,A$3524:$H4940,8,0),"")</f>
        <v/>
      </c>
      <c r="J4939" s="40" t="str">
        <f t="shared" si="394"/>
        <v/>
      </c>
      <c r="K4939" s="24" t="str">
        <f t="shared" si="390"/>
        <v/>
      </c>
      <c r="L4939" s="25" t="str">
        <f t="shared" si="391"/>
        <v/>
      </c>
      <c r="O4939" s="33" t="str">
        <f t="shared" si="392"/>
        <v/>
      </c>
      <c r="P4939" s="33" t="str">
        <f t="shared" si="393"/>
        <v/>
      </c>
    </row>
    <row r="4940" spans="9:16">
      <c r="I4940" s="23" t="str">
        <f>_xlfn.IFNA(VLOOKUP(A4940,A$3524:$H4941,8,0),"")</f>
        <v/>
      </c>
      <c r="J4940" s="40" t="str">
        <f t="shared" si="394"/>
        <v/>
      </c>
      <c r="K4940" s="24" t="str">
        <f t="shared" si="390"/>
        <v/>
      </c>
      <c r="L4940" s="25" t="str">
        <f t="shared" si="391"/>
        <v/>
      </c>
      <c r="O4940" s="33" t="str">
        <f t="shared" si="392"/>
        <v/>
      </c>
      <c r="P4940" s="33" t="str">
        <f t="shared" si="393"/>
        <v/>
      </c>
    </row>
    <row r="4941" spans="9:16">
      <c r="I4941" s="23" t="str">
        <f>_xlfn.IFNA(VLOOKUP(A4941,A$3524:$H4942,8,0),"")</f>
        <v/>
      </c>
      <c r="J4941" s="40" t="str">
        <f t="shared" si="394"/>
        <v/>
      </c>
      <c r="K4941" s="24" t="str">
        <f t="shared" si="390"/>
        <v/>
      </c>
      <c r="L4941" s="25" t="str">
        <f t="shared" si="391"/>
        <v/>
      </c>
      <c r="O4941" s="33" t="str">
        <f t="shared" si="392"/>
        <v/>
      </c>
      <c r="P4941" s="33" t="str">
        <f t="shared" si="393"/>
        <v/>
      </c>
    </row>
    <row r="4942" spans="9:16">
      <c r="I4942" s="23" t="str">
        <f>_xlfn.IFNA(VLOOKUP(A4942,A$3524:$H4943,8,0),"")</f>
        <v/>
      </c>
      <c r="J4942" s="40" t="str">
        <f t="shared" si="394"/>
        <v/>
      </c>
      <c r="K4942" s="24" t="str">
        <f t="shared" si="390"/>
        <v/>
      </c>
      <c r="L4942" s="25" t="str">
        <f t="shared" si="391"/>
        <v/>
      </c>
      <c r="O4942" s="33" t="str">
        <f t="shared" si="392"/>
        <v/>
      </c>
      <c r="P4942" s="33" t="str">
        <f t="shared" si="393"/>
        <v/>
      </c>
    </row>
    <row r="4943" spans="9:16">
      <c r="I4943" s="23" t="str">
        <f>_xlfn.IFNA(VLOOKUP(A4943,A$3524:$H4944,8,0),"")</f>
        <v/>
      </c>
      <c r="J4943" s="40" t="str">
        <f t="shared" si="394"/>
        <v/>
      </c>
      <c r="K4943" s="24" t="str">
        <f t="shared" si="390"/>
        <v/>
      </c>
      <c r="L4943" s="25" t="str">
        <f t="shared" si="391"/>
        <v/>
      </c>
      <c r="O4943" s="33" t="str">
        <f t="shared" si="392"/>
        <v/>
      </c>
      <c r="P4943" s="33" t="str">
        <f t="shared" si="393"/>
        <v/>
      </c>
    </row>
    <row r="4944" spans="9:16">
      <c r="I4944" s="23" t="str">
        <f>_xlfn.IFNA(VLOOKUP(A4944,A$3524:$H4945,8,0),"")</f>
        <v/>
      </c>
      <c r="J4944" s="40" t="str">
        <f t="shared" si="394"/>
        <v/>
      </c>
      <c r="K4944" s="24" t="str">
        <f t="shared" si="390"/>
        <v/>
      </c>
      <c r="L4944" s="25" t="str">
        <f t="shared" si="391"/>
        <v/>
      </c>
      <c r="O4944" s="33" t="str">
        <f t="shared" si="392"/>
        <v/>
      </c>
      <c r="P4944" s="33" t="str">
        <f t="shared" si="393"/>
        <v/>
      </c>
    </row>
    <row r="4945" spans="9:16">
      <c r="I4945" s="23" t="str">
        <f>_xlfn.IFNA(VLOOKUP(A4945,A$3524:$H4946,8,0),"")</f>
        <v/>
      </c>
      <c r="J4945" s="40" t="str">
        <f t="shared" si="394"/>
        <v/>
      </c>
      <c r="K4945" s="24" t="str">
        <f t="shared" si="390"/>
        <v/>
      </c>
      <c r="L4945" s="25" t="str">
        <f t="shared" si="391"/>
        <v/>
      </c>
      <c r="O4945" s="33" t="str">
        <f t="shared" si="392"/>
        <v/>
      </c>
      <c r="P4945" s="33" t="str">
        <f t="shared" si="393"/>
        <v/>
      </c>
    </row>
    <row r="4946" spans="9:16">
      <c r="I4946" s="23" t="str">
        <f>_xlfn.IFNA(VLOOKUP(A4946,A$3524:$H4947,8,0),"")</f>
        <v/>
      </c>
      <c r="J4946" s="40" t="str">
        <f t="shared" si="394"/>
        <v/>
      </c>
      <c r="K4946" s="24" t="str">
        <f t="shared" si="390"/>
        <v/>
      </c>
      <c r="L4946" s="25" t="str">
        <f t="shared" si="391"/>
        <v/>
      </c>
      <c r="O4946" s="33" t="str">
        <f t="shared" si="392"/>
        <v/>
      </c>
      <c r="P4946" s="33" t="str">
        <f t="shared" si="393"/>
        <v/>
      </c>
    </row>
    <row r="4947" spans="9:16">
      <c r="I4947" s="23" t="str">
        <f>_xlfn.IFNA(VLOOKUP(A4947,A$3524:$H4948,8,0),"")</f>
        <v/>
      </c>
      <c r="J4947" s="40" t="str">
        <f t="shared" si="394"/>
        <v/>
      </c>
      <c r="K4947" s="24" t="str">
        <f t="shared" si="390"/>
        <v/>
      </c>
      <c r="L4947" s="25" t="str">
        <f t="shared" si="391"/>
        <v/>
      </c>
      <c r="O4947" s="33" t="str">
        <f t="shared" si="392"/>
        <v/>
      </c>
      <c r="P4947" s="33" t="str">
        <f t="shared" si="393"/>
        <v/>
      </c>
    </row>
    <row r="4948" spans="9:16">
      <c r="I4948" s="23" t="str">
        <f>_xlfn.IFNA(VLOOKUP(A4948,A$3524:$H4949,8,0),"")</f>
        <v/>
      </c>
      <c r="J4948" s="40" t="str">
        <f t="shared" si="394"/>
        <v/>
      </c>
      <c r="K4948" s="24" t="str">
        <f t="shared" si="390"/>
        <v/>
      </c>
      <c r="L4948" s="25" t="str">
        <f t="shared" si="391"/>
        <v/>
      </c>
      <c r="O4948" s="33" t="str">
        <f t="shared" si="392"/>
        <v/>
      </c>
      <c r="P4948" s="33" t="str">
        <f t="shared" si="393"/>
        <v/>
      </c>
    </row>
    <row r="4949" spans="9:16">
      <c r="I4949" s="23" t="str">
        <f>_xlfn.IFNA(VLOOKUP(A4949,A$3524:$H4950,8,0),"")</f>
        <v/>
      </c>
      <c r="J4949" s="40" t="str">
        <f t="shared" si="394"/>
        <v/>
      </c>
      <c r="K4949" s="24" t="str">
        <f t="shared" si="390"/>
        <v/>
      </c>
      <c r="L4949" s="25" t="str">
        <f t="shared" si="391"/>
        <v/>
      </c>
      <c r="O4949" s="33" t="str">
        <f t="shared" si="392"/>
        <v/>
      </c>
      <c r="P4949" s="33" t="str">
        <f t="shared" si="393"/>
        <v/>
      </c>
    </row>
    <row r="4950" spans="9:16">
      <c r="I4950" s="23" t="str">
        <f>_xlfn.IFNA(VLOOKUP(A4950,A$3524:$H4951,8,0),"")</f>
        <v/>
      </c>
      <c r="J4950" s="40" t="str">
        <f t="shared" si="394"/>
        <v/>
      </c>
      <c r="K4950" s="24" t="str">
        <f t="shared" ref="K4950:K4983" si="395">IF(H4950="","",IFERROR((I4950-H4950)*24,0))</f>
        <v/>
      </c>
      <c r="L4950" s="25" t="str">
        <f t="shared" si="391"/>
        <v/>
      </c>
      <c r="O4950" s="33" t="str">
        <f t="shared" si="392"/>
        <v/>
      </c>
      <c r="P4950" s="33" t="str">
        <f t="shared" si="393"/>
        <v/>
      </c>
    </row>
    <row r="4951" spans="9:16">
      <c r="I4951" s="23" t="str">
        <f>_xlfn.IFNA(VLOOKUP(A4951,A$3524:$H4952,8,0),"")</f>
        <v/>
      </c>
      <c r="J4951" s="40" t="str">
        <f t="shared" si="394"/>
        <v/>
      </c>
      <c r="K4951" s="24" t="str">
        <f t="shared" si="395"/>
        <v/>
      </c>
      <c r="L4951" s="25" t="str">
        <f t="shared" si="391"/>
        <v/>
      </c>
      <c r="O4951" s="33" t="str">
        <f t="shared" si="392"/>
        <v/>
      </c>
      <c r="P4951" s="33" t="str">
        <f t="shared" si="393"/>
        <v/>
      </c>
    </row>
    <row r="4952" spans="9:16">
      <c r="I4952" s="23" t="str">
        <f>_xlfn.IFNA(VLOOKUP(A4952,A$3524:$H4953,8,0),"")</f>
        <v/>
      </c>
      <c r="J4952" s="40" t="str">
        <f t="shared" si="394"/>
        <v/>
      </c>
      <c r="K4952" s="24" t="str">
        <f t="shared" si="395"/>
        <v/>
      </c>
      <c r="L4952" s="25" t="str">
        <f t="shared" si="391"/>
        <v/>
      </c>
      <c r="O4952" s="33" t="str">
        <f t="shared" si="392"/>
        <v/>
      </c>
      <c r="P4952" s="33" t="str">
        <f t="shared" si="393"/>
        <v/>
      </c>
    </row>
    <row r="4953" spans="9:16">
      <c r="I4953" s="23" t="str">
        <f>_xlfn.IFNA(VLOOKUP(A4953,A$3524:$H4954,8,0),"")</f>
        <v/>
      </c>
      <c r="J4953" s="40" t="str">
        <f t="shared" si="394"/>
        <v/>
      </c>
      <c r="K4953" s="24" t="str">
        <f t="shared" si="395"/>
        <v/>
      </c>
      <c r="L4953" s="25" t="str">
        <f t="shared" si="391"/>
        <v/>
      </c>
      <c r="O4953" s="33" t="str">
        <f t="shared" si="392"/>
        <v/>
      </c>
      <c r="P4953" s="33" t="str">
        <f t="shared" si="393"/>
        <v/>
      </c>
    </row>
    <row r="4954" spans="9:16">
      <c r="I4954" s="23" t="str">
        <f>_xlfn.IFNA(VLOOKUP(A4954,A$3524:$H4955,8,0),"")</f>
        <v/>
      </c>
      <c r="J4954" s="40" t="str">
        <f t="shared" si="394"/>
        <v/>
      </c>
      <c r="K4954" s="24" t="str">
        <f t="shared" si="395"/>
        <v/>
      </c>
      <c r="L4954" s="25" t="str">
        <f t="shared" si="391"/>
        <v/>
      </c>
      <c r="O4954" s="33" t="str">
        <f t="shared" si="392"/>
        <v/>
      </c>
      <c r="P4954" s="33" t="str">
        <f t="shared" si="393"/>
        <v/>
      </c>
    </row>
    <row r="4955" spans="9:16">
      <c r="I4955" s="23" t="str">
        <f>_xlfn.IFNA(VLOOKUP(A4955,A$3524:$H4956,8,0),"")</f>
        <v/>
      </c>
      <c r="J4955" s="40" t="str">
        <f t="shared" si="394"/>
        <v/>
      </c>
      <c r="K4955" s="24" t="str">
        <f t="shared" si="395"/>
        <v/>
      </c>
      <c r="L4955" s="25" t="str">
        <f t="shared" si="391"/>
        <v/>
      </c>
      <c r="O4955" s="33" t="str">
        <f t="shared" si="392"/>
        <v/>
      </c>
      <c r="P4955" s="33" t="str">
        <f t="shared" si="393"/>
        <v/>
      </c>
    </row>
    <row r="4956" spans="9:16">
      <c r="I4956" s="23" t="str">
        <f>_xlfn.IFNA(VLOOKUP(A4956,A$3524:$H4957,8,0),"")</f>
        <v/>
      </c>
      <c r="J4956" s="40" t="str">
        <f t="shared" si="394"/>
        <v/>
      </c>
      <c r="K4956" s="24" t="str">
        <f t="shared" si="395"/>
        <v/>
      </c>
      <c r="L4956" s="25" t="str">
        <f t="shared" si="391"/>
        <v/>
      </c>
      <c r="O4956" s="33" t="str">
        <f t="shared" si="392"/>
        <v/>
      </c>
      <c r="P4956" s="33" t="str">
        <f t="shared" si="393"/>
        <v/>
      </c>
    </row>
    <row r="4957" spans="9:16">
      <c r="I4957" s="23" t="str">
        <f>_xlfn.IFNA(VLOOKUP(A4957,A$3524:$H4958,8,0),"")</f>
        <v/>
      </c>
      <c r="J4957" s="40" t="str">
        <f t="shared" si="394"/>
        <v/>
      </c>
      <c r="K4957" s="24" t="str">
        <f t="shared" si="395"/>
        <v/>
      </c>
      <c r="L4957" s="25" t="str">
        <f t="shared" si="391"/>
        <v/>
      </c>
      <c r="O4957" s="33" t="str">
        <f t="shared" si="392"/>
        <v/>
      </c>
      <c r="P4957" s="33" t="str">
        <f t="shared" si="393"/>
        <v/>
      </c>
    </row>
    <row r="4958" spans="9:16">
      <c r="I4958" s="23" t="str">
        <f>_xlfn.IFNA(VLOOKUP(A4958,A$3524:$H4959,8,0),"")</f>
        <v/>
      </c>
      <c r="J4958" s="40" t="str">
        <f t="shared" si="394"/>
        <v/>
      </c>
      <c r="K4958" s="24" t="str">
        <f t="shared" si="395"/>
        <v/>
      </c>
      <c r="L4958" s="25" t="str">
        <f t="shared" si="391"/>
        <v/>
      </c>
      <c r="O4958" s="33" t="str">
        <f t="shared" si="392"/>
        <v/>
      </c>
      <c r="P4958" s="33" t="str">
        <f t="shared" si="393"/>
        <v/>
      </c>
    </row>
    <row r="4959" spans="9:16">
      <c r="I4959" s="23" t="str">
        <f>_xlfn.IFNA(VLOOKUP(A4959,A$3524:$H4960,8,0),"")</f>
        <v/>
      </c>
      <c r="J4959" s="40" t="str">
        <f t="shared" si="394"/>
        <v/>
      </c>
      <c r="K4959" s="24" t="str">
        <f t="shared" si="395"/>
        <v/>
      </c>
      <c r="L4959" s="25" t="str">
        <f t="shared" si="391"/>
        <v/>
      </c>
      <c r="O4959" s="33" t="str">
        <f t="shared" si="392"/>
        <v/>
      </c>
      <c r="P4959" s="33" t="str">
        <f t="shared" si="393"/>
        <v/>
      </c>
    </row>
    <row r="4960" spans="9:16">
      <c r="I4960" s="23" t="str">
        <f>_xlfn.IFNA(VLOOKUP(A4960,A$3524:$H4961,8,0),"")</f>
        <v/>
      </c>
      <c r="J4960" s="40" t="str">
        <f t="shared" si="394"/>
        <v/>
      </c>
      <c r="K4960" s="24" t="str">
        <f t="shared" si="395"/>
        <v/>
      </c>
      <c r="L4960" s="25" t="str">
        <f t="shared" si="391"/>
        <v/>
      </c>
      <c r="O4960" s="33" t="str">
        <f t="shared" si="392"/>
        <v/>
      </c>
      <c r="P4960" s="33" t="str">
        <f t="shared" si="393"/>
        <v/>
      </c>
    </row>
    <row r="4961" spans="9:16">
      <c r="I4961" s="23" t="str">
        <f>_xlfn.IFNA(VLOOKUP(A4961,A$3524:$H4962,8,0),"")</f>
        <v/>
      </c>
      <c r="J4961" s="40" t="str">
        <f t="shared" si="394"/>
        <v/>
      </c>
      <c r="K4961" s="24" t="str">
        <f t="shared" si="395"/>
        <v/>
      </c>
      <c r="L4961" s="25" t="str">
        <f t="shared" si="391"/>
        <v/>
      </c>
      <c r="O4961" s="33" t="str">
        <f t="shared" si="392"/>
        <v/>
      </c>
      <c r="P4961" s="33" t="str">
        <f t="shared" si="393"/>
        <v/>
      </c>
    </row>
    <row r="4962" spans="9:16">
      <c r="I4962" s="23" t="str">
        <f>_xlfn.IFNA(VLOOKUP(A4962,A$3524:$H4963,8,0),"")</f>
        <v/>
      </c>
      <c r="J4962" s="40" t="str">
        <f t="shared" si="394"/>
        <v/>
      </c>
      <c r="K4962" s="24" t="str">
        <f t="shared" si="395"/>
        <v/>
      </c>
      <c r="L4962" s="25" t="str">
        <f t="shared" si="391"/>
        <v/>
      </c>
      <c r="O4962" s="33" t="str">
        <f t="shared" si="392"/>
        <v/>
      </c>
      <c r="P4962" s="33" t="str">
        <f t="shared" si="393"/>
        <v/>
      </c>
    </row>
    <row r="4963" spans="9:16">
      <c r="I4963" s="23" t="str">
        <f>_xlfn.IFNA(VLOOKUP(A4963,A$3524:$H4964,8,0),"")</f>
        <v/>
      </c>
      <c r="J4963" s="40" t="str">
        <f t="shared" si="394"/>
        <v/>
      </c>
      <c r="K4963" s="24" t="str">
        <f t="shared" si="395"/>
        <v/>
      </c>
      <c r="L4963" s="25" t="str">
        <f t="shared" si="391"/>
        <v/>
      </c>
      <c r="O4963" s="33" t="str">
        <f t="shared" si="392"/>
        <v/>
      </c>
      <c r="P4963" s="33" t="str">
        <f t="shared" si="393"/>
        <v/>
      </c>
    </row>
    <row r="4964" spans="9:16">
      <c r="I4964" s="23" t="str">
        <f>_xlfn.IFNA(VLOOKUP(A4964,A$3524:$H4965,8,0),"")</f>
        <v/>
      </c>
      <c r="J4964" s="40" t="str">
        <f t="shared" si="394"/>
        <v/>
      </c>
      <c r="K4964" s="24" t="str">
        <f t="shared" si="395"/>
        <v/>
      </c>
      <c r="L4964" s="25" t="str">
        <f t="shared" si="391"/>
        <v/>
      </c>
      <c r="O4964" s="33" t="str">
        <f t="shared" si="392"/>
        <v/>
      </c>
      <c r="P4964" s="33" t="str">
        <f t="shared" si="393"/>
        <v/>
      </c>
    </row>
    <row r="4965" spans="9:16">
      <c r="I4965" s="23" t="str">
        <f>_xlfn.IFNA(VLOOKUP(A4965,A$3524:$H4966,8,0),"")</f>
        <v/>
      </c>
      <c r="J4965" s="40" t="str">
        <f t="shared" si="394"/>
        <v/>
      </c>
      <c r="K4965" s="24" t="str">
        <f t="shared" si="395"/>
        <v/>
      </c>
      <c r="L4965" s="25" t="str">
        <f t="shared" si="391"/>
        <v/>
      </c>
      <c r="O4965" s="33" t="str">
        <f t="shared" si="392"/>
        <v/>
      </c>
      <c r="P4965" s="33" t="str">
        <f t="shared" si="393"/>
        <v/>
      </c>
    </row>
    <row r="4966" spans="9:16">
      <c r="I4966" s="23" t="str">
        <f>_xlfn.IFNA(VLOOKUP(A4966,A$3524:$H4967,8,0),"")</f>
        <v/>
      </c>
      <c r="J4966" s="40" t="str">
        <f t="shared" si="394"/>
        <v/>
      </c>
      <c r="K4966" s="24" t="str">
        <f t="shared" si="395"/>
        <v/>
      </c>
      <c r="L4966" s="25" t="str">
        <f t="shared" si="391"/>
        <v/>
      </c>
      <c r="O4966" s="33" t="str">
        <f t="shared" si="392"/>
        <v/>
      </c>
      <c r="P4966" s="33" t="str">
        <f t="shared" si="393"/>
        <v/>
      </c>
    </row>
    <row r="4967" spans="9:16">
      <c r="I4967" s="23" t="str">
        <f>_xlfn.IFNA(VLOOKUP(A4967,A$3524:$H4968,8,0),"")</f>
        <v/>
      </c>
      <c r="J4967" s="40" t="str">
        <f t="shared" si="394"/>
        <v/>
      </c>
      <c r="K4967" s="24" t="str">
        <f t="shared" si="395"/>
        <v/>
      </c>
      <c r="L4967" s="25" t="str">
        <f t="shared" si="391"/>
        <v/>
      </c>
      <c r="O4967" s="33" t="str">
        <f t="shared" si="392"/>
        <v/>
      </c>
      <c r="P4967" s="33" t="str">
        <f t="shared" si="393"/>
        <v/>
      </c>
    </row>
    <row r="4968" spans="9:16">
      <c r="I4968" s="23" t="str">
        <f>_xlfn.IFNA(VLOOKUP(A4968,A$3524:$H4969,8,0),"")</f>
        <v/>
      </c>
      <c r="J4968" s="40" t="str">
        <f t="shared" si="394"/>
        <v/>
      </c>
      <c r="K4968" s="24" t="str">
        <f t="shared" si="395"/>
        <v/>
      </c>
      <c r="L4968" s="25" t="str">
        <f t="shared" si="391"/>
        <v/>
      </c>
      <c r="O4968" s="33" t="str">
        <f t="shared" si="392"/>
        <v/>
      </c>
      <c r="P4968" s="33" t="str">
        <f t="shared" si="393"/>
        <v/>
      </c>
    </row>
    <row r="4969" spans="9:16">
      <c r="I4969" s="23" t="str">
        <f>_xlfn.IFNA(VLOOKUP(A4969,A$3524:$H4970,8,0),"")</f>
        <v/>
      </c>
      <c r="J4969" s="40" t="str">
        <f t="shared" si="394"/>
        <v/>
      </c>
      <c r="K4969" s="24" t="str">
        <f t="shared" si="395"/>
        <v/>
      </c>
      <c r="L4969" s="25" t="str">
        <f t="shared" si="391"/>
        <v/>
      </c>
      <c r="O4969" s="33" t="str">
        <f t="shared" si="392"/>
        <v/>
      </c>
      <c r="P4969" s="33" t="str">
        <f t="shared" si="393"/>
        <v/>
      </c>
    </row>
    <row r="4970" spans="9:16">
      <c r="I4970" s="23" t="str">
        <f>_xlfn.IFNA(VLOOKUP(A4970,A$3524:$H4971,8,0),"")</f>
        <v/>
      </c>
      <c r="J4970" s="40" t="str">
        <f t="shared" si="394"/>
        <v/>
      </c>
      <c r="K4970" s="24" t="str">
        <f t="shared" si="395"/>
        <v/>
      </c>
      <c r="L4970" s="25" t="str">
        <f t="shared" si="391"/>
        <v/>
      </c>
      <c r="O4970" s="33" t="str">
        <f t="shared" si="392"/>
        <v/>
      </c>
      <c r="P4970" s="33" t="str">
        <f t="shared" si="393"/>
        <v/>
      </c>
    </row>
    <row r="4971" spans="9:16">
      <c r="I4971" s="23" t="str">
        <f>_xlfn.IFNA(VLOOKUP(A4971,A$3524:$H4972,8,0),"")</f>
        <v/>
      </c>
      <c r="J4971" s="40" t="str">
        <f t="shared" si="394"/>
        <v/>
      </c>
      <c r="K4971" s="24" t="str">
        <f t="shared" si="395"/>
        <v/>
      </c>
      <c r="L4971" s="25" t="str">
        <f t="shared" si="391"/>
        <v/>
      </c>
      <c r="O4971" s="33" t="str">
        <f t="shared" si="392"/>
        <v/>
      </c>
      <c r="P4971" s="33" t="str">
        <f t="shared" si="393"/>
        <v/>
      </c>
    </row>
    <row r="4972" spans="9:16">
      <c r="I4972" s="23" t="str">
        <f>_xlfn.IFNA(VLOOKUP(A4972,A$3524:$H4973,8,0),"")</f>
        <v/>
      </c>
      <c r="J4972" s="40" t="str">
        <f t="shared" si="394"/>
        <v/>
      </c>
      <c r="K4972" s="24" t="str">
        <f t="shared" si="395"/>
        <v/>
      </c>
      <c r="L4972" s="25" t="str">
        <f t="shared" si="391"/>
        <v/>
      </c>
      <c r="O4972" s="33" t="str">
        <f t="shared" si="392"/>
        <v/>
      </c>
      <c r="P4972" s="33" t="str">
        <f t="shared" si="393"/>
        <v/>
      </c>
    </row>
    <row r="4973" spans="9:16">
      <c r="I4973" s="23" t="str">
        <f>_xlfn.IFNA(VLOOKUP(A4973,A$3524:$H4974,8,0),"")</f>
        <v/>
      </c>
      <c r="J4973" s="40" t="str">
        <f t="shared" si="394"/>
        <v/>
      </c>
      <c r="K4973" s="24" t="str">
        <f t="shared" si="395"/>
        <v/>
      </c>
      <c r="L4973" s="25" t="str">
        <f t="shared" si="391"/>
        <v/>
      </c>
      <c r="O4973" s="33" t="str">
        <f t="shared" si="392"/>
        <v/>
      </c>
      <c r="P4973" s="33" t="str">
        <f t="shared" si="393"/>
        <v/>
      </c>
    </row>
    <row r="4974" spans="9:16">
      <c r="I4974" s="23" t="str">
        <f>_xlfn.IFNA(VLOOKUP(A4974,A$3524:$H4975,8,0),"")</f>
        <v/>
      </c>
      <c r="J4974" s="40" t="str">
        <f t="shared" si="394"/>
        <v/>
      </c>
      <c r="K4974" s="24" t="str">
        <f t="shared" si="395"/>
        <v/>
      </c>
      <c r="L4974" s="25" t="str">
        <f t="shared" si="391"/>
        <v/>
      </c>
      <c r="O4974" s="33" t="str">
        <f t="shared" si="392"/>
        <v/>
      </c>
      <c r="P4974" s="33" t="str">
        <f t="shared" si="393"/>
        <v/>
      </c>
    </row>
    <row r="4975" spans="9:16">
      <c r="I4975" s="23" t="str">
        <f>_xlfn.IFNA(VLOOKUP(A4975,A$3524:$H4976,8,0),"")</f>
        <v/>
      </c>
      <c r="J4975" s="40" t="str">
        <f t="shared" si="394"/>
        <v/>
      </c>
      <c r="K4975" s="24" t="str">
        <f t="shared" si="395"/>
        <v/>
      </c>
      <c r="L4975" s="25" t="str">
        <f t="shared" si="391"/>
        <v/>
      </c>
      <c r="O4975" s="33" t="str">
        <f t="shared" si="392"/>
        <v/>
      </c>
      <c r="P4975" s="33" t="str">
        <f t="shared" si="393"/>
        <v/>
      </c>
    </row>
    <row r="4976" spans="9:16">
      <c r="I4976" s="23" t="str">
        <f>_xlfn.IFNA(VLOOKUP(A4976,A$3524:$H4977,8,0),"")</f>
        <v/>
      </c>
      <c r="J4976" s="40" t="str">
        <f t="shared" si="394"/>
        <v/>
      </c>
      <c r="K4976" s="24" t="str">
        <f t="shared" si="395"/>
        <v/>
      </c>
      <c r="L4976" s="25" t="str">
        <f t="shared" si="391"/>
        <v/>
      </c>
      <c r="O4976" s="33" t="str">
        <f t="shared" si="392"/>
        <v/>
      </c>
      <c r="P4976" s="33" t="str">
        <f t="shared" si="393"/>
        <v/>
      </c>
    </row>
    <row r="4977" spans="9:16">
      <c r="I4977" s="23" t="str">
        <f>_xlfn.IFNA(VLOOKUP(A4977,A$3524:$H4978,8,0),"")</f>
        <v/>
      </c>
      <c r="J4977" s="40" t="str">
        <f t="shared" si="394"/>
        <v/>
      </c>
      <c r="K4977" s="24" t="str">
        <f t="shared" si="395"/>
        <v/>
      </c>
      <c r="L4977" s="25" t="str">
        <f t="shared" si="391"/>
        <v/>
      </c>
      <c r="O4977" s="33" t="str">
        <f t="shared" si="392"/>
        <v/>
      </c>
      <c r="P4977" s="33" t="str">
        <f t="shared" si="393"/>
        <v/>
      </c>
    </row>
    <row r="4978" spans="9:16">
      <c r="I4978" s="23" t="str">
        <f>_xlfn.IFNA(VLOOKUP(A4978,A$3524:$H4979,8,0),"")</f>
        <v/>
      </c>
      <c r="J4978" s="40" t="str">
        <f t="shared" si="394"/>
        <v/>
      </c>
      <c r="K4978" s="24" t="str">
        <f t="shared" si="395"/>
        <v/>
      </c>
      <c r="L4978" s="25" t="str">
        <f t="shared" si="391"/>
        <v/>
      </c>
      <c r="O4978" s="33" t="str">
        <f t="shared" si="392"/>
        <v/>
      </c>
      <c r="P4978" s="33" t="str">
        <f t="shared" si="393"/>
        <v/>
      </c>
    </row>
    <row r="4979" spans="9:16">
      <c r="I4979" s="23" t="str">
        <f>_xlfn.IFNA(VLOOKUP(A4979,A$3524:$H4980,8,0),"")</f>
        <v/>
      </c>
      <c r="J4979" s="40" t="str">
        <f t="shared" si="394"/>
        <v/>
      </c>
      <c r="K4979" s="24" t="str">
        <f t="shared" si="395"/>
        <v/>
      </c>
      <c r="L4979" s="25" t="str">
        <f t="shared" si="391"/>
        <v/>
      </c>
      <c r="O4979" s="33" t="str">
        <f t="shared" si="392"/>
        <v/>
      </c>
      <c r="P4979" s="33" t="str">
        <f t="shared" si="393"/>
        <v/>
      </c>
    </row>
    <row r="4980" spans="9:16">
      <c r="I4980" s="23" t="str">
        <f>_xlfn.IFNA(VLOOKUP(A4980,A$3524:$H4981,8,0),"")</f>
        <v/>
      </c>
      <c r="J4980" s="40" t="str">
        <f t="shared" si="394"/>
        <v/>
      </c>
      <c r="K4980" s="24" t="str">
        <f t="shared" si="395"/>
        <v/>
      </c>
      <c r="L4980" s="25" t="str">
        <f t="shared" si="391"/>
        <v/>
      </c>
      <c r="O4980" s="33" t="str">
        <f t="shared" si="392"/>
        <v/>
      </c>
      <c r="P4980" s="33" t="str">
        <f t="shared" si="393"/>
        <v/>
      </c>
    </row>
    <row r="4981" spans="9:16">
      <c r="I4981" s="23" t="str">
        <f>_xlfn.IFNA(VLOOKUP(A4981,A$3524:$H4982,8,0),"")</f>
        <v/>
      </c>
      <c r="J4981" s="40" t="str">
        <f t="shared" si="394"/>
        <v/>
      </c>
      <c r="K4981" s="24" t="str">
        <f t="shared" si="395"/>
        <v/>
      </c>
      <c r="L4981" s="25" t="str">
        <f t="shared" si="391"/>
        <v/>
      </c>
      <c r="O4981" s="33" t="str">
        <f t="shared" si="392"/>
        <v/>
      </c>
      <c r="P4981" s="33" t="str">
        <f t="shared" si="393"/>
        <v/>
      </c>
    </row>
    <row r="4982" spans="9:16">
      <c r="I4982" s="23" t="str">
        <f>_xlfn.IFNA(VLOOKUP(A4982,A$3524:$H4983,8,0),"")</f>
        <v/>
      </c>
      <c r="J4982" s="40" t="str">
        <f t="shared" si="394"/>
        <v/>
      </c>
      <c r="K4982" s="24" t="str">
        <f t="shared" si="395"/>
        <v/>
      </c>
      <c r="L4982" s="25" t="str">
        <f t="shared" si="391"/>
        <v/>
      </c>
      <c r="O4982" s="33" t="str">
        <f t="shared" si="392"/>
        <v/>
      </c>
      <c r="P4982" s="33" t="str">
        <f t="shared" si="393"/>
        <v/>
      </c>
    </row>
    <row r="4983" spans="9:16">
      <c r="I4983" s="23" t="str">
        <f>_xlfn.IFNA(VLOOKUP(A4983,A$3524:$H4984,8,0),"")</f>
        <v/>
      </c>
      <c r="J4983" s="40" t="str">
        <f t="shared" si="394"/>
        <v/>
      </c>
      <c r="K4983" s="24" t="str">
        <f t="shared" si="395"/>
        <v/>
      </c>
      <c r="L4983" s="25" t="str">
        <f t="shared" ref="L4983" si="396">IF(K4983="","",IF(B4983="Break","Break",IF(K4983&lt;&gt;0,"Work Finished",IF(B4983="OFF","Work Finished",IF(I4983="","Working","Work Finished")))))</f>
        <v/>
      </c>
      <c r="O4983" s="33" t="str">
        <f t="shared" ref="O4983" si="397">IF(AND(J4983="",M4983="",N4983=""),"",J4983-M4983-N4983)</f>
        <v/>
      </c>
      <c r="P4983" s="33" t="str">
        <f t="shared" ref="P4983" si="398">IF(HOUR(H4983)=0,"",HOUR(H4983))</f>
        <v/>
      </c>
    </row>
  </sheetData>
  <sheetProtection selectLockedCells="1"/>
  <autoFilter ref="A2:Q4984" xr:uid="{BF945D1D-69E3-4AF2-8C34-E0DF7FA33282}"/>
  <sortState ref="A3:L137">
    <sortCondition ref="H3"/>
  </sortState>
  <mergeCells count="1">
    <mergeCell ref="A1:Q1"/>
  </mergeCells>
  <phoneticPr fontId="1" type="noConversion"/>
  <dataValidations count="3">
    <dataValidation type="list" allowBlank="1" showInputMessage="1" showErrorMessage="1" sqref="G2:G1048576" xr:uid="{00000000-0002-0000-0000-000001000000}">
      <formula1>"S,M"</formula1>
    </dataValidation>
    <dataValidation type="list" allowBlank="1" showInputMessage="1" showErrorMessage="1" sqref="B3:B179 B181:B255 B257:B4983" xr:uid="{58DFBC9B-A08E-43B9-8A33-8EC59F493FAF}">
      <formula1>"Picking,OFF,Garment Care,Break"</formula1>
    </dataValidation>
    <dataValidation type="list" allowBlank="1" showInputMessage="1" showErrorMessage="1" sqref="Q3:Q4983" xr:uid="{21E05EDF-A9DE-4834-81A1-2134A8C4C9AE}">
      <formula1>"HM,Myntra"</formula1>
    </dataValidation>
  </dataValidations>
  <pageMargins left="0.7" right="0.7" top="0.75" bottom="0.75" header="0.3" footer="0.3"/>
  <pageSetup paperSize="11" orientation="portrait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cal">
                <anchor moveWithCells="1" sizeWithCells="1">
                  <from>
                    <xdr:col>20</xdr:col>
                    <xdr:colOff>809625</xdr:colOff>
                    <xdr:row>3</xdr:row>
                    <xdr:rowOff>0</xdr:rowOff>
                  </from>
                  <to>
                    <xdr:col>21</xdr:col>
                    <xdr:colOff>1162050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G1000"/>
  <sheetViews>
    <sheetView showGridLines="0" topLeftCell="A4" workbookViewId="0">
      <selection activeCell="D21" sqref="D21"/>
    </sheetView>
  </sheetViews>
  <sheetFormatPr defaultRowHeight="15"/>
  <cols>
    <col min="1" max="1" width="19.7109375" style="18" bestFit="1" customWidth="1"/>
    <col min="2" max="2" width="15.85546875" style="18" bestFit="1" customWidth="1"/>
    <col min="3" max="3" width="11.7109375" style="19" bestFit="1" customWidth="1"/>
    <col min="4" max="4" width="13" style="15" bestFit="1" customWidth="1"/>
    <col min="5" max="5" width="4.5703125" customWidth="1"/>
    <col min="7" max="7" width="18.28515625" customWidth="1"/>
  </cols>
  <sheetData>
    <row r="1" spans="1:7">
      <c r="A1" s="11"/>
      <c r="B1" s="11"/>
      <c r="C1" s="12"/>
      <c r="D1" s="13"/>
    </row>
    <row r="2" spans="1:7" ht="38.25" customHeight="1">
      <c r="A2" s="48" t="s">
        <v>11</v>
      </c>
      <c r="B2" s="48"/>
      <c r="C2" s="48"/>
      <c r="D2" s="48"/>
      <c r="F2" s="47"/>
      <c r="G2" s="47"/>
    </row>
    <row r="3" spans="1:7" ht="23.25">
      <c r="A3" s="8" t="s">
        <v>12</v>
      </c>
      <c r="B3" s="49">
        <f>IFERROR(SUM(B5:B1048576)/SUM(C5:C1048576),"")</f>
        <v>31.445161929179179</v>
      </c>
      <c r="C3" s="50"/>
      <c r="D3" s="51"/>
      <c r="F3" s="47"/>
      <c r="G3" s="47"/>
    </row>
    <row r="4" spans="1:7" ht="15.75">
      <c r="A4" s="9" t="s">
        <v>10</v>
      </c>
      <c r="B4" s="9" t="s">
        <v>8</v>
      </c>
      <c r="C4" s="10" t="s">
        <v>9</v>
      </c>
      <c r="D4" s="10" t="s">
        <v>7</v>
      </c>
    </row>
    <row r="5" spans="1:7" ht="15.75">
      <c r="A5" s="14" t="s">
        <v>265</v>
      </c>
      <c r="B5" s="14">
        <v>2</v>
      </c>
      <c r="C5" s="15">
        <v>0.60916666674893349</v>
      </c>
      <c r="D5" s="16">
        <f>IFERROR(B5/C5,"")</f>
        <v>3.2831737341667364</v>
      </c>
    </row>
    <row r="6" spans="1:7" ht="15.75">
      <c r="A6" s="14" t="s">
        <v>289</v>
      </c>
      <c r="B6" s="14">
        <v>1</v>
      </c>
      <c r="C6" s="15">
        <v>7.3055555520113558E-2</v>
      </c>
      <c r="D6" s="16">
        <f>IFERROR(B6/C6,"")</f>
        <v>13.68821293439732</v>
      </c>
    </row>
    <row r="7" spans="1:7" ht="15.75">
      <c r="A7" s="14" t="s">
        <v>262</v>
      </c>
      <c r="B7" s="14">
        <v>9</v>
      </c>
      <c r="C7" s="15">
        <v>0.65444444445893168</v>
      </c>
      <c r="D7" s="16">
        <f>IFERROR(B7/C7,"")</f>
        <v>13.75212224078216</v>
      </c>
    </row>
    <row r="8" spans="1:7" ht="15.75">
      <c r="A8" s="14" t="s">
        <v>269</v>
      </c>
      <c r="B8" s="14">
        <v>15</v>
      </c>
      <c r="C8" s="15">
        <v>1.0788888889364898</v>
      </c>
      <c r="D8" s="16">
        <f>IFERROR(B8/C8,"")</f>
        <v>13.903192584350542</v>
      </c>
    </row>
    <row r="9" spans="1:7" ht="15.75">
      <c r="A9" s="14" t="s">
        <v>279</v>
      </c>
      <c r="B9" s="14">
        <v>10</v>
      </c>
      <c r="C9" s="15">
        <v>0.499722222215496</v>
      </c>
      <c r="D9" s="16">
        <f>IFERROR(B9/C9,"")</f>
        <v>20.011117287651228</v>
      </c>
    </row>
    <row r="10" spans="1:7" ht="15.75">
      <c r="A10" s="14" t="s">
        <v>267</v>
      </c>
      <c r="B10" s="14">
        <v>25</v>
      </c>
      <c r="C10" s="15">
        <v>1.152222222299315</v>
      </c>
      <c r="D10" s="16">
        <f>IFERROR(B10/C10,"")</f>
        <v>21.697203470100842</v>
      </c>
    </row>
    <row r="11" spans="1:7" ht="15.75">
      <c r="A11" s="14" t="s">
        <v>61</v>
      </c>
      <c r="B11" s="14">
        <v>72</v>
      </c>
      <c r="C11" s="15">
        <v>3.0097222223994322</v>
      </c>
      <c r="D11" s="16">
        <f>IFERROR(B11/C11,"")</f>
        <v>23.922473464212139</v>
      </c>
    </row>
    <row r="12" spans="1:7" ht="15.75">
      <c r="A12" s="14" t="s">
        <v>284</v>
      </c>
      <c r="B12" s="14">
        <v>19</v>
      </c>
      <c r="C12" s="15">
        <v>0.76805555558530614</v>
      </c>
      <c r="D12" s="16">
        <f>IFERROR(B12/C12,"")</f>
        <v>24.737793850759687</v>
      </c>
    </row>
    <row r="13" spans="1:7" ht="15.75">
      <c r="A13" s="14" t="s">
        <v>54</v>
      </c>
      <c r="B13" s="14">
        <v>110</v>
      </c>
      <c r="C13" s="15">
        <v>4.1724999999278225</v>
      </c>
      <c r="D13" s="16">
        <f>IFERROR(B13/C13,"")</f>
        <v>26.363091672115715</v>
      </c>
    </row>
    <row r="14" spans="1:7" ht="15.75">
      <c r="A14" s="14" t="s">
        <v>48</v>
      </c>
      <c r="B14" s="14">
        <v>101</v>
      </c>
      <c r="C14" s="15">
        <v>3.7530555555713363</v>
      </c>
      <c r="D14" s="16">
        <f>IFERROR(B14/C14,"")</f>
        <v>26.911405521313828</v>
      </c>
    </row>
    <row r="15" spans="1:7" ht="15.75">
      <c r="A15" s="14" t="s">
        <v>254</v>
      </c>
      <c r="B15" s="14">
        <v>21</v>
      </c>
      <c r="C15" s="15">
        <v>0.7766666667885147</v>
      </c>
      <c r="D15" s="16">
        <f>IFERROR(B15/C15,"")</f>
        <v>27.038626605200083</v>
      </c>
    </row>
    <row r="16" spans="1:7" ht="15.75">
      <c r="A16" s="14" t="s">
        <v>209</v>
      </c>
      <c r="B16" s="14">
        <v>44</v>
      </c>
      <c r="C16" s="15">
        <v>1.6169444445404224</v>
      </c>
      <c r="D16" s="16">
        <f>IFERROR(B16/C16,"")</f>
        <v>27.211819273423423</v>
      </c>
    </row>
    <row r="17" spans="1:4" ht="15.75">
      <c r="A17" s="14" t="s">
        <v>271</v>
      </c>
      <c r="B17" s="14">
        <v>10</v>
      </c>
      <c r="C17" s="15">
        <v>0.35111111111473292</v>
      </c>
      <c r="D17" s="16">
        <f>IFERROR(B17/C17,"")</f>
        <v>28.481012657934059</v>
      </c>
    </row>
    <row r="18" spans="1:4" ht="15.75">
      <c r="A18" s="14" t="s">
        <v>64</v>
      </c>
      <c r="B18" s="14">
        <v>109</v>
      </c>
      <c r="C18" s="15">
        <v>3.778055555478204</v>
      </c>
      <c r="D18" s="16">
        <f>IFERROR(B18/C18,"")</f>
        <v>28.850819793252992</v>
      </c>
    </row>
    <row r="19" spans="1:4" ht="15.75">
      <c r="A19" s="14" t="s">
        <v>207</v>
      </c>
      <c r="B19" s="14">
        <v>53</v>
      </c>
      <c r="C19" s="15">
        <v>1.7727777776308358</v>
      </c>
      <c r="D19" s="16">
        <f>IFERROR(B19/C19,"")</f>
        <v>29.896584145379979</v>
      </c>
    </row>
    <row r="20" spans="1:4" ht="15.75">
      <c r="A20" s="14" t="s">
        <v>274</v>
      </c>
      <c r="B20" s="14">
        <v>5</v>
      </c>
      <c r="C20" s="15">
        <v>0.16333333327202126</v>
      </c>
      <c r="D20" s="16">
        <f>IFERROR(B20/C20,"")</f>
        <v>30.612244909450407</v>
      </c>
    </row>
    <row r="21" spans="1:4" ht="15.75">
      <c r="A21" s="14" t="s">
        <v>37</v>
      </c>
      <c r="B21" s="14">
        <v>115</v>
      </c>
      <c r="C21" s="15">
        <v>3.6597222222480923</v>
      </c>
      <c r="D21" s="16">
        <f>IFERROR(B21/C21,"")</f>
        <v>31.423149904901212</v>
      </c>
    </row>
    <row r="22" spans="1:4" ht="16.5" customHeight="1">
      <c r="A22" s="14" t="s">
        <v>281</v>
      </c>
      <c r="B22" s="14">
        <v>18</v>
      </c>
      <c r="C22" s="15">
        <v>0.55888888891786337</v>
      </c>
      <c r="D22" s="16">
        <f>IFERROR(B22/C22,"")</f>
        <v>32.206759441670265</v>
      </c>
    </row>
    <row r="23" spans="1:4" ht="15.75">
      <c r="A23" s="14" t="s">
        <v>66</v>
      </c>
      <c r="B23" s="14">
        <v>18</v>
      </c>
      <c r="C23" s="15">
        <v>0.5463888889644295</v>
      </c>
      <c r="D23" s="16">
        <f>IFERROR(B23/C23,"")</f>
        <v>32.943568882074793</v>
      </c>
    </row>
    <row r="24" spans="1:4" ht="15.75">
      <c r="A24" s="14" t="s">
        <v>68</v>
      </c>
      <c r="B24" s="14">
        <v>16</v>
      </c>
      <c r="C24" s="15">
        <v>0.46166666649514809</v>
      </c>
      <c r="D24" s="16">
        <f>IFERROR(B24/C24,"")</f>
        <v>34.657039724067133</v>
      </c>
    </row>
    <row r="25" spans="1:4" ht="15.75">
      <c r="A25" s="14" t="s">
        <v>200</v>
      </c>
      <c r="B25" s="14">
        <v>83</v>
      </c>
      <c r="C25" s="15">
        <v>2.3941666666651145</v>
      </c>
      <c r="D25" s="16">
        <f>IFERROR(B25/C25,"")</f>
        <v>34.667594848612801</v>
      </c>
    </row>
    <row r="26" spans="1:4" ht="15.75">
      <c r="A26" s="14" t="s">
        <v>282</v>
      </c>
      <c r="B26" s="14">
        <v>8</v>
      </c>
      <c r="C26" s="15">
        <v>0.22361111099598929</v>
      </c>
      <c r="D26" s="16">
        <f>IFERROR(B26/C26,"")</f>
        <v>35.776397533946728</v>
      </c>
    </row>
    <row r="27" spans="1:4" ht="15.75">
      <c r="A27" s="14" t="s">
        <v>252</v>
      </c>
      <c r="B27" s="14">
        <v>20</v>
      </c>
      <c r="C27" s="15">
        <v>0.54222222219686955</v>
      </c>
      <c r="D27" s="16">
        <f>IFERROR(B27/C27,"")</f>
        <v>36.885245903363987</v>
      </c>
    </row>
    <row r="28" spans="1:4" ht="15.75">
      <c r="A28" s="14" t="s">
        <v>44</v>
      </c>
      <c r="B28" s="14">
        <v>25</v>
      </c>
      <c r="C28" s="15">
        <v>0.62916666670935228</v>
      </c>
      <c r="D28" s="16">
        <f>IFERROR(B28/C28,"")</f>
        <v>39.735099335052531</v>
      </c>
    </row>
    <row r="29" spans="1:4" ht="15.75">
      <c r="A29" s="14" t="s">
        <v>260</v>
      </c>
      <c r="B29" s="14">
        <v>28</v>
      </c>
      <c r="C29" s="15">
        <v>0.69666666677221656</v>
      </c>
      <c r="D29" s="16">
        <f>IFERROR(B29/C29,"")</f>
        <v>40.191387553719338</v>
      </c>
    </row>
    <row r="30" spans="1:4" ht="15.75">
      <c r="A30" s="14" t="s">
        <v>285</v>
      </c>
      <c r="B30" s="14">
        <v>18</v>
      </c>
      <c r="C30" s="15">
        <v>0.44138888886664063</v>
      </c>
      <c r="D30" s="16">
        <f>IFERROR(B30/C30,"")</f>
        <v>40.780365011495441</v>
      </c>
    </row>
    <row r="31" spans="1:4" ht="15.75">
      <c r="A31" s="14" t="s">
        <v>76</v>
      </c>
      <c r="B31" s="14">
        <v>7</v>
      </c>
      <c r="C31" s="15">
        <v>0.16694444452878088</v>
      </c>
      <c r="D31" s="16">
        <f>IFERROR(B31/C31,"")</f>
        <v>41.930116451363645</v>
      </c>
    </row>
    <row r="32" spans="1:4" ht="15.75">
      <c r="A32" s="14" t="s">
        <v>58</v>
      </c>
      <c r="B32" s="14">
        <v>77</v>
      </c>
      <c r="C32" s="15">
        <v>1.8211111110867932</v>
      </c>
      <c r="D32" s="16">
        <f>IFERROR(B32/C32,"")</f>
        <v>42.281879195195472</v>
      </c>
    </row>
    <row r="33" spans="1:4" ht="15.75">
      <c r="A33" s="14" t="s">
        <v>258</v>
      </c>
      <c r="B33" s="14">
        <v>20</v>
      </c>
      <c r="C33" s="15">
        <v>0.40722222224576399</v>
      </c>
      <c r="D33" s="16">
        <f>IFERROR(B33/C33,"")</f>
        <v>49.11323328501885</v>
      </c>
    </row>
    <row r="34" spans="1:4" ht="15.75">
      <c r="A34" s="14" t="s">
        <v>263</v>
      </c>
      <c r="B34" s="14">
        <v>30</v>
      </c>
      <c r="C34" s="15">
        <v>0.59638888877816498</v>
      </c>
      <c r="D34" s="16">
        <f>IFERROR(B34/C34,"")</f>
        <v>50.302748029832777</v>
      </c>
    </row>
    <row r="35" spans="1:4" ht="15.75">
      <c r="A35" s="14" t="s">
        <v>255</v>
      </c>
      <c r="B35" s="14">
        <v>20</v>
      </c>
      <c r="C35" s="15">
        <v>0.37249999993946403</v>
      </c>
      <c r="D35" s="16">
        <f>IFERROR(B35/C35,"")</f>
        <v>53.69127517651075</v>
      </c>
    </row>
    <row r="36" spans="1:4" ht="15.75">
      <c r="A36" s="14" t="s">
        <v>293</v>
      </c>
      <c r="B36" s="14">
        <v>17</v>
      </c>
      <c r="C36" s="15">
        <v>0.29583333333721384</v>
      </c>
      <c r="D36" s="16">
        <f>IFERROR(B36/C36,"")</f>
        <v>57.464788731640589</v>
      </c>
    </row>
    <row r="37" spans="1:4" ht="15.75">
      <c r="A37" s="14" t="s">
        <v>257</v>
      </c>
      <c r="B37" s="14">
        <v>35</v>
      </c>
      <c r="C37" s="15">
        <v>0.54361111106118187</v>
      </c>
      <c r="D37" s="16">
        <f>IFERROR(B37/C37,"")</f>
        <v>64.38426163084965</v>
      </c>
    </row>
    <row r="38" spans="1:4" ht="15.75">
      <c r="A38" s="14" t="s">
        <v>72</v>
      </c>
      <c r="B38" s="14">
        <v>26</v>
      </c>
      <c r="C38" s="15">
        <v>0.39944444439606741</v>
      </c>
      <c r="D38" s="16">
        <f>IFERROR(B38/C38,"")</f>
        <v>65.09040334585255</v>
      </c>
    </row>
    <row r="39" spans="1:4" ht="15.75">
      <c r="A39" s="14" t="s">
        <v>272</v>
      </c>
      <c r="B39" s="14">
        <v>20</v>
      </c>
      <c r="C39" s="15">
        <v>0.28416666656266898</v>
      </c>
      <c r="D39" s="16">
        <f>IFERROR(B39/C39,"")</f>
        <v>70.381231697311975</v>
      </c>
    </row>
    <row r="40" spans="1:4" ht="15.75">
      <c r="A40" s="14" t="s">
        <v>296</v>
      </c>
      <c r="B40" s="14">
        <v>28</v>
      </c>
      <c r="C40" s="15">
        <v>3.8888889248482883E-3</v>
      </c>
      <c r="D40" s="16">
        <f>IFERROR(B40/C40,"")</f>
        <v>7199.9999334237409</v>
      </c>
    </row>
    <row r="41" spans="1:4" ht="15.75">
      <c r="A41" s="14"/>
      <c r="B41" s="14"/>
      <c r="C41" s="15"/>
      <c r="D41" s="16" t="str">
        <f>IFERROR(B41/C41,"")</f>
        <v/>
      </c>
    </row>
    <row r="42" spans="1:4" ht="15.75">
      <c r="A42" s="14"/>
      <c r="B42" s="14"/>
      <c r="C42" s="15"/>
      <c r="D42" s="16" t="str">
        <f>IFERROR(B42/C42,"")</f>
        <v/>
      </c>
    </row>
    <row r="43" spans="1:4" ht="15.75">
      <c r="A43" s="14"/>
      <c r="B43" s="14"/>
      <c r="C43" s="15"/>
      <c r="D43" s="16" t="str">
        <f>IFERROR(B43/C43,"")</f>
        <v/>
      </c>
    </row>
    <row r="44" spans="1:4" ht="15.75">
      <c r="A44" s="14"/>
      <c r="B44" s="14"/>
      <c r="C44" s="15"/>
      <c r="D44" s="16" t="str">
        <f>IFERROR(B44/C44,"")</f>
        <v/>
      </c>
    </row>
    <row r="45" spans="1:4" ht="15.75">
      <c r="A45" s="14"/>
      <c r="B45" s="14"/>
      <c r="C45" s="15"/>
      <c r="D45" s="16" t="str">
        <f>IFERROR(B45/C45,"")</f>
        <v/>
      </c>
    </row>
    <row r="46" spans="1:4" ht="15.75">
      <c r="A46" s="14"/>
      <c r="B46" s="14"/>
      <c r="C46" s="15"/>
      <c r="D46" s="16" t="str">
        <f>IFERROR(B46/C46,"")</f>
        <v/>
      </c>
    </row>
    <row r="47" spans="1:4" ht="15.75">
      <c r="A47" s="14"/>
      <c r="B47" s="14"/>
      <c r="C47" s="15"/>
      <c r="D47" s="16" t="str">
        <f>IFERROR(B47/C47,"")</f>
        <v/>
      </c>
    </row>
    <row r="48" spans="1:4" ht="15.75">
      <c r="A48" s="14"/>
      <c r="B48" s="14"/>
      <c r="C48" s="15"/>
      <c r="D48" s="16" t="str">
        <f>IFERROR(B48/C48,"")</f>
        <v/>
      </c>
    </row>
    <row r="49" spans="1:4" ht="15.75">
      <c r="A49" s="14"/>
      <c r="B49" s="14"/>
      <c r="C49" s="15"/>
      <c r="D49" s="16" t="str">
        <f>IFERROR(B49/C49,"")</f>
        <v/>
      </c>
    </row>
    <row r="50" spans="1:4" ht="15.75">
      <c r="A50" s="14"/>
      <c r="B50" s="14"/>
      <c r="C50" s="15"/>
      <c r="D50" s="16" t="str">
        <f>IFERROR(B50/C50,"")</f>
        <v/>
      </c>
    </row>
    <row r="51" spans="1:4" ht="15.75">
      <c r="A51" s="14"/>
      <c r="B51" s="14"/>
      <c r="C51" s="15"/>
      <c r="D51" s="16" t="str">
        <f>IFERROR(B51/C51,"")</f>
        <v/>
      </c>
    </row>
    <row r="52" spans="1:4" ht="15.75">
      <c r="A52" s="14"/>
      <c r="B52" s="14"/>
      <c r="C52" s="15"/>
      <c r="D52" s="16" t="str">
        <f>IFERROR(B52/C52,"")</f>
        <v/>
      </c>
    </row>
    <row r="53" spans="1:4" ht="15.75">
      <c r="A53" s="14"/>
      <c r="B53" s="14"/>
      <c r="C53" s="15"/>
      <c r="D53" s="16" t="str">
        <f>IFERROR(B53/C53,"")</f>
        <v/>
      </c>
    </row>
    <row r="54" spans="1:4" ht="15.75">
      <c r="A54" s="14"/>
      <c r="B54" s="14"/>
      <c r="C54" s="15"/>
      <c r="D54" s="16" t="str">
        <f>IFERROR(B54/C54,"")</f>
        <v/>
      </c>
    </row>
    <row r="55" spans="1:4" ht="15.75">
      <c r="A55" s="14"/>
      <c r="B55" s="14"/>
      <c r="C55" s="15"/>
      <c r="D55" s="16" t="str">
        <f>IFERROR(B55/C55,"")</f>
        <v/>
      </c>
    </row>
    <row r="56" spans="1:4" ht="15.75">
      <c r="A56" s="14"/>
      <c r="B56" s="14"/>
      <c r="C56" s="15"/>
      <c r="D56" s="16" t="str">
        <f>IFERROR(B56/C56,"")</f>
        <v/>
      </c>
    </row>
    <row r="57" spans="1:4" ht="15.75">
      <c r="A57" s="14"/>
      <c r="B57" s="14"/>
      <c r="C57" s="15"/>
      <c r="D57" s="16" t="str">
        <f>IFERROR(B57/C57,"")</f>
        <v/>
      </c>
    </row>
    <row r="58" spans="1:4" ht="15.75">
      <c r="A58" s="14"/>
      <c r="B58" s="14"/>
      <c r="C58" s="15"/>
      <c r="D58" s="16" t="str">
        <f>IFERROR(B58/C58,"")</f>
        <v/>
      </c>
    </row>
    <row r="59" spans="1:4" ht="15.75">
      <c r="A59" s="14"/>
      <c r="B59" s="14"/>
      <c r="C59" s="15"/>
      <c r="D59" s="16" t="str">
        <f>IFERROR(B59/C59,"")</f>
        <v/>
      </c>
    </row>
    <row r="60" spans="1:4" ht="15.75">
      <c r="A60" s="14"/>
      <c r="B60" s="14"/>
      <c r="C60" s="15"/>
      <c r="D60" s="16" t="str">
        <f>IFERROR(B60/C60,"")</f>
        <v/>
      </c>
    </row>
    <row r="61" spans="1:4" ht="15.75">
      <c r="A61" s="14"/>
      <c r="B61" s="14"/>
      <c r="C61" s="15"/>
      <c r="D61" s="16" t="str">
        <f>IFERROR(B61/C61,"")</f>
        <v/>
      </c>
    </row>
    <row r="62" spans="1:4" ht="15.75">
      <c r="A62" s="14"/>
      <c r="B62" s="14"/>
      <c r="C62" s="15"/>
      <c r="D62" s="16" t="str">
        <f>IFERROR(B62/C62,"")</f>
        <v/>
      </c>
    </row>
    <row r="63" spans="1:4" ht="15.75">
      <c r="A63" s="14"/>
      <c r="B63" s="14"/>
      <c r="C63" s="15"/>
      <c r="D63" s="16" t="str">
        <f>IFERROR(B63/C63,"")</f>
        <v/>
      </c>
    </row>
    <row r="64" spans="1:4" ht="15.75">
      <c r="A64" s="14"/>
      <c r="B64" s="14"/>
      <c r="C64" s="15"/>
      <c r="D64" s="16" t="str">
        <f>IFERROR(B64/C64,"")</f>
        <v/>
      </c>
    </row>
    <row r="65" spans="1:4" ht="15.75">
      <c r="A65" s="14"/>
      <c r="B65" s="14"/>
      <c r="C65" s="15"/>
      <c r="D65" s="16" t="str">
        <f>IFERROR(B65/C65,"")</f>
        <v/>
      </c>
    </row>
    <row r="66" spans="1:4" ht="15.75">
      <c r="A66" s="14"/>
      <c r="B66" s="14"/>
      <c r="C66" s="15"/>
      <c r="D66" s="16" t="str">
        <f>IFERROR(B66/C66,"")</f>
        <v/>
      </c>
    </row>
    <row r="67" spans="1:4" ht="15.75">
      <c r="A67" s="14"/>
      <c r="B67" s="14"/>
      <c r="C67" s="15"/>
      <c r="D67" s="16" t="str">
        <f>IFERROR(B67/C67,"")</f>
        <v/>
      </c>
    </row>
    <row r="68" spans="1:4" ht="15.75">
      <c r="A68" s="14"/>
      <c r="B68" s="14"/>
      <c r="C68" s="15"/>
      <c r="D68" s="16" t="str">
        <f>IFERROR(B68/C68,"")</f>
        <v/>
      </c>
    </row>
    <row r="69" spans="1:4" ht="15.75">
      <c r="A69" s="14"/>
      <c r="B69" s="14"/>
      <c r="C69" s="15"/>
      <c r="D69" s="16" t="str">
        <f>IFERROR(B69/C69,"")</f>
        <v/>
      </c>
    </row>
    <row r="70" spans="1:4" ht="15.75">
      <c r="A70" s="14"/>
      <c r="B70" s="14"/>
      <c r="C70" s="15"/>
      <c r="D70" s="16" t="str">
        <f>IFERROR(B70/C70,"")</f>
        <v/>
      </c>
    </row>
    <row r="71" spans="1:4" ht="15.75">
      <c r="A71" s="14"/>
      <c r="B71" s="14"/>
      <c r="C71" s="15"/>
      <c r="D71" s="16" t="str">
        <f>IFERROR(B71/C71,"")</f>
        <v/>
      </c>
    </row>
    <row r="72" spans="1:4" ht="15.75">
      <c r="A72" s="14"/>
      <c r="B72" s="14"/>
      <c r="C72" s="15"/>
      <c r="D72" s="16" t="str">
        <f>IFERROR(B72/C72,"")</f>
        <v/>
      </c>
    </row>
    <row r="73" spans="1:4" ht="15.75">
      <c r="A73" s="14"/>
      <c r="B73" s="14"/>
      <c r="C73" s="15"/>
      <c r="D73" s="16" t="str">
        <f>IFERROR(B73/C73,"")</f>
        <v/>
      </c>
    </row>
    <row r="74" spans="1:4" ht="15.75">
      <c r="A74" s="14"/>
      <c r="B74" s="14"/>
      <c r="C74" s="15"/>
      <c r="D74" s="16" t="str">
        <f>IFERROR(B74/C74,"")</f>
        <v/>
      </c>
    </row>
    <row r="75" spans="1:4" ht="15.75">
      <c r="A75" s="14"/>
      <c r="B75" s="14"/>
      <c r="C75" s="15"/>
      <c r="D75" s="16" t="str">
        <f>IFERROR(B75/C75,"")</f>
        <v/>
      </c>
    </row>
    <row r="76" spans="1:4" ht="15.75">
      <c r="A76" s="14"/>
      <c r="B76" s="14"/>
      <c r="C76" s="15"/>
      <c r="D76" s="16" t="str">
        <f>IFERROR(B76/C76,"")</f>
        <v/>
      </c>
    </row>
    <row r="77" spans="1:4" ht="15.75">
      <c r="A77" s="14"/>
      <c r="B77" s="14"/>
      <c r="C77" s="15"/>
      <c r="D77" s="16" t="str">
        <f>IFERROR(B77/C77,"")</f>
        <v/>
      </c>
    </row>
    <row r="78" spans="1:4" ht="15.75">
      <c r="A78" s="14"/>
      <c r="B78" s="14"/>
      <c r="C78" s="15"/>
      <c r="D78" s="16" t="str">
        <f>IFERROR(B78/C78,"")</f>
        <v/>
      </c>
    </row>
    <row r="79" spans="1:4" ht="15.75">
      <c r="A79" s="14"/>
      <c r="B79" s="14"/>
      <c r="C79" s="15"/>
      <c r="D79" s="16" t="str">
        <f>IFERROR(B79/C79,"")</f>
        <v/>
      </c>
    </row>
    <row r="80" spans="1:4" ht="15.75">
      <c r="A80" s="14"/>
      <c r="B80" s="14"/>
      <c r="C80" s="15"/>
      <c r="D80" s="16" t="str">
        <f>IFERROR(B80/C80,"")</f>
        <v/>
      </c>
    </row>
    <row r="81" spans="1:4" ht="15.75">
      <c r="A81" s="14"/>
      <c r="B81" s="14"/>
      <c r="C81" s="15"/>
      <c r="D81" s="16" t="str">
        <f>IFERROR(B81/C81,"")</f>
        <v/>
      </c>
    </row>
    <row r="82" spans="1:4" ht="15.75">
      <c r="A82" s="14"/>
      <c r="B82" s="14"/>
      <c r="C82" s="15"/>
      <c r="D82" s="16" t="str">
        <f>IFERROR(B82/C82,"")</f>
        <v/>
      </c>
    </row>
    <row r="83" spans="1:4" ht="15.75">
      <c r="A83" s="14"/>
      <c r="B83" s="14"/>
      <c r="C83" s="15"/>
      <c r="D83" s="16" t="str">
        <f>IFERROR(B83/C83,"")</f>
        <v/>
      </c>
    </row>
    <row r="84" spans="1:4" ht="15.75">
      <c r="A84" s="14"/>
      <c r="B84" s="14"/>
      <c r="C84" s="15"/>
      <c r="D84" s="16" t="str">
        <f>IFERROR(B84/C84,"")</f>
        <v/>
      </c>
    </row>
    <row r="85" spans="1:4" ht="15.75">
      <c r="A85" s="14"/>
      <c r="B85" s="14"/>
      <c r="C85" s="15"/>
      <c r="D85" s="16" t="str">
        <f>IFERROR(B85/C85,"")</f>
        <v/>
      </c>
    </row>
    <row r="86" spans="1:4" ht="15.75">
      <c r="A86" s="14"/>
      <c r="B86" s="14"/>
      <c r="C86" s="15"/>
      <c r="D86" s="16" t="str">
        <f>IFERROR(B86/C86,"")</f>
        <v/>
      </c>
    </row>
    <row r="87" spans="1:4" ht="15.75">
      <c r="A87" s="14"/>
      <c r="B87" s="14"/>
      <c r="C87" s="15"/>
      <c r="D87" s="16" t="str">
        <f>IFERROR(B87/C87,"")</f>
        <v/>
      </c>
    </row>
    <row r="88" spans="1:4" ht="15.75">
      <c r="A88" s="14"/>
      <c r="B88" s="14"/>
      <c r="C88" s="15"/>
      <c r="D88" s="16" t="str">
        <f>IFERROR(B88/C88,"")</f>
        <v/>
      </c>
    </row>
    <row r="89" spans="1:4" ht="15.75">
      <c r="A89" s="14"/>
      <c r="B89" s="14"/>
      <c r="C89" s="15"/>
      <c r="D89" s="16" t="str">
        <f>IFERROR(B89/C89,"")</f>
        <v/>
      </c>
    </row>
    <row r="90" spans="1:4" ht="15.75">
      <c r="A90" s="14"/>
      <c r="B90" s="14"/>
      <c r="C90" s="15"/>
      <c r="D90" s="16" t="str">
        <f>IFERROR(B90/C90,"")</f>
        <v/>
      </c>
    </row>
    <row r="91" spans="1:4" ht="15.75">
      <c r="A91" s="14"/>
      <c r="B91" s="14"/>
      <c r="C91" s="15"/>
      <c r="D91" s="16" t="str">
        <f>IFERROR(B91/C91,"")</f>
        <v/>
      </c>
    </row>
    <row r="92" spans="1:4" ht="15.75">
      <c r="A92" s="14"/>
      <c r="B92" s="14"/>
      <c r="C92" s="15"/>
      <c r="D92" s="16" t="str">
        <f>IFERROR(B92/C92,"")</f>
        <v/>
      </c>
    </row>
    <row r="93" spans="1:4" ht="15.75">
      <c r="A93" s="14"/>
      <c r="B93" s="14"/>
      <c r="C93" s="15"/>
      <c r="D93" s="16" t="str">
        <f>IFERROR(B93/C93,"")</f>
        <v/>
      </c>
    </row>
    <row r="94" spans="1:4" ht="15.75">
      <c r="A94" s="14"/>
      <c r="B94" s="14"/>
      <c r="C94" s="15"/>
      <c r="D94" s="16" t="str">
        <f>IFERROR(B94/C94,"")</f>
        <v/>
      </c>
    </row>
    <row r="95" spans="1:4" ht="15.75">
      <c r="A95" s="14"/>
      <c r="B95" s="14"/>
      <c r="C95" s="15"/>
      <c r="D95" s="16" t="str">
        <f>IFERROR(B95/C95,"")</f>
        <v/>
      </c>
    </row>
    <row r="96" spans="1:4" ht="15.75">
      <c r="A96" s="14"/>
      <c r="B96" s="14"/>
      <c r="C96" s="15"/>
      <c r="D96" s="16" t="str">
        <f>IFERROR(B96/C96,"")</f>
        <v/>
      </c>
    </row>
    <row r="97" spans="1:4" ht="15.75">
      <c r="A97" s="14"/>
      <c r="B97" s="14"/>
      <c r="C97" s="15"/>
      <c r="D97" s="16" t="str">
        <f>IFERROR(B97/C97,"")</f>
        <v/>
      </c>
    </row>
    <row r="98" spans="1:4" ht="15.75">
      <c r="A98" s="14"/>
      <c r="B98" s="14"/>
      <c r="C98" s="15"/>
      <c r="D98" s="16" t="str">
        <f>IFERROR(B98/C98,"")</f>
        <v/>
      </c>
    </row>
    <row r="99" spans="1:4" ht="15.75">
      <c r="A99" s="14"/>
      <c r="B99" s="14"/>
      <c r="C99" s="15"/>
      <c r="D99" s="16" t="str">
        <f>IFERROR(B99/C99,"")</f>
        <v/>
      </c>
    </row>
    <row r="100" spans="1:4" ht="15.75">
      <c r="A100" s="14"/>
      <c r="B100" s="14"/>
      <c r="C100" s="15"/>
      <c r="D100" s="16" t="str">
        <f>IFERROR(B100/C100,"")</f>
        <v/>
      </c>
    </row>
    <row r="101" spans="1:4" ht="15.75">
      <c r="A101" s="14"/>
      <c r="B101" s="14"/>
      <c r="C101" s="15"/>
      <c r="D101" s="16" t="str">
        <f>IFERROR(B101/C101,"")</f>
        <v/>
      </c>
    </row>
    <row r="102" spans="1:4" ht="15.75">
      <c r="A102" s="14"/>
      <c r="B102" s="14"/>
      <c r="C102" s="15"/>
      <c r="D102" s="16" t="str">
        <f>IFERROR(B102/C102,"")</f>
        <v/>
      </c>
    </row>
    <row r="103" spans="1:4" ht="15.75">
      <c r="A103" s="14"/>
      <c r="B103" s="14"/>
      <c r="C103" s="15"/>
      <c r="D103" s="16" t="str">
        <f>IFERROR(B103/C103,"")</f>
        <v/>
      </c>
    </row>
    <row r="104" spans="1:4" ht="15.75">
      <c r="A104" s="14"/>
      <c r="B104" s="14"/>
      <c r="C104" s="15"/>
      <c r="D104" s="16" t="str">
        <f>IFERROR(B104/C104,"")</f>
        <v/>
      </c>
    </row>
    <row r="105" spans="1:4" ht="15.75">
      <c r="A105" s="14"/>
      <c r="B105" s="14"/>
      <c r="C105" s="15"/>
      <c r="D105" s="16" t="str">
        <f>IFERROR(B105/C105,"")</f>
        <v/>
      </c>
    </row>
    <row r="106" spans="1:4" ht="15.75">
      <c r="A106" s="14"/>
      <c r="B106" s="14"/>
      <c r="C106" s="15"/>
      <c r="D106" s="16" t="str">
        <f>IFERROR(B106/C106,"")</f>
        <v/>
      </c>
    </row>
    <row r="107" spans="1:4" ht="15.75">
      <c r="A107" s="14"/>
      <c r="B107" s="14"/>
      <c r="C107" s="15"/>
      <c r="D107" s="16" t="str">
        <f>IFERROR(B107/C107,"")</f>
        <v/>
      </c>
    </row>
    <row r="108" spans="1:4" ht="15.75">
      <c r="A108" s="14"/>
      <c r="B108" s="14"/>
      <c r="C108" s="15"/>
      <c r="D108" s="16" t="str">
        <f>IFERROR(B108/C108,"")</f>
        <v/>
      </c>
    </row>
    <row r="109" spans="1:4" ht="15.75">
      <c r="A109" s="14"/>
      <c r="B109" s="14"/>
      <c r="C109" s="15"/>
      <c r="D109" s="16" t="str">
        <f>IFERROR(B109/C109,"")</f>
        <v/>
      </c>
    </row>
    <row r="110" spans="1:4" ht="15.75">
      <c r="A110" s="14"/>
      <c r="B110" s="14"/>
      <c r="C110" s="15"/>
      <c r="D110" s="16" t="str">
        <f>IFERROR(B110/C110,"")</f>
        <v/>
      </c>
    </row>
    <row r="111" spans="1:4" ht="15.75">
      <c r="A111" s="14"/>
      <c r="B111" s="14"/>
      <c r="C111" s="15"/>
      <c r="D111" s="16" t="str">
        <f>IFERROR(B111/C111,"")</f>
        <v/>
      </c>
    </row>
    <row r="112" spans="1:4" ht="15.75">
      <c r="A112" s="14"/>
      <c r="B112" s="14"/>
      <c r="C112" s="15"/>
      <c r="D112" s="16" t="str">
        <f>IFERROR(B112/C112,"")</f>
        <v/>
      </c>
    </row>
    <row r="113" spans="1:4" ht="15.75">
      <c r="A113" s="14"/>
      <c r="B113" s="14"/>
      <c r="C113" s="15"/>
      <c r="D113" s="16" t="str">
        <f>IFERROR(B113/C113,"")</f>
        <v/>
      </c>
    </row>
    <row r="114" spans="1:4" ht="15.75">
      <c r="A114" s="14"/>
      <c r="B114" s="14"/>
      <c r="C114" s="15"/>
      <c r="D114" s="16" t="str">
        <f>IFERROR(B114/C114,"")</f>
        <v/>
      </c>
    </row>
    <row r="115" spans="1:4" ht="15.75">
      <c r="A115" s="14"/>
      <c r="B115" s="14"/>
      <c r="C115" s="15"/>
      <c r="D115" s="16" t="str">
        <f>IFERROR(B115/C115,"")</f>
        <v/>
      </c>
    </row>
    <row r="116" spans="1:4" ht="15.75">
      <c r="A116" s="14"/>
      <c r="B116" s="14"/>
      <c r="C116" s="15"/>
      <c r="D116" s="16" t="str">
        <f>IFERROR(B116/C116,"")</f>
        <v/>
      </c>
    </row>
    <row r="117" spans="1:4" ht="15.75">
      <c r="A117" s="14"/>
      <c r="B117" s="14"/>
      <c r="C117" s="15"/>
      <c r="D117" s="16" t="str">
        <f>IFERROR(B117/C117,"")</f>
        <v/>
      </c>
    </row>
    <row r="118" spans="1:4" ht="15.75">
      <c r="A118" s="14"/>
      <c r="B118" s="14"/>
      <c r="C118" s="15"/>
      <c r="D118" s="16" t="str">
        <f>IFERROR(B118/C118,"")</f>
        <v/>
      </c>
    </row>
    <row r="119" spans="1:4" ht="15.75">
      <c r="A119" s="14"/>
      <c r="B119" s="14"/>
      <c r="C119" s="15"/>
      <c r="D119" s="16" t="str">
        <f>IFERROR(B119/C119,"")</f>
        <v/>
      </c>
    </row>
    <row r="120" spans="1:4" ht="15.75">
      <c r="A120" s="14"/>
      <c r="B120" s="14"/>
      <c r="C120" s="15"/>
      <c r="D120" s="16" t="str">
        <f>IFERROR(B120/C120,"")</f>
        <v/>
      </c>
    </row>
    <row r="121" spans="1:4" ht="15.75">
      <c r="A121" s="14"/>
      <c r="B121" s="14"/>
      <c r="C121" s="15"/>
      <c r="D121" s="16" t="str">
        <f>IFERROR(B121/C121,"")</f>
        <v/>
      </c>
    </row>
    <row r="122" spans="1:4" ht="15.75">
      <c r="A122" s="14"/>
      <c r="B122" s="14"/>
      <c r="C122" s="15"/>
      <c r="D122" s="16" t="str">
        <f>IFERROR(B122/C122,"")</f>
        <v/>
      </c>
    </row>
    <row r="123" spans="1:4" ht="15.75">
      <c r="A123" s="14"/>
      <c r="B123" s="14"/>
      <c r="C123" s="15"/>
      <c r="D123" s="16" t="str">
        <f>IFERROR(B123/C123,"")</f>
        <v/>
      </c>
    </row>
    <row r="124" spans="1:4" ht="15.75">
      <c r="A124" s="14"/>
      <c r="B124" s="14"/>
      <c r="C124" s="15"/>
      <c r="D124" s="16" t="str">
        <f>IFERROR(B124/C124,"")</f>
        <v/>
      </c>
    </row>
    <row r="125" spans="1:4" ht="15.75">
      <c r="A125" s="14"/>
      <c r="B125" s="14"/>
      <c r="C125" s="15"/>
      <c r="D125" s="16" t="str">
        <f>IFERROR(B125/C125,"")</f>
        <v/>
      </c>
    </row>
    <row r="126" spans="1:4" ht="15.75">
      <c r="A126" s="14"/>
      <c r="B126" s="14"/>
      <c r="C126" s="15"/>
      <c r="D126" s="16" t="str">
        <f>IFERROR(B126/C126,"")</f>
        <v/>
      </c>
    </row>
    <row r="127" spans="1:4" ht="15.75">
      <c r="A127" s="14"/>
      <c r="B127" s="14"/>
      <c r="C127" s="15"/>
      <c r="D127" s="16" t="str">
        <f>IFERROR(B127/C127,"")</f>
        <v/>
      </c>
    </row>
    <row r="128" spans="1:4" ht="15.75">
      <c r="A128" s="14"/>
      <c r="B128" s="14"/>
      <c r="C128" s="15"/>
      <c r="D128" s="16" t="str">
        <f>IFERROR(B128/C128,"")</f>
        <v/>
      </c>
    </row>
    <row r="129" spans="1:4" ht="15.75">
      <c r="A129" s="14"/>
      <c r="B129" s="14"/>
      <c r="C129" s="15"/>
      <c r="D129" s="16" t="str">
        <f>IFERROR(B129/C129,"")</f>
        <v/>
      </c>
    </row>
    <row r="130" spans="1:4" ht="15.75">
      <c r="A130" s="14"/>
      <c r="B130" s="14"/>
      <c r="C130" s="15"/>
      <c r="D130" s="16" t="str">
        <f>IFERROR(B130/C130,"")</f>
        <v/>
      </c>
    </row>
    <row r="131" spans="1:4" ht="15.75">
      <c r="A131" s="14"/>
      <c r="B131" s="14"/>
      <c r="C131" s="15"/>
      <c r="D131" s="16" t="str">
        <f>IFERROR(B131/C131,"")</f>
        <v/>
      </c>
    </row>
    <row r="132" spans="1:4" ht="15.75">
      <c r="A132" s="14"/>
      <c r="B132" s="14"/>
      <c r="C132" s="15"/>
      <c r="D132" s="16" t="str">
        <f>IFERROR(B132/C132,"")</f>
        <v/>
      </c>
    </row>
    <row r="133" spans="1:4" ht="15.75">
      <c r="A133" s="14"/>
      <c r="B133" s="14"/>
      <c r="C133" s="15"/>
      <c r="D133" s="16" t="str">
        <f>IFERROR(B133/C133,"")</f>
        <v/>
      </c>
    </row>
    <row r="134" spans="1:4" ht="15.75">
      <c r="A134" s="14"/>
      <c r="B134" s="14"/>
      <c r="C134" s="15"/>
      <c r="D134" s="16" t="str">
        <f>IFERROR(B134/C134,"")</f>
        <v/>
      </c>
    </row>
    <row r="135" spans="1:4" ht="15.75">
      <c r="A135" s="14"/>
      <c r="B135" s="14"/>
      <c r="C135" s="15"/>
      <c r="D135" s="16" t="str">
        <f>IFERROR(B135/C135,"")</f>
        <v/>
      </c>
    </row>
    <row r="136" spans="1:4" ht="15.75">
      <c r="A136" s="14"/>
      <c r="B136" s="14"/>
      <c r="C136" s="15"/>
      <c r="D136" s="16" t="str">
        <f>IFERROR(B136/C136,"")</f>
        <v/>
      </c>
    </row>
    <row r="137" spans="1:4" ht="15.75">
      <c r="A137" s="14"/>
      <c r="B137" s="14"/>
      <c r="C137" s="15"/>
      <c r="D137" s="16" t="str">
        <f>IFERROR(B137/C137,"")</f>
        <v/>
      </c>
    </row>
    <row r="138" spans="1:4" ht="15.75">
      <c r="A138" s="14"/>
      <c r="B138" s="14"/>
      <c r="C138" s="15"/>
      <c r="D138" s="16" t="str">
        <f t="shared" ref="D133:D164" si="0">IFERROR(B138/C138,"")</f>
        <v/>
      </c>
    </row>
    <row r="139" spans="1:4" ht="15.75">
      <c r="A139" s="14"/>
      <c r="B139" s="14"/>
      <c r="C139" s="15"/>
      <c r="D139" s="16" t="str">
        <f t="shared" si="0"/>
        <v/>
      </c>
    </row>
    <row r="140" spans="1:4" ht="15.75">
      <c r="A140" s="14"/>
      <c r="B140" s="14"/>
      <c r="C140" s="15"/>
      <c r="D140" s="16" t="str">
        <f t="shared" si="0"/>
        <v/>
      </c>
    </row>
    <row r="141" spans="1:4" ht="15.75">
      <c r="A141" s="14"/>
      <c r="B141" s="14"/>
      <c r="C141" s="15"/>
      <c r="D141" s="16" t="str">
        <f t="shared" si="0"/>
        <v/>
      </c>
    </row>
    <row r="142" spans="1:4" ht="15.75">
      <c r="A142" s="14"/>
      <c r="B142" s="14"/>
      <c r="C142" s="15"/>
      <c r="D142" s="16" t="str">
        <f t="shared" si="0"/>
        <v/>
      </c>
    </row>
    <row r="143" spans="1:4" ht="15.75">
      <c r="A143" s="14"/>
      <c r="B143" s="14"/>
      <c r="C143" s="15"/>
      <c r="D143" s="16" t="str">
        <f t="shared" si="0"/>
        <v/>
      </c>
    </row>
    <row r="144" spans="1:4" ht="15.75">
      <c r="A144" s="14"/>
      <c r="B144" s="14"/>
      <c r="C144" s="15"/>
      <c r="D144" s="16" t="str">
        <f t="shared" si="0"/>
        <v/>
      </c>
    </row>
    <row r="145" spans="1:4" ht="15.75">
      <c r="A145" s="14"/>
      <c r="B145" s="14"/>
      <c r="C145" s="15"/>
      <c r="D145" s="16" t="str">
        <f t="shared" si="0"/>
        <v/>
      </c>
    </row>
    <row r="146" spans="1:4" ht="15.75">
      <c r="A146" s="14"/>
      <c r="B146" s="14"/>
      <c r="C146" s="15"/>
      <c r="D146" s="16" t="str">
        <f t="shared" si="0"/>
        <v/>
      </c>
    </row>
    <row r="147" spans="1:4" ht="15.75">
      <c r="A147" s="14"/>
      <c r="B147" s="14"/>
      <c r="C147" s="15"/>
      <c r="D147" s="16" t="str">
        <f t="shared" si="0"/>
        <v/>
      </c>
    </row>
    <row r="148" spans="1:4" ht="15.75">
      <c r="A148" s="14"/>
      <c r="B148" s="14"/>
      <c r="C148" s="15"/>
      <c r="D148" s="16" t="str">
        <f t="shared" si="0"/>
        <v/>
      </c>
    </row>
    <row r="149" spans="1:4" ht="15.75">
      <c r="A149" s="14"/>
      <c r="B149" s="14"/>
      <c r="C149" s="15"/>
      <c r="D149" s="16" t="str">
        <f t="shared" si="0"/>
        <v/>
      </c>
    </row>
    <row r="150" spans="1:4" ht="15.75">
      <c r="A150" s="14"/>
      <c r="B150" s="14"/>
      <c r="C150" s="15"/>
      <c r="D150" s="16" t="str">
        <f t="shared" si="0"/>
        <v/>
      </c>
    </row>
    <row r="151" spans="1:4" ht="15.75">
      <c r="A151" s="14"/>
      <c r="B151" s="14"/>
      <c r="C151" s="15"/>
      <c r="D151" s="16" t="str">
        <f t="shared" si="0"/>
        <v/>
      </c>
    </row>
    <row r="152" spans="1:4" ht="15.75">
      <c r="A152" s="14"/>
      <c r="B152" s="14"/>
      <c r="C152" s="15"/>
      <c r="D152" s="16" t="str">
        <f t="shared" si="0"/>
        <v/>
      </c>
    </row>
    <row r="153" spans="1:4" ht="15.75">
      <c r="A153" s="14"/>
      <c r="B153" s="14"/>
      <c r="C153" s="15"/>
      <c r="D153" s="16" t="str">
        <f t="shared" si="0"/>
        <v/>
      </c>
    </row>
    <row r="154" spans="1:4" ht="15.75">
      <c r="A154" s="14"/>
      <c r="B154" s="14"/>
      <c r="C154" s="15"/>
      <c r="D154" s="16" t="str">
        <f t="shared" si="0"/>
        <v/>
      </c>
    </row>
    <row r="155" spans="1:4" ht="15.75">
      <c r="A155" s="14"/>
      <c r="B155" s="14"/>
      <c r="C155" s="15"/>
      <c r="D155" s="16" t="str">
        <f t="shared" si="0"/>
        <v/>
      </c>
    </row>
    <row r="156" spans="1:4" ht="15.75">
      <c r="A156" s="14"/>
      <c r="B156" s="14"/>
      <c r="C156" s="15"/>
      <c r="D156" s="16" t="str">
        <f t="shared" si="0"/>
        <v/>
      </c>
    </row>
    <row r="157" spans="1:4" ht="15.75">
      <c r="A157" s="14"/>
      <c r="B157" s="14"/>
      <c r="C157" s="15"/>
      <c r="D157" s="16" t="str">
        <f t="shared" si="0"/>
        <v/>
      </c>
    </row>
    <row r="158" spans="1:4" ht="15.75">
      <c r="A158" s="14"/>
      <c r="B158" s="14"/>
      <c r="C158" s="15"/>
      <c r="D158" s="16" t="str">
        <f t="shared" si="0"/>
        <v/>
      </c>
    </row>
    <row r="159" spans="1:4" ht="15.75">
      <c r="A159" s="14"/>
      <c r="B159" s="14"/>
      <c r="C159" s="15"/>
      <c r="D159" s="16" t="str">
        <f t="shared" si="0"/>
        <v/>
      </c>
    </row>
    <row r="160" spans="1:4" ht="15.75">
      <c r="A160" s="14"/>
      <c r="B160" s="14"/>
      <c r="C160" s="15"/>
      <c r="D160" s="16" t="str">
        <f t="shared" si="0"/>
        <v/>
      </c>
    </row>
    <row r="161" spans="1:4" ht="15.75">
      <c r="A161" s="14"/>
      <c r="B161" s="14"/>
      <c r="C161" s="15"/>
      <c r="D161" s="16" t="str">
        <f t="shared" si="0"/>
        <v/>
      </c>
    </row>
    <row r="162" spans="1:4" ht="15.75">
      <c r="A162" s="14"/>
      <c r="B162" s="14"/>
      <c r="C162" s="15"/>
      <c r="D162" s="16" t="str">
        <f t="shared" si="0"/>
        <v/>
      </c>
    </row>
    <row r="163" spans="1:4" ht="15.75">
      <c r="A163" s="14"/>
      <c r="B163" s="14"/>
      <c r="C163" s="15"/>
      <c r="D163" s="16" t="str">
        <f t="shared" si="0"/>
        <v/>
      </c>
    </row>
    <row r="164" spans="1:4" ht="15.75">
      <c r="A164" s="14"/>
      <c r="B164" s="14"/>
      <c r="C164" s="15"/>
      <c r="D164" s="16" t="str">
        <f t="shared" si="0"/>
        <v/>
      </c>
    </row>
    <row r="165" spans="1:4" ht="15.75">
      <c r="A165" s="14"/>
      <c r="B165" s="14"/>
      <c r="C165" s="15"/>
      <c r="D165" s="16" t="str">
        <f t="shared" ref="D165:D174" si="1">IFERROR(B165/C165,"")</f>
        <v/>
      </c>
    </row>
    <row r="166" spans="1:4" ht="15.75">
      <c r="A166" s="14"/>
      <c r="B166" s="14"/>
      <c r="C166" s="15"/>
      <c r="D166" s="16" t="str">
        <f t="shared" si="1"/>
        <v/>
      </c>
    </row>
    <row r="167" spans="1:4" ht="15.75">
      <c r="A167" s="14"/>
      <c r="B167" s="14"/>
      <c r="C167" s="15"/>
      <c r="D167" s="16" t="str">
        <f t="shared" si="1"/>
        <v/>
      </c>
    </row>
    <row r="168" spans="1:4" ht="15.75">
      <c r="A168" s="14"/>
      <c r="B168" s="14"/>
      <c r="C168" s="15"/>
      <c r="D168" s="16" t="str">
        <f t="shared" si="1"/>
        <v/>
      </c>
    </row>
    <row r="169" spans="1:4" ht="15.75">
      <c r="A169" s="14"/>
      <c r="B169" s="14"/>
      <c r="C169" s="15"/>
      <c r="D169" s="16" t="str">
        <f t="shared" si="1"/>
        <v/>
      </c>
    </row>
    <row r="170" spans="1:4" ht="15.75">
      <c r="A170" s="14"/>
      <c r="B170" s="14"/>
      <c r="C170" s="15"/>
      <c r="D170" s="16" t="str">
        <f t="shared" si="1"/>
        <v/>
      </c>
    </row>
    <row r="171" spans="1:4" ht="15.75">
      <c r="A171" s="14"/>
      <c r="B171" s="14"/>
      <c r="C171" s="15"/>
      <c r="D171" s="16" t="str">
        <f t="shared" si="1"/>
        <v/>
      </c>
    </row>
    <row r="172" spans="1:4" ht="15.75">
      <c r="A172" s="14"/>
      <c r="B172" s="14"/>
      <c r="C172" s="15"/>
      <c r="D172" s="16" t="str">
        <f t="shared" si="1"/>
        <v/>
      </c>
    </row>
    <row r="173" spans="1:4" ht="15.75">
      <c r="A173" s="14"/>
      <c r="B173" s="14"/>
      <c r="C173" s="15"/>
      <c r="D173" s="16" t="str">
        <f t="shared" si="1"/>
        <v/>
      </c>
    </row>
    <row r="174" spans="1:4" ht="15.75">
      <c r="A174" s="14"/>
      <c r="B174" s="14"/>
      <c r="C174" s="15"/>
      <c r="D174" s="16" t="str">
        <f t="shared" si="1"/>
        <v/>
      </c>
    </row>
    <row r="175" spans="1:4" ht="15.75">
      <c r="A175" s="14"/>
      <c r="B175" s="14"/>
      <c r="C175" s="15"/>
      <c r="D175" s="16" t="str">
        <f t="shared" ref="D175:D196" si="2">IFERROR(B175/C175,"")</f>
        <v/>
      </c>
    </row>
    <row r="176" spans="1:4" ht="15.75">
      <c r="A176" s="14"/>
      <c r="B176" s="14"/>
      <c r="C176" s="15"/>
      <c r="D176" s="16" t="str">
        <f t="shared" si="2"/>
        <v/>
      </c>
    </row>
    <row r="177" spans="1:4" ht="15.75">
      <c r="A177" s="14"/>
      <c r="B177" s="14"/>
      <c r="C177" s="15"/>
      <c r="D177" s="16" t="str">
        <f t="shared" si="2"/>
        <v/>
      </c>
    </row>
    <row r="178" spans="1:4" ht="15.75">
      <c r="A178" s="14"/>
      <c r="B178" s="14"/>
      <c r="C178" s="15"/>
      <c r="D178" s="16" t="str">
        <f t="shared" si="2"/>
        <v/>
      </c>
    </row>
    <row r="179" spans="1:4" ht="15.75">
      <c r="A179" s="14"/>
      <c r="B179" s="14"/>
      <c r="C179" s="15"/>
      <c r="D179" s="16" t="str">
        <f t="shared" si="2"/>
        <v/>
      </c>
    </row>
    <row r="180" spans="1:4" ht="15.75">
      <c r="A180" s="14"/>
      <c r="B180" s="14"/>
      <c r="C180" s="15"/>
      <c r="D180" s="16" t="str">
        <f t="shared" si="2"/>
        <v/>
      </c>
    </row>
    <row r="181" spans="1:4" ht="15.75">
      <c r="A181" s="14"/>
      <c r="B181" s="14"/>
      <c r="C181" s="15"/>
      <c r="D181" s="16" t="str">
        <f t="shared" si="2"/>
        <v/>
      </c>
    </row>
    <row r="182" spans="1:4" ht="15.75">
      <c r="A182" s="14"/>
      <c r="B182" s="14"/>
      <c r="C182" s="15"/>
      <c r="D182" s="16" t="str">
        <f t="shared" si="2"/>
        <v/>
      </c>
    </row>
    <row r="183" spans="1:4" ht="15.75">
      <c r="A183" s="14"/>
      <c r="B183" s="14"/>
      <c r="C183" s="15"/>
      <c r="D183" s="16" t="str">
        <f t="shared" si="2"/>
        <v/>
      </c>
    </row>
    <row r="184" spans="1:4" ht="15.75">
      <c r="A184" s="14"/>
      <c r="B184" s="14"/>
      <c r="C184" s="15"/>
      <c r="D184" s="16" t="str">
        <f t="shared" si="2"/>
        <v/>
      </c>
    </row>
    <row r="185" spans="1:4" ht="15.75">
      <c r="A185" s="14"/>
      <c r="B185" s="14"/>
      <c r="C185" s="15"/>
      <c r="D185" s="16" t="str">
        <f t="shared" si="2"/>
        <v/>
      </c>
    </row>
    <row r="186" spans="1:4" ht="15.75">
      <c r="A186" s="14"/>
      <c r="B186" s="14"/>
      <c r="C186" s="15"/>
      <c r="D186" s="16" t="str">
        <f t="shared" si="2"/>
        <v/>
      </c>
    </row>
    <row r="187" spans="1:4" ht="15.75">
      <c r="A187" s="14"/>
      <c r="B187" s="14"/>
      <c r="C187" s="15"/>
      <c r="D187" s="16" t="str">
        <f t="shared" si="2"/>
        <v/>
      </c>
    </row>
    <row r="188" spans="1:4" ht="15.75">
      <c r="A188" s="14"/>
      <c r="B188" s="14"/>
      <c r="C188" s="15"/>
      <c r="D188" s="16" t="str">
        <f t="shared" si="2"/>
        <v/>
      </c>
    </row>
    <row r="189" spans="1:4" ht="15.75">
      <c r="A189" s="14"/>
      <c r="B189" s="14"/>
      <c r="C189" s="15"/>
      <c r="D189" s="16" t="str">
        <f t="shared" si="2"/>
        <v/>
      </c>
    </row>
    <row r="190" spans="1:4" ht="15.75">
      <c r="A190" s="14"/>
      <c r="B190" s="14"/>
      <c r="C190" s="15"/>
      <c r="D190" s="16" t="str">
        <f t="shared" si="2"/>
        <v/>
      </c>
    </row>
    <row r="191" spans="1:4" ht="15.75">
      <c r="A191" s="14"/>
      <c r="B191" s="14"/>
      <c r="C191" s="15"/>
      <c r="D191" s="16" t="str">
        <f t="shared" si="2"/>
        <v/>
      </c>
    </row>
    <row r="192" spans="1:4" ht="15.75">
      <c r="A192" s="14"/>
      <c r="B192" s="14"/>
      <c r="C192" s="15"/>
      <c r="D192" s="16" t="str">
        <f t="shared" si="2"/>
        <v/>
      </c>
    </row>
    <row r="193" spans="1:4" ht="15.75">
      <c r="A193" s="14"/>
      <c r="B193" s="14"/>
      <c r="C193" s="15"/>
      <c r="D193" s="16" t="str">
        <f t="shared" si="2"/>
        <v/>
      </c>
    </row>
    <row r="194" spans="1:4" ht="15.75">
      <c r="A194" s="14"/>
      <c r="B194" s="14"/>
      <c r="C194" s="15"/>
      <c r="D194" s="16" t="str">
        <f t="shared" si="2"/>
        <v/>
      </c>
    </row>
    <row r="195" spans="1:4" ht="15.75">
      <c r="A195" s="14"/>
      <c r="B195" s="14"/>
      <c r="C195" s="15"/>
      <c r="D195" s="16" t="str">
        <f t="shared" si="2"/>
        <v/>
      </c>
    </row>
    <row r="196" spans="1:4" ht="15.75">
      <c r="A196" s="14"/>
      <c r="B196" s="14"/>
      <c r="C196" s="15"/>
      <c r="D196" s="16" t="str">
        <f t="shared" si="2"/>
        <v/>
      </c>
    </row>
    <row r="197" spans="1:4" ht="15.75">
      <c r="A197" s="14"/>
      <c r="B197" s="14"/>
      <c r="C197" s="15"/>
      <c r="D197" s="16" t="str">
        <f t="shared" ref="D197:D217" si="3">IFERROR(B197/C197,"")</f>
        <v/>
      </c>
    </row>
    <row r="198" spans="1:4" ht="15.75">
      <c r="A198" s="14"/>
      <c r="B198" s="14"/>
      <c r="C198" s="15"/>
      <c r="D198" s="16" t="str">
        <f t="shared" si="3"/>
        <v/>
      </c>
    </row>
    <row r="199" spans="1:4" ht="15.75">
      <c r="A199" s="14"/>
      <c r="B199" s="14"/>
      <c r="C199" s="15"/>
      <c r="D199" s="16" t="str">
        <f t="shared" si="3"/>
        <v/>
      </c>
    </row>
    <row r="200" spans="1:4" ht="15.75">
      <c r="A200" s="14"/>
      <c r="B200" s="14"/>
      <c r="C200" s="15"/>
      <c r="D200" s="16" t="str">
        <f t="shared" si="3"/>
        <v/>
      </c>
    </row>
    <row r="201" spans="1:4" ht="15.75">
      <c r="A201" s="14"/>
      <c r="B201" s="14"/>
      <c r="C201" s="15"/>
      <c r="D201" s="16" t="str">
        <f t="shared" si="3"/>
        <v/>
      </c>
    </row>
    <row r="202" spans="1:4" ht="15.75">
      <c r="A202" s="14"/>
      <c r="B202" s="14"/>
      <c r="C202" s="15"/>
      <c r="D202" s="16" t="str">
        <f t="shared" si="3"/>
        <v/>
      </c>
    </row>
    <row r="203" spans="1:4" ht="15.75">
      <c r="A203" s="14"/>
      <c r="B203" s="14"/>
      <c r="C203" s="15"/>
      <c r="D203" s="16" t="str">
        <f t="shared" si="3"/>
        <v/>
      </c>
    </row>
    <row r="204" spans="1:4" ht="15.75">
      <c r="A204" s="14"/>
      <c r="B204" s="14"/>
      <c r="C204" s="15"/>
      <c r="D204" s="16" t="str">
        <f t="shared" si="3"/>
        <v/>
      </c>
    </row>
    <row r="205" spans="1:4" ht="15.75">
      <c r="A205" s="14"/>
      <c r="B205" s="14"/>
      <c r="C205" s="15"/>
      <c r="D205" s="16" t="str">
        <f t="shared" si="3"/>
        <v/>
      </c>
    </row>
    <row r="206" spans="1:4" ht="15.75">
      <c r="A206" s="14"/>
      <c r="B206" s="14"/>
      <c r="C206" s="15"/>
      <c r="D206" s="16" t="str">
        <f t="shared" si="3"/>
        <v/>
      </c>
    </row>
    <row r="207" spans="1:4" ht="15.75">
      <c r="A207" s="14"/>
      <c r="B207" s="14"/>
      <c r="C207" s="15"/>
      <c r="D207" s="16" t="str">
        <f t="shared" si="3"/>
        <v/>
      </c>
    </row>
    <row r="208" spans="1:4" ht="15.75">
      <c r="A208" s="14"/>
      <c r="B208" s="14"/>
      <c r="C208" s="15"/>
      <c r="D208" s="16" t="str">
        <f t="shared" si="3"/>
        <v/>
      </c>
    </row>
    <row r="209" spans="1:4" ht="15.75">
      <c r="A209" s="14"/>
      <c r="B209" s="14"/>
      <c r="C209" s="15"/>
      <c r="D209" s="16" t="str">
        <f t="shared" si="3"/>
        <v/>
      </c>
    </row>
    <row r="210" spans="1:4" ht="15.75">
      <c r="A210" s="14"/>
      <c r="B210" s="14"/>
      <c r="C210" s="15"/>
      <c r="D210" s="16" t="str">
        <f t="shared" si="3"/>
        <v/>
      </c>
    </row>
    <row r="211" spans="1:4" ht="15.75">
      <c r="A211" s="14"/>
      <c r="B211" s="14"/>
      <c r="C211" s="15"/>
      <c r="D211" s="16" t="str">
        <f t="shared" si="3"/>
        <v/>
      </c>
    </row>
    <row r="212" spans="1:4" ht="15.75">
      <c r="A212" s="14"/>
      <c r="B212" s="14"/>
      <c r="C212" s="15"/>
      <c r="D212" s="16" t="str">
        <f t="shared" si="3"/>
        <v/>
      </c>
    </row>
    <row r="213" spans="1:4" ht="15.75">
      <c r="A213" s="14"/>
      <c r="B213" s="14"/>
      <c r="C213" s="15"/>
      <c r="D213" s="16" t="str">
        <f t="shared" si="3"/>
        <v/>
      </c>
    </row>
    <row r="214" spans="1:4" ht="15.75">
      <c r="A214" s="14"/>
      <c r="B214" s="14"/>
      <c r="C214" s="15"/>
      <c r="D214" s="16" t="str">
        <f t="shared" si="3"/>
        <v/>
      </c>
    </row>
    <row r="215" spans="1:4" ht="15.75">
      <c r="A215" s="14"/>
      <c r="B215" s="14"/>
      <c r="C215" s="15"/>
      <c r="D215" s="16" t="str">
        <f t="shared" si="3"/>
        <v/>
      </c>
    </row>
    <row r="216" spans="1:4" ht="15.75">
      <c r="A216" s="14"/>
      <c r="B216" s="14"/>
      <c r="C216" s="15"/>
      <c r="D216" s="16" t="str">
        <f t="shared" si="3"/>
        <v/>
      </c>
    </row>
    <row r="217" spans="1:4" ht="15.75">
      <c r="A217" s="14"/>
      <c r="B217" s="14"/>
      <c r="C217" s="15"/>
      <c r="D217" s="16" t="str">
        <f t="shared" si="3"/>
        <v/>
      </c>
    </row>
    <row r="218" spans="1:4" ht="15.75">
      <c r="A218" s="14"/>
      <c r="B218" s="14"/>
      <c r="C218" s="15"/>
      <c r="D218" s="16" t="str">
        <f t="shared" ref="D218:D260" si="4">IFERROR(B218/C218,"")</f>
        <v/>
      </c>
    </row>
    <row r="219" spans="1:4" ht="15.75">
      <c r="A219" s="14"/>
      <c r="B219" s="14"/>
      <c r="C219" s="15"/>
      <c r="D219" s="16" t="str">
        <f t="shared" si="4"/>
        <v/>
      </c>
    </row>
    <row r="220" spans="1:4" ht="15.75">
      <c r="A220" s="14"/>
      <c r="B220" s="14"/>
      <c r="C220" s="15"/>
      <c r="D220" s="16" t="str">
        <f t="shared" si="4"/>
        <v/>
      </c>
    </row>
    <row r="221" spans="1:4" ht="15.75">
      <c r="A221" s="14"/>
      <c r="B221" s="14"/>
      <c r="C221" s="15"/>
      <c r="D221" s="16" t="str">
        <f t="shared" si="4"/>
        <v/>
      </c>
    </row>
    <row r="222" spans="1:4" ht="15.75">
      <c r="A222" s="14"/>
      <c r="B222" s="14"/>
      <c r="C222" s="15"/>
      <c r="D222" s="16" t="str">
        <f t="shared" si="4"/>
        <v/>
      </c>
    </row>
    <row r="223" spans="1:4" ht="15.75">
      <c r="A223" s="14"/>
      <c r="B223" s="14"/>
      <c r="C223" s="15"/>
      <c r="D223" s="16" t="str">
        <f t="shared" si="4"/>
        <v/>
      </c>
    </row>
    <row r="224" spans="1:4" ht="15.75">
      <c r="A224" s="14"/>
      <c r="B224" s="14"/>
      <c r="C224" s="15"/>
      <c r="D224" s="16" t="str">
        <f t="shared" si="4"/>
        <v/>
      </c>
    </row>
    <row r="225" spans="1:4" ht="15.75">
      <c r="A225" s="14"/>
      <c r="B225" s="14"/>
      <c r="C225" s="15"/>
      <c r="D225" s="16" t="str">
        <f t="shared" si="4"/>
        <v/>
      </c>
    </row>
    <row r="226" spans="1:4" ht="15.75">
      <c r="A226" s="14"/>
      <c r="B226" s="14"/>
      <c r="C226" s="15"/>
      <c r="D226" s="16" t="str">
        <f t="shared" si="4"/>
        <v/>
      </c>
    </row>
    <row r="227" spans="1:4" ht="15.75">
      <c r="A227" s="14"/>
      <c r="B227" s="14"/>
      <c r="C227" s="15"/>
      <c r="D227" s="16" t="str">
        <f t="shared" si="4"/>
        <v/>
      </c>
    </row>
    <row r="228" spans="1:4" ht="15.75">
      <c r="A228" s="14"/>
      <c r="B228" s="14"/>
      <c r="C228" s="15"/>
      <c r="D228" s="16" t="str">
        <f t="shared" si="4"/>
        <v/>
      </c>
    </row>
    <row r="229" spans="1:4" ht="15.75">
      <c r="A229" s="14"/>
      <c r="B229" s="14"/>
      <c r="C229" s="15"/>
      <c r="D229" s="16" t="str">
        <f t="shared" si="4"/>
        <v/>
      </c>
    </row>
    <row r="230" spans="1:4" ht="15.75">
      <c r="A230" s="14"/>
      <c r="B230" s="14"/>
      <c r="C230" s="15"/>
      <c r="D230" s="16" t="str">
        <f t="shared" si="4"/>
        <v/>
      </c>
    </row>
    <row r="231" spans="1:4" ht="15.75">
      <c r="A231" s="14"/>
      <c r="B231" s="14"/>
      <c r="C231" s="15"/>
      <c r="D231" s="16" t="str">
        <f t="shared" si="4"/>
        <v/>
      </c>
    </row>
    <row r="232" spans="1:4" ht="15.75">
      <c r="A232" s="14"/>
      <c r="B232" s="14"/>
      <c r="C232" s="15"/>
      <c r="D232" s="16" t="str">
        <f t="shared" si="4"/>
        <v/>
      </c>
    </row>
    <row r="233" spans="1:4" ht="15.75">
      <c r="A233" s="14"/>
      <c r="B233" s="14"/>
      <c r="C233" s="15"/>
      <c r="D233" s="16" t="str">
        <f t="shared" si="4"/>
        <v/>
      </c>
    </row>
    <row r="234" spans="1:4" ht="15.75">
      <c r="A234" s="14"/>
      <c r="B234" s="14"/>
      <c r="C234" s="15"/>
      <c r="D234" s="16" t="str">
        <f t="shared" si="4"/>
        <v/>
      </c>
    </row>
    <row r="235" spans="1:4" ht="15.75">
      <c r="A235" s="14"/>
      <c r="B235" s="14"/>
      <c r="C235" s="15"/>
      <c r="D235" s="16" t="str">
        <f t="shared" si="4"/>
        <v/>
      </c>
    </row>
    <row r="236" spans="1:4" ht="15.75">
      <c r="A236" s="14"/>
      <c r="B236" s="14"/>
      <c r="C236" s="15"/>
      <c r="D236" s="16" t="str">
        <f t="shared" si="4"/>
        <v/>
      </c>
    </row>
    <row r="237" spans="1:4" ht="15.75">
      <c r="A237" s="14"/>
      <c r="B237" s="14"/>
      <c r="C237" s="15"/>
      <c r="D237" s="16" t="str">
        <f t="shared" si="4"/>
        <v/>
      </c>
    </row>
    <row r="238" spans="1:4" ht="15.75">
      <c r="A238" s="14"/>
      <c r="B238" s="14"/>
      <c r="C238" s="15"/>
      <c r="D238" s="16" t="str">
        <f t="shared" si="4"/>
        <v/>
      </c>
    </row>
    <row r="239" spans="1:4" ht="15.75">
      <c r="A239" s="14"/>
      <c r="B239" s="14"/>
      <c r="C239" s="15"/>
      <c r="D239" s="16" t="str">
        <f t="shared" si="4"/>
        <v/>
      </c>
    </row>
    <row r="240" spans="1:4" ht="15.75">
      <c r="A240" s="14"/>
      <c r="B240" s="14"/>
      <c r="C240" s="15"/>
      <c r="D240" s="16" t="str">
        <f t="shared" si="4"/>
        <v/>
      </c>
    </row>
    <row r="241" spans="1:4" ht="15.75">
      <c r="A241" s="14"/>
      <c r="B241" s="14"/>
      <c r="C241" s="15"/>
      <c r="D241" s="16" t="str">
        <f t="shared" si="4"/>
        <v/>
      </c>
    </row>
    <row r="242" spans="1:4" ht="15.75">
      <c r="A242" s="14"/>
      <c r="B242" s="14"/>
      <c r="C242" s="15"/>
      <c r="D242" s="16" t="str">
        <f t="shared" si="4"/>
        <v/>
      </c>
    </row>
    <row r="243" spans="1:4" ht="15.75">
      <c r="A243" s="14"/>
      <c r="B243" s="14"/>
      <c r="C243" s="15"/>
      <c r="D243" s="16" t="str">
        <f t="shared" si="4"/>
        <v/>
      </c>
    </row>
    <row r="244" spans="1:4" ht="15.75">
      <c r="A244" s="14"/>
      <c r="B244" s="14"/>
      <c r="C244" s="15"/>
      <c r="D244" s="16" t="str">
        <f t="shared" si="4"/>
        <v/>
      </c>
    </row>
    <row r="245" spans="1:4" ht="15.75">
      <c r="A245" s="14"/>
      <c r="B245" s="14"/>
      <c r="C245" s="15"/>
      <c r="D245" s="16" t="str">
        <f t="shared" si="4"/>
        <v/>
      </c>
    </row>
    <row r="246" spans="1:4" ht="15.75">
      <c r="A246" s="14"/>
      <c r="B246" s="14"/>
      <c r="C246" s="15"/>
      <c r="D246" s="16" t="str">
        <f t="shared" si="4"/>
        <v/>
      </c>
    </row>
    <row r="247" spans="1:4" ht="15.75">
      <c r="A247" s="14"/>
      <c r="B247" s="14"/>
      <c r="C247" s="15"/>
      <c r="D247" s="16" t="str">
        <f t="shared" si="4"/>
        <v/>
      </c>
    </row>
    <row r="248" spans="1:4" ht="15.75">
      <c r="A248" s="14"/>
      <c r="B248" s="14"/>
      <c r="C248" s="15"/>
      <c r="D248" s="16" t="str">
        <f t="shared" si="4"/>
        <v/>
      </c>
    </row>
    <row r="249" spans="1:4" ht="15.75">
      <c r="A249" s="14"/>
      <c r="B249" s="14"/>
      <c r="C249" s="15"/>
      <c r="D249" s="16" t="str">
        <f t="shared" si="4"/>
        <v/>
      </c>
    </row>
    <row r="250" spans="1:4" ht="15.75">
      <c r="A250" s="14"/>
      <c r="B250" s="14"/>
      <c r="C250" s="15"/>
      <c r="D250" s="16" t="str">
        <f t="shared" si="4"/>
        <v/>
      </c>
    </row>
    <row r="251" spans="1:4" ht="15.75">
      <c r="A251" s="14"/>
      <c r="B251" s="14"/>
      <c r="C251" s="15"/>
      <c r="D251" s="16" t="str">
        <f t="shared" si="4"/>
        <v/>
      </c>
    </row>
    <row r="252" spans="1:4" ht="15.75">
      <c r="A252" s="14"/>
      <c r="B252" s="14"/>
      <c r="C252" s="15"/>
      <c r="D252" s="16" t="str">
        <f t="shared" si="4"/>
        <v/>
      </c>
    </row>
    <row r="253" spans="1:4" ht="15.75">
      <c r="A253" s="14"/>
      <c r="B253" s="14"/>
      <c r="C253" s="15"/>
      <c r="D253" s="16" t="str">
        <f t="shared" si="4"/>
        <v/>
      </c>
    </row>
    <row r="254" spans="1:4" ht="15.75">
      <c r="A254" s="14"/>
      <c r="B254" s="14"/>
      <c r="C254" s="15"/>
      <c r="D254" s="16" t="str">
        <f t="shared" si="4"/>
        <v/>
      </c>
    </row>
    <row r="255" spans="1:4" ht="15.75">
      <c r="A255" s="14"/>
      <c r="B255" s="14"/>
      <c r="C255" s="15"/>
      <c r="D255" s="16" t="str">
        <f t="shared" si="4"/>
        <v/>
      </c>
    </row>
    <row r="256" spans="1:4" ht="15.75">
      <c r="A256" s="14"/>
      <c r="B256" s="14"/>
      <c r="C256" s="15"/>
      <c r="D256" s="16" t="str">
        <f t="shared" si="4"/>
        <v/>
      </c>
    </row>
    <row r="257" spans="1:4" ht="15.75">
      <c r="A257" s="14"/>
      <c r="B257" s="14"/>
      <c r="C257" s="15"/>
      <c r="D257" s="16" t="str">
        <f t="shared" si="4"/>
        <v/>
      </c>
    </row>
    <row r="258" spans="1:4" ht="15.75">
      <c r="A258" s="14"/>
      <c r="B258" s="14"/>
      <c r="C258" s="15"/>
      <c r="D258" s="16" t="str">
        <f t="shared" si="4"/>
        <v/>
      </c>
    </row>
    <row r="259" spans="1:4" ht="15.75">
      <c r="A259" s="14"/>
      <c r="B259" s="14"/>
      <c r="C259" s="15"/>
      <c r="D259" s="16" t="str">
        <f t="shared" si="4"/>
        <v/>
      </c>
    </row>
    <row r="260" spans="1:4" ht="15.75">
      <c r="A260" s="14"/>
      <c r="B260" s="14"/>
      <c r="C260" s="15"/>
      <c r="D260" s="16" t="str">
        <f t="shared" si="4"/>
        <v/>
      </c>
    </row>
    <row r="261" spans="1:4" ht="15.75">
      <c r="A261" s="14"/>
      <c r="B261" s="14"/>
      <c r="C261" s="15"/>
      <c r="D261" s="16" t="str">
        <f t="shared" ref="D261:D324" si="5">IFERROR(B261/C261,"")</f>
        <v/>
      </c>
    </row>
    <row r="262" spans="1:4" ht="15.75">
      <c r="A262" s="14"/>
      <c r="B262" s="14"/>
      <c r="C262" s="15"/>
      <c r="D262" s="16" t="str">
        <f t="shared" si="5"/>
        <v/>
      </c>
    </row>
    <row r="263" spans="1:4" ht="15.75">
      <c r="A263" s="14"/>
      <c r="B263" s="14"/>
      <c r="C263" s="15"/>
      <c r="D263" s="16" t="str">
        <f t="shared" si="5"/>
        <v/>
      </c>
    </row>
    <row r="264" spans="1:4" ht="15.75">
      <c r="A264" s="14"/>
      <c r="B264" s="14"/>
      <c r="C264" s="15"/>
      <c r="D264" s="16" t="str">
        <f t="shared" si="5"/>
        <v/>
      </c>
    </row>
    <row r="265" spans="1:4" ht="15.75">
      <c r="A265" s="14"/>
      <c r="B265" s="14"/>
      <c r="C265" s="15"/>
      <c r="D265" s="16" t="str">
        <f t="shared" si="5"/>
        <v/>
      </c>
    </row>
    <row r="266" spans="1:4" ht="15.75">
      <c r="A266" s="14"/>
      <c r="B266" s="14"/>
      <c r="C266" s="15"/>
      <c r="D266" s="16" t="str">
        <f t="shared" si="5"/>
        <v/>
      </c>
    </row>
    <row r="267" spans="1:4" ht="15.75">
      <c r="A267" s="14"/>
      <c r="B267" s="14"/>
      <c r="C267" s="15"/>
      <c r="D267" s="16" t="str">
        <f t="shared" si="5"/>
        <v/>
      </c>
    </row>
    <row r="268" spans="1:4" ht="15.75">
      <c r="A268" s="14"/>
      <c r="B268" s="14"/>
      <c r="C268" s="15"/>
      <c r="D268" s="16" t="str">
        <f t="shared" si="5"/>
        <v/>
      </c>
    </row>
    <row r="269" spans="1:4" ht="15.75">
      <c r="A269" s="14"/>
      <c r="B269" s="14"/>
      <c r="C269" s="15"/>
      <c r="D269" s="16" t="str">
        <f t="shared" si="5"/>
        <v/>
      </c>
    </row>
    <row r="270" spans="1:4" ht="15.75">
      <c r="A270" s="14"/>
      <c r="B270" s="14"/>
      <c r="C270" s="15"/>
      <c r="D270" s="16" t="str">
        <f t="shared" si="5"/>
        <v/>
      </c>
    </row>
    <row r="271" spans="1:4" ht="15.75">
      <c r="A271" s="14"/>
      <c r="B271" s="14"/>
      <c r="C271" s="15"/>
      <c r="D271" s="16" t="str">
        <f t="shared" si="5"/>
        <v/>
      </c>
    </row>
    <row r="272" spans="1:4" ht="15.75">
      <c r="A272" s="14"/>
      <c r="B272" s="14"/>
      <c r="C272" s="15"/>
      <c r="D272" s="16" t="str">
        <f t="shared" si="5"/>
        <v/>
      </c>
    </row>
    <row r="273" spans="1:4" ht="15.75">
      <c r="A273" s="14"/>
      <c r="B273" s="14"/>
      <c r="C273" s="15"/>
      <c r="D273" s="16" t="str">
        <f t="shared" si="5"/>
        <v/>
      </c>
    </row>
    <row r="274" spans="1:4" ht="15.75">
      <c r="A274" s="14"/>
      <c r="B274" s="14"/>
      <c r="C274" s="15"/>
      <c r="D274" s="16" t="str">
        <f t="shared" si="5"/>
        <v/>
      </c>
    </row>
    <row r="275" spans="1:4" ht="15.75">
      <c r="A275" s="14"/>
      <c r="B275" s="14"/>
      <c r="C275" s="15"/>
      <c r="D275" s="16" t="str">
        <f t="shared" si="5"/>
        <v/>
      </c>
    </row>
    <row r="276" spans="1:4" ht="15.75">
      <c r="A276" s="14"/>
      <c r="B276" s="14"/>
      <c r="C276" s="15"/>
      <c r="D276" s="16" t="str">
        <f t="shared" si="5"/>
        <v/>
      </c>
    </row>
    <row r="277" spans="1:4" ht="15.75">
      <c r="A277" s="14"/>
      <c r="B277" s="14"/>
      <c r="C277" s="15"/>
      <c r="D277" s="16" t="str">
        <f t="shared" si="5"/>
        <v/>
      </c>
    </row>
    <row r="278" spans="1:4" ht="15.75">
      <c r="A278" s="14"/>
      <c r="B278" s="14"/>
      <c r="C278" s="15"/>
      <c r="D278" s="16" t="str">
        <f t="shared" si="5"/>
        <v/>
      </c>
    </row>
    <row r="279" spans="1:4" ht="15.75">
      <c r="A279" s="14"/>
      <c r="B279" s="14"/>
      <c r="C279" s="15"/>
      <c r="D279" s="16" t="str">
        <f t="shared" si="5"/>
        <v/>
      </c>
    </row>
    <row r="280" spans="1:4" ht="15.75">
      <c r="A280" s="14"/>
      <c r="B280" s="14"/>
      <c r="C280" s="15"/>
      <c r="D280" s="16" t="str">
        <f t="shared" si="5"/>
        <v/>
      </c>
    </row>
    <row r="281" spans="1:4" ht="15.75">
      <c r="A281" s="14"/>
      <c r="B281" s="14"/>
      <c r="C281" s="15"/>
      <c r="D281" s="16" t="str">
        <f t="shared" si="5"/>
        <v/>
      </c>
    </row>
    <row r="282" spans="1:4" ht="15.75">
      <c r="A282" s="14"/>
      <c r="B282" s="14"/>
      <c r="C282" s="15"/>
      <c r="D282" s="16" t="str">
        <f t="shared" si="5"/>
        <v/>
      </c>
    </row>
    <row r="283" spans="1:4" ht="15.75">
      <c r="A283" s="14"/>
      <c r="B283" s="14"/>
      <c r="C283" s="15"/>
      <c r="D283" s="16" t="str">
        <f t="shared" si="5"/>
        <v/>
      </c>
    </row>
    <row r="284" spans="1:4" ht="15.75">
      <c r="A284" s="14"/>
      <c r="B284" s="14"/>
      <c r="C284" s="15"/>
      <c r="D284" s="16" t="str">
        <f t="shared" si="5"/>
        <v/>
      </c>
    </row>
    <row r="285" spans="1:4" ht="15.75">
      <c r="A285" s="14"/>
      <c r="B285" s="14"/>
      <c r="C285" s="15"/>
      <c r="D285" s="16" t="str">
        <f t="shared" si="5"/>
        <v/>
      </c>
    </row>
    <row r="286" spans="1:4" ht="15.75">
      <c r="A286" s="14"/>
      <c r="B286" s="14"/>
      <c r="C286" s="15"/>
      <c r="D286" s="16" t="str">
        <f t="shared" si="5"/>
        <v/>
      </c>
    </row>
    <row r="287" spans="1:4" ht="15.75">
      <c r="A287" s="14"/>
      <c r="B287" s="14"/>
      <c r="C287" s="15"/>
      <c r="D287" s="16" t="str">
        <f t="shared" si="5"/>
        <v/>
      </c>
    </row>
    <row r="288" spans="1:4" ht="15.75">
      <c r="A288" s="14"/>
      <c r="B288" s="14"/>
      <c r="C288" s="15"/>
      <c r="D288" s="16" t="str">
        <f t="shared" si="5"/>
        <v/>
      </c>
    </row>
    <row r="289" spans="1:4" ht="15.75">
      <c r="A289" s="14"/>
      <c r="B289" s="14"/>
      <c r="C289" s="15"/>
      <c r="D289" s="16" t="str">
        <f t="shared" si="5"/>
        <v/>
      </c>
    </row>
    <row r="290" spans="1:4" ht="15.75">
      <c r="A290" s="14"/>
      <c r="B290" s="14"/>
      <c r="C290" s="15"/>
      <c r="D290" s="16" t="str">
        <f t="shared" si="5"/>
        <v/>
      </c>
    </row>
    <row r="291" spans="1:4" ht="15.75">
      <c r="A291" s="14"/>
      <c r="B291" s="14"/>
      <c r="C291" s="15"/>
      <c r="D291" s="16" t="str">
        <f t="shared" si="5"/>
        <v/>
      </c>
    </row>
    <row r="292" spans="1:4" ht="15.75">
      <c r="A292" s="14"/>
      <c r="B292" s="14"/>
      <c r="C292" s="15"/>
      <c r="D292" s="16" t="str">
        <f t="shared" si="5"/>
        <v/>
      </c>
    </row>
    <row r="293" spans="1:4" ht="15.75">
      <c r="A293" s="14"/>
      <c r="B293" s="14"/>
      <c r="C293" s="15"/>
      <c r="D293" s="16" t="str">
        <f t="shared" si="5"/>
        <v/>
      </c>
    </row>
    <row r="294" spans="1:4" ht="15.75">
      <c r="A294" s="14"/>
      <c r="B294" s="14"/>
      <c r="C294" s="15"/>
      <c r="D294" s="16" t="str">
        <f t="shared" si="5"/>
        <v/>
      </c>
    </row>
    <row r="295" spans="1:4" ht="15.75">
      <c r="A295" s="14"/>
      <c r="B295" s="14"/>
      <c r="C295" s="15"/>
      <c r="D295" s="16" t="str">
        <f t="shared" si="5"/>
        <v/>
      </c>
    </row>
    <row r="296" spans="1:4" ht="15.75">
      <c r="A296" s="14"/>
      <c r="B296" s="14"/>
      <c r="C296" s="15"/>
      <c r="D296" s="16" t="str">
        <f t="shared" si="5"/>
        <v/>
      </c>
    </row>
    <row r="297" spans="1:4" ht="15.75">
      <c r="A297" s="14"/>
      <c r="B297" s="14"/>
      <c r="C297" s="15"/>
      <c r="D297" s="16" t="str">
        <f t="shared" si="5"/>
        <v/>
      </c>
    </row>
    <row r="298" spans="1:4" ht="15.75">
      <c r="A298" s="14"/>
      <c r="B298" s="14"/>
      <c r="C298" s="15"/>
      <c r="D298" s="16" t="str">
        <f t="shared" si="5"/>
        <v/>
      </c>
    </row>
    <row r="299" spans="1:4" ht="15.75">
      <c r="A299" s="14"/>
      <c r="B299" s="14"/>
      <c r="C299" s="15"/>
      <c r="D299" s="16" t="str">
        <f t="shared" si="5"/>
        <v/>
      </c>
    </row>
    <row r="300" spans="1:4" ht="15.75">
      <c r="A300" s="14"/>
      <c r="B300" s="14"/>
      <c r="C300" s="15"/>
      <c r="D300" s="16" t="str">
        <f t="shared" si="5"/>
        <v/>
      </c>
    </row>
    <row r="301" spans="1:4" ht="15.75">
      <c r="A301" s="14"/>
      <c r="B301" s="14"/>
      <c r="C301" s="15"/>
      <c r="D301" s="16" t="str">
        <f t="shared" si="5"/>
        <v/>
      </c>
    </row>
    <row r="302" spans="1:4" ht="15.75">
      <c r="A302" s="14"/>
      <c r="B302" s="14"/>
      <c r="C302" s="15"/>
      <c r="D302" s="16" t="str">
        <f t="shared" si="5"/>
        <v/>
      </c>
    </row>
    <row r="303" spans="1:4" ht="15.75">
      <c r="A303" s="14"/>
      <c r="B303" s="14"/>
      <c r="C303" s="15"/>
      <c r="D303" s="16" t="str">
        <f t="shared" si="5"/>
        <v/>
      </c>
    </row>
    <row r="304" spans="1:4" ht="15.75">
      <c r="A304" s="14"/>
      <c r="B304" s="14"/>
      <c r="C304" s="15"/>
      <c r="D304" s="16" t="str">
        <f t="shared" si="5"/>
        <v/>
      </c>
    </row>
    <row r="305" spans="1:4" ht="15.75">
      <c r="A305" s="14"/>
      <c r="B305" s="14"/>
      <c r="C305" s="15"/>
      <c r="D305" s="16" t="str">
        <f t="shared" si="5"/>
        <v/>
      </c>
    </row>
    <row r="306" spans="1:4" ht="15.75">
      <c r="A306" s="14"/>
      <c r="B306" s="14"/>
      <c r="C306" s="15"/>
      <c r="D306" s="16" t="str">
        <f t="shared" si="5"/>
        <v/>
      </c>
    </row>
    <row r="307" spans="1:4" ht="15.75">
      <c r="A307" s="14"/>
      <c r="B307" s="14"/>
      <c r="C307" s="15"/>
      <c r="D307" s="16" t="str">
        <f t="shared" si="5"/>
        <v/>
      </c>
    </row>
    <row r="308" spans="1:4" ht="15.75">
      <c r="A308" s="14"/>
      <c r="B308" s="14"/>
      <c r="C308" s="15"/>
      <c r="D308" s="16" t="str">
        <f t="shared" si="5"/>
        <v/>
      </c>
    </row>
    <row r="309" spans="1:4" ht="15.75">
      <c r="A309" s="14"/>
      <c r="B309" s="14"/>
      <c r="C309" s="15"/>
      <c r="D309" s="16" t="str">
        <f t="shared" si="5"/>
        <v/>
      </c>
    </row>
    <row r="310" spans="1:4" ht="15.75">
      <c r="A310" s="14"/>
      <c r="B310" s="14"/>
      <c r="C310" s="15"/>
      <c r="D310" s="16" t="str">
        <f t="shared" si="5"/>
        <v/>
      </c>
    </row>
    <row r="311" spans="1:4" ht="15.75">
      <c r="A311" s="14"/>
      <c r="B311" s="14"/>
      <c r="C311" s="15"/>
      <c r="D311" s="16" t="str">
        <f t="shared" si="5"/>
        <v/>
      </c>
    </row>
    <row r="312" spans="1:4" ht="15.75">
      <c r="A312" s="14"/>
      <c r="B312" s="14"/>
      <c r="C312" s="15"/>
      <c r="D312" s="16" t="str">
        <f t="shared" si="5"/>
        <v/>
      </c>
    </row>
    <row r="313" spans="1:4" ht="15.75">
      <c r="A313" s="14"/>
      <c r="B313" s="14"/>
      <c r="C313" s="15"/>
      <c r="D313" s="16" t="str">
        <f t="shared" si="5"/>
        <v/>
      </c>
    </row>
    <row r="314" spans="1:4" ht="15.75">
      <c r="A314" s="14"/>
      <c r="B314" s="14"/>
      <c r="C314" s="15"/>
      <c r="D314" s="16" t="str">
        <f t="shared" si="5"/>
        <v/>
      </c>
    </row>
    <row r="315" spans="1:4" ht="15.75">
      <c r="A315" s="14"/>
      <c r="B315" s="14"/>
      <c r="C315" s="15"/>
      <c r="D315" s="16" t="str">
        <f t="shared" si="5"/>
        <v/>
      </c>
    </row>
    <row r="316" spans="1:4" ht="15.75">
      <c r="A316" s="14"/>
      <c r="B316" s="14"/>
      <c r="C316" s="15"/>
      <c r="D316" s="16" t="str">
        <f t="shared" si="5"/>
        <v/>
      </c>
    </row>
    <row r="317" spans="1:4" ht="15.75">
      <c r="A317" s="14"/>
      <c r="B317" s="14"/>
      <c r="C317" s="15"/>
      <c r="D317" s="16" t="str">
        <f t="shared" si="5"/>
        <v/>
      </c>
    </row>
    <row r="318" spans="1:4" ht="15.75">
      <c r="A318" s="14"/>
      <c r="B318" s="14"/>
      <c r="C318" s="15"/>
      <c r="D318" s="16" t="str">
        <f t="shared" si="5"/>
        <v/>
      </c>
    </row>
    <row r="319" spans="1:4" ht="15.75">
      <c r="A319" s="14"/>
      <c r="B319" s="14"/>
      <c r="C319" s="15"/>
      <c r="D319" s="16" t="str">
        <f t="shared" si="5"/>
        <v/>
      </c>
    </row>
    <row r="320" spans="1:4" ht="15.75">
      <c r="A320" s="14"/>
      <c r="B320" s="14"/>
      <c r="C320" s="15"/>
      <c r="D320" s="16" t="str">
        <f t="shared" si="5"/>
        <v/>
      </c>
    </row>
    <row r="321" spans="1:4" ht="15.75">
      <c r="A321" s="14"/>
      <c r="B321" s="14"/>
      <c r="C321" s="15"/>
      <c r="D321" s="16" t="str">
        <f t="shared" si="5"/>
        <v/>
      </c>
    </row>
    <row r="322" spans="1:4" ht="15.75">
      <c r="A322" s="14"/>
      <c r="B322" s="14"/>
      <c r="C322" s="15"/>
      <c r="D322" s="16" t="str">
        <f t="shared" si="5"/>
        <v/>
      </c>
    </row>
    <row r="323" spans="1:4" ht="15.75">
      <c r="A323" s="14"/>
      <c r="B323" s="14"/>
      <c r="C323" s="15"/>
      <c r="D323" s="16" t="str">
        <f t="shared" si="5"/>
        <v/>
      </c>
    </row>
    <row r="324" spans="1:4" ht="15.75">
      <c r="A324" s="14"/>
      <c r="B324" s="14"/>
      <c r="C324" s="15"/>
      <c r="D324" s="16" t="str">
        <f t="shared" si="5"/>
        <v/>
      </c>
    </row>
    <row r="325" spans="1:4" ht="15.75">
      <c r="A325" s="14"/>
      <c r="B325" s="14"/>
      <c r="C325" s="15"/>
      <c r="D325" s="16" t="str">
        <f t="shared" ref="D325:D388" si="6">IFERROR(B325/C325,"")</f>
        <v/>
      </c>
    </row>
    <row r="326" spans="1:4" ht="15.75">
      <c r="A326" s="14"/>
      <c r="B326" s="14"/>
      <c r="C326" s="15"/>
      <c r="D326" s="16" t="str">
        <f t="shared" si="6"/>
        <v/>
      </c>
    </row>
    <row r="327" spans="1:4" ht="15.75">
      <c r="A327" s="14"/>
      <c r="B327" s="14"/>
      <c r="C327" s="15"/>
      <c r="D327" s="16" t="str">
        <f t="shared" si="6"/>
        <v/>
      </c>
    </row>
    <row r="328" spans="1:4" ht="15.75">
      <c r="A328" s="14"/>
      <c r="B328" s="14"/>
      <c r="C328" s="15"/>
      <c r="D328" s="16" t="str">
        <f t="shared" si="6"/>
        <v/>
      </c>
    </row>
    <row r="329" spans="1:4" ht="15.75">
      <c r="A329" s="14"/>
      <c r="B329" s="14"/>
      <c r="C329" s="15"/>
      <c r="D329" s="16" t="str">
        <f t="shared" si="6"/>
        <v/>
      </c>
    </row>
    <row r="330" spans="1:4" ht="15.75">
      <c r="A330" s="14"/>
      <c r="B330" s="14"/>
      <c r="C330" s="15"/>
      <c r="D330" s="16" t="str">
        <f t="shared" si="6"/>
        <v/>
      </c>
    </row>
    <row r="331" spans="1:4" ht="15.75">
      <c r="A331" s="14"/>
      <c r="B331" s="14"/>
      <c r="C331" s="15"/>
      <c r="D331" s="16" t="str">
        <f t="shared" si="6"/>
        <v/>
      </c>
    </row>
    <row r="332" spans="1:4" ht="15.75">
      <c r="A332" s="14"/>
      <c r="B332" s="14"/>
      <c r="C332" s="15"/>
      <c r="D332" s="16" t="str">
        <f t="shared" si="6"/>
        <v/>
      </c>
    </row>
    <row r="333" spans="1:4" ht="15.75">
      <c r="A333" s="14"/>
      <c r="B333" s="14"/>
      <c r="C333" s="15"/>
      <c r="D333" s="16" t="str">
        <f t="shared" si="6"/>
        <v/>
      </c>
    </row>
    <row r="334" spans="1:4" ht="15.75">
      <c r="A334" s="14"/>
      <c r="B334" s="14"/>
      <c r="C334" s="15"/>
      <c r="D334" s="16" t="str">
        <f t="shared" si="6"/>
        <v/>
      </c>
    </row>
    <row r="335" spans="1:4" ht="15.75">
      <c r="A335" s="14"/>
      <c r="B335" s="14"/>
      <c r="C335" s="15"/>
      <c r="D335" s="16" t="str">
        <f t="shared" si="6"/>
        <v/>
      </c>
    </row>
    <row r="336" spans="1:4" ht="15.75">
      <c r="A336" s="14"/>
      <c r="B336" s="14"/>
      <c r="C336" s="15"/>
      <c r="D336" s="16" t="str">
        <f t="shared" si="6"/>
        <v/>
      </c>
    </row>
    <row r="337" spans="1:4" ht="15.75">
      <c r="A337" s="14"/>
      <c r="B337" s="14"/>
      <c r="C337" s="15"/>
      <c r="D337" s="16" t="str">
        <f t="shared" si="6"/>
        <v/>
      </c>
    </row>
    <row r="338" spans="1:4" ht="15.75">
      <c r="A338" s="14"/>
      <c r="B338" s="14"/>
      <c r="C338" s="15"/>
      <c r="D338" s="16" t="str">
        <f t="shared" si="6"/>
        <v/>
      </c>
    </row>
    <row r="339" spans="1:4" ht="15.75">
      <c r="A339" s="14"/>
      <c r="B339" s="14"/>
      <c r="C339" s="15"/>
      <c r="D339" s="16" t="str">
        <f t="shared" si="6"/>
        <v/>
      </c>
    </row>
    <row r="340" spans="1:4" ht="15.75">
      <c r="A340" s="14"/>
      <c r="B340" s="14"/>
      <c r="C340" s="15"/>
      <c r="D340" s="16" t="str">
        <f t="shared" si="6"/>
        <v/>
      </c>
    </row>
    <row r="341" spans="1:4" ht="15.75">
      <c r="A341" s="14"/>
      <c r="B341" s="14"/>
      <c r="C341" s="15"/>
      <c r="D341" s="16" t="str">
        <f t="shared" si="6"/>
        <v/>
      </c>
    </row>
    <row r="342" spans="1:4" ht="15.75">
      <c r="A342" s="14"/>
      <c r="B342" s="14"/>
      <c r="C342" s="15"/>
      <c r="D342" s="16" t="str">
        <f t="shared" si="6"/>
        <v/>
      </c>
    </row>
    <row r="343" spans="1:4" ht="15.75">
      <c r="A343" s="14"/>
      <c r="B343" s="14"/>
      <c r="C343" s="15"/>
      <c r="D343" s="16" t="str">
        <f t="shared" si="6"/>
        <v/>
      </c>
    </row>
    <row r="344" spans="1:4" ht="15.75">
      <c r="A344" s="14"/>
      <c r="B344" s="14"/>
      <c r="C344" s="15"/>
      <c r="D344" s="16" t="str">
        <f t="shared" si="6"/>
        <v/>
      </c>
    </row>
    <row r="345" spans="1:4" ht="15.75">
      <c r="A345" s="14"/>
      <c r="B345" s="14"/>
      <c r="C345" s="15"/>
      <c r="D345" s="16" t="str">
        <f t="shared" si="6"/>
        <v/>
      </c>
    </row>
    <row r="346" spans="1:4" ht="15.75">
      <c r="A346" s="14"/>
      <c r="B346" s="14"/>
      <c r="C346" s="15"/>
      <c r="D346" s="16" t="str">
        <f t="shared" si="6"/>
        <v/>
      </c>
    </row>
    <row r="347" spans="1:4" ht="15.75">
      <c r="A347" s="14"/>
      <c r="B347" s="14"/>
      <c r="C347" s="15"/>
      <c r="D347" s="16" t="str">
        <f t="shared" si="6"/>
        <v/>
      </c>
    </row>
    <row r="348" spans="1:4" ht="15.75">
      <c r="A348" s="14"/>
      <c r="B348" s="14"/>
      <c r="C348" s="15"/>
      <c r="D348" s="16" t="str">
        <f t="shared" si="6"/>
        <v/>
      </c>
    </row>
    <row r="349" spans="1:4" ht="15.75">
      <c r="A349" s="14"/>
      <c r="B349" s="14"/>
      <c r="C349" s="15"/>
      <c r="D349" s="16" t="str">
        <f t="shared" si="6"/>
        <v/>
      </c>
    </row>
    <row r="350" spans="1:4" ht="15.75">
      <c r="A350" s="14"/>
      <c r="B350" s="14"/>
      <c r="C350" s="15"/>
      <c r="D350" s="16" t="str">
        <f t="shared" si="6"/>
        <v/>
      </c>
    </row>
    <row r="351" spans="1:4" ht="15.75">
      <c r="A351" s="14"/>
      <c r="B351" s="14"/>
      <c r="C351" s="15"/>
      <c r="D351" s="16" t="str">
        <f t="shared" si="6"/>
        <v/>
      </c>
    </row>
    <row r="352" spans="1:4" ht="15.75">
      <c r="A352" s="14"/>
      <c r="B352" s="14"/>
      <c r="C352" s="15"/>
      <c r="D352" s="16" t="str">
        <f t="shared" si="6"/>
        <v/>
      </c>
    </row>
    <row r="353" spans="1:4" ht="15.75">
      <c r="A353" s="14"/>
      <c r="B353" s="14"/>
      <c r="C353" s="15"/>
      <c r="D353" s="16" t="str">
        <f t="shared" si="6"/>
        <v/>
      </c>
    </row>
    <row r="354" spans="1:4" ht="15.75">
      <c r="A354" s="14"/>
      <c r="B354" s="14"/>
      <c r="C354" s="15"/>
      <c r="D354" s="16" t="str">
        <f t="shared" si="6"/>
        <v/>
      </c>
    </row>
    <row r="355" spans="1:4" ht="15.75">
      <c r="A355" s="14"/>
      <c r="B355" s="14"/>
      <c r="C355" s="15"/>
      <c r="D355" s="16" t="str">
        <f t="shared" si="6"/>
        <v/>
      </c>
    </row>
    <row r="356" spans="1:4" ht="15.75">
      <c r="A356" s="14"/>
      <c r="B356" s="14"/>
      <c r="C356" s="15"/>
      <c r="D356" s="16" t="str">
        <f t="shared" si="6"/>
        <v/>
      </c>
    </row>
    <row r="357" spans="1:4" ht="15.75">
      <c r="A357" s="14"/>
      <c r="B357" s="14"/>
      <c r="C357" s="15"/>
      <c r="D357" s="16" t="str">
        <f t="shared" si="6"/>
        <v/>
      </c>
    </row>
    <row r="358" spans="1:4" ht="15.75">
      <c r="A358" s="14"/>
      <c r="B358" s="14"/>
      <c r="C358" s="15"/>
      <c r="D358" s="16" t="str">
        <f t="shared" si="6"/>
        <v/>
      </c>
    </row>
    <row r="359" spans="1:4" ht="15.75">
      <c r="A359" s="14"/>
      <c r="B359" s="14"/>
      <c r="C359" s="15"/>
      <c r="D359" s="16" t="str">
        <f t="shared" si="6"/>
        <v/>
      </c>
    </row>
    <row r="360" spans="1:4" ht="15.75">
      <c r="A360" s="14"/>
      <c r="B360" s="14"/>
      <c r="C360" s="15"/>
      <c r="D360" s="16" t="str">
        <f t="shared" si="6"/>
        <v/>
      </c>
    </row>
    <row r="361" spans="1:4" ht="15.75">
      <c r="A361" s="14"/>
      <c r="B361" s="14"/>
      <c r="C361" s="15"/>
      <c r="D361" s="16" t="str">
        <f t="shared" si="6"/>
        <v/>
      </c>
    </row>
    <row r="362" spans="1:4" ht="15.75">
      <c r="A362" s="14"/>
      <c r="B362" s="14"/>
      <c r="C362" s="15"/>
      <c r="D362" s="16" t="str">
        <f t="shared" si="6"/>
        <v/>
      </c>
    </row>
    <row r="363" spans="1:4" ht="15.75">
      <c r="A363" s="14"/>
      <c r="B363" s="14"/>
      <c r="C363" s="15"/>
      <c r="D363" s="16" t="str">
        <f t="shared" si="6"/>
        <v/>
      </c>
    </row>
    <row r="364" spans="1:4" ht="15.75">
      <c r="A364" s="14"/>
      <c r="B364" s="14"/>
      <c r="C364" s="15"/>
      <c r="D364" s="16" t="str">
        <f t="shared" si="6"/>
        <v/>
      </c>
    </row>
    <row r="365" spans="1:4" ht="15.75">
      <c r="A365" s="14"/>
      <c r="B365" s="14"/>
      <c r="C365" s="15"/>
      <c r="D365" s="16" t="str">
        <f t="shared" si="6"/>
        <v/>
      </c>
    </row>
    <row r="366" spans="1:4" ht="15.75">
      <c r="A366" s="14"/>
      <c r="B366" s="14"/>
      <c r="C366" s="15"/>
      <c r="D366" s="16" t="str">
        <f t="shared" si="6"/>
        <v/>
      </c>
    </row>
    <row r="367" spans="1:4" ht="15.75">
      <c r="A367" s="14"/>
      <c r="B367" s="14"/>
      <c r="C367" s="15"/>
      <c r="D367" s="16" t="str">
        <f t="shared" si="6"/>
        <v/>
      </c>
    </row>
    <row r="368" spans="1:4" ht="15.75">
      <c r="A368" s="14"/>
      <c r="B368" s="14"/>
      <c r="C368" s="15"/>
      <c r="D368" s="16" t="str">
        <f t="shared" si="6"/>
        <v/>
      </c>
    </row>
    <row r="369" spans="1:4" ht="15.75">
      <c r="A369" s="14"/>
      <c r="B369" s="14"/>
      <c r="C369" s="15"/>
      <c r="D369" s="16" t="str">
        <f t="shared" si="6"/>
        <v/>
      </c>
    </row>
    <row r="370" spans="1:4" ht="15.75">
      <c r="A370" s="14"/>
      <c r="B370" s="14"/>
      <c r="C370" s="15"/>
      <c r="D370" s="16" t="str">
        <f t="shared" si="6"/>
        <v/>
      </c>
    </row>
    <row r="371" spans="1:4" ht="15.75">
      <c r="A371" s="14"/>
      <c r="B371" s="14"/>
      <c r="C371" s="15"/>
      <c r="D371" s="16" t="str">
        <f t="shared" si="6"/>
        <v/>
      </c>
    </row>
    <row r="372" spans="1:4" ht="15.75">
      <c r="A372" s="14"/>
      <c r="B372" s="14"/>
      <c r="C372" s="15"/>
      <c r="D372" s="16" t="str">
        <f t="shared" si="6"/>
        <v/>
      </c>
    </row>
    <row r="373" spans="1:4" ht="15.75">
      <c r="A373" s="14"/>
      <c r="B373" s="14"/>
      <c r="C373" s="15"/>
      <c r="D373" s="16" t="str">
        <f t="shared" si="6"/>
        <v/>
      </c>
    </row>
    <row r="374" spans="1:4" ht="15.75">
      <c r="A374" s="14"/>
      <c r="B374" s="14"/>
      <c r="C374" s="15"/>
      <c r="D374" s="16" t="str">
        <f t="shared" si="6"/>
        <v/>
      </c>
    </row>
    <row r="375" spans="1:4" ht="15.75">
      <c r="A375" s="14"/>
      <c r="B375" s="14"/>
      <c r="C375" s="15"/>
      <c r="D375" s="16" t="str">
        <f t="shared" si="6"/>
        <v/>
      </c>
    </row>
    <row r="376" spans="1:4" ht="15.75">
      <c r="A376" s="14"/>
      <c r="B376" s="14"/>
      <c r="C376" s="15"/>
      <c r="D376" s="16" t="str">
        <f t="shared" si="6"/>
        <v/>
      </c>
    </row>
    <row r="377" spans="1:4" ht="15.75">
      <c r="A377" s="14"/>
      <c r="B377" s="14"/>
      <c r="C377" s="15"/>
      <c r="D377" s="16" t="str">
        <f t="shared" si="6"/>
        <v/>
      </c>
    </row>
    <row r="378" spans="1:4" ht="15.75">
      <c r="A378" s="14"/>
      <c r="B378" s="14"/>
      <c r="C378" s="15"/>
      <c r="D378" s="16" t="str">
        <f t="shared" si="6"/>
        <v/>
      </c>
    </row>
    <row r="379" spans="1:4" ht="15.75">
      <c r="A379" s="14"/>
      <c r="B379" s="14"/>
      <c r="C379" s="15"/>
      <c r="D379" s="16" t="str">
        <f t="shared" si="6"/>
        <v/>
      </c>
    </row>
    <row r="380" spans="1:4" ht="15.75">
      <c r="A380" s="14"/>
      <c r="B380" s="14"/>
      <c r="C380" s="15"/>
      <c r="D380" s="16" t="str">
        <f t="shared" si="6"/>
        <v/>
      </c>
    </row>
    <row r="381" spans="1:4" ht="15.75">
      <c r="A381" s="14"/>
      <c r="B381" s="14"/>
      <c r="C381" s="15"/>
      <c r="D381" s="16" t="str">
        <f t="shared" si="6"/>
        <v/>
      </c>
    </row>
    <row r="382" spans="1:4" ht="15.75">
      <c r="A382" s="14"/>
      <c r="B382" s="14"/>
      <c r="C382" s="15"/>
      <c r="D382" s="16" t="str">
        <f t="shared" si="6"/>
        <v/>
      </c>
    </row>
    <row r="383" spans="1:4" ht="15.75">
      <c r="A383" s="14"/>
      <c r="B383" s="14"/>
      <c r="C383" s="15"/>
      <c r="D383" s="16" t="str">
        <f t="shared" si="6"/>
        <v/>
      </c>
    </row>
    <row r="384" spans="1:4" ht="15.75">
      <c r="A384" s="14"/>
      <c r="B384" s="14"/>
      <c r="C384" s="15"/>
      <c r="D384" s="16" t="str">
        <f t="shared" si="6"/>
        <v/>
      </c>
    </row>
    <row r="385" spans="1:4" ht="15.75">
      <c r="A385" s="14"/>
      <c r="B385" s="14"/>
      <c r="C385" s="15"/>
      <c r="D385" s="16" t="str">
        <f t="shared" si="6"/>
        <v/>
      </c>
    </row>
    <row r="386" spans="1:4" ht="15.75">
      <c r="A386" s="14"/>
      <c r="B386" s="14"/>
      <c r="C386" s="15"/>
      <c r="D386" s="16" t="str">
        <f t="shared" si="6"/>
        <v/>
      </c>
    </row>
    <row r="387" spans="1:4" ht="15.75">
      <c r="A387" s="14"/>
      <c r="B387" s="14"/>
      <c r="C387" s="15"/>
      <c r="D387" s="16" t="str">
        <f t="shared" si="6"/>
        <v/>
      </c>
    </row>
    <row r="388" spans="1:4" ht="15.75">
      <c r="A388" s="14"/>
      <c r="B388" s="14"/>
      <c r="C388" s="15"/>
      <c r="D388" s="16" t="str">
        <f t="shared" si="6"/>
        <v/>
      </c>
    </row>
    <row r="389" spans="1:4" ht="15.75">
      <c r="A389" s="14"/>
      <c r="B389" s="14"/>
      <c r="C389" s="15"/>
      <c r="D389" s="16" t="str">
        <f t="shared" ref="D389:D452" si="7">IFERROR(B389/C389,"")</f>
        <v/>
      </c>
    </row>
    <row r="390" spans="1:4" ht="15.75">
      <c r="A390" s="14"/>
      <c r="B390" s="14"/>
      <c r="C390" s="15"/>
      <c r="D390" s="16" t="str">
        <f t="shared" si="7"/>
        <v/>
      </c>
    </row>
    <row r="391" spans="1:4" ht="15.75">
      <c r="A391" s="14"/>
      <c r="B391" s="14"/>
      <c r="C391" s="15"/>
      <c r="D391" s="16" t="str">
        <f t="shared" si="7"/>
        <v/>
      </c>
    </row>
    <row r="392" spans="1:4" ht="15.75">
      <c r="A392" s="14"/>
      <c r="B392" s="14"/>
      <c r="C392" s="15"/>
      <c r="D392" s="16" t="str">
        <f t="shared" si="7"/>
        <v/>
      </c>
    </row>
    <row r="393" spans="1:4" ht="15.75">
      <c r="A393" s="14"/>
      <c r="B393" s="14"/>
      <c r="C393" s="15"/>
      <c r="D393" s="16" t="str">
        <f t="shared" si="7"/>
        <v/>
      </c>
    </row>
    <row r="394" spans="1:4" ht="15.75">
      <c r="A394" s="14"/>
      <c r="B394" s="14"/>
      <c r="C394" s="15"/>
      <c r="D394" s="16" t="str">
        <f t="shared" si="7"/>
        <v/>
      </c>
    </row>
    <row r="395" spans="1:4" ht="15.75">
      <c r="A395" s="14"/>
      <c r="B395" s="14"/>
      <c r="C395" s="15"/>
      <c r="D395" s="16" t="str">
        <f t="shared" si="7"/>
        <v/>
      </c>
    </row>
    <row r="396" spans="1:4" ht="15.75">
      <c r="A396" s="14"/>
      <c r="B396" s="14"/>
      <c r="C396" s="15"/>
      <c r="D396" s="16" t="str">
        <f t="shared" si="7"/>
        <v/>
      </c>
    </row>
    <row r="397" spans="1:4" ht="15.75">
      <c r="A397" s="14"/>
      <c r="B397" s="14"/>
      <c r="C397" s="15"/>
      <c r="D397" s="16" t="str">
        <f t="shared" si="7"/>
        <v/>
      </c>
    </row>
    <row r="398" spans="1:4" ht="15.75">
      <c r="A398" s="14"/>
      <c r="B398" s="14"/>
      <c r="C398" s="15"/>
      <c r="D398" s="16" t="str">
        <f t="shared" si="7"/>
        <v/>
      </c>
    </row>
    <row r="399" spans="1:4" ht="15.75">
      <c r="A399" s="14"/>
      <c r="B399" s="14"/>
      <c r="C399" s="15"/>
      <c r="D399" s="16" t="str">
        <f t="shared" si="7"/>
        <v/>
      </c>
    </row>
    <row r="400" spans="1:4" ht="15.75">
      <c r="A400" s="14"/>
      <c r="B400" s="14"/>
      <c r="C400" s="15"/>
      <c r="D400" s="16" t="str">
        <f t="shared" si="7"/>
        <v/>
      </c>
    </row>
    <row r="401" spans="1:4" ht="15.75">
      <c r="A401" s="14"/>
      <c r="B401" s="14"/>
      <c r="C401" s="15"/>
      <c r="D401" s="16" t="str">
        <f t="shared" si="7"/>
        <v/>
      </c>
    </row>
    <row r="402" spans="1:4" ht="15.75">
      <c r="A402" s="14"/>
      <c r="B402" s="14"/>
      <c r="C402" s="15"/>
      <c r="D402" s="16" t="str">
        <f t="shared" si="7"/>
        <v/>
      </c>
    </row>
    <row r="403" spans="1:4" ht="15.75">
      <c r="A403" s="14"/>
      <c r="B403" s="14"/>
      <c r="C403" s="15"/>
      <c r="D403" s="16" t="str">
        <f t="shared" si="7"/>
        <v/>
      </c>
    </row>
    <row r="404" spans="1:4" ht="15.75">
      <c r="A404" s="14"/>
      <c r="B404" s="14"/>
      <c r="C404" s="15"/>
      <c r="D404" s="16" t="str">
        <f t="shared" si="7"/>
        <v/>
      </c>
    </row>
    <row r="405" spans="1:4" ht="15.75">
      <c r="A405" s="14"/>
      <c r="B405" s="14"/>
      <c r="C405" s="15"/>
      <c r="D405" s="16" t="str">
        <f t="shared" si="7"/>
        <v/>
      </c>
    </row>
    <row r="406" spans="1:4" ht="15.75">
      <c r="A406" s="14"/>
      <c r="B406" s="14"/>
      <c r="C406" s="15"/>
      <c r="D406" s="16" t="str">
        <f t="shared" si="7"/>
        <v/>
      </c>
    </row>
    <row r="407" spans="1:4" ht="15.75">
      <c r="A407" s="14"/>
      <c r="B407" s="14"/>
      <c r="C407" s="15"/>
      <c r="D407" s="16" t="str">
        <f t="shared" si="7"/>
        <v/>
      </c>
    </row>
    <row r="408" spans="1:4" ht="15.75">
      <c r="A408" s="14"/>
      <c r="B408" s="14"/>
      <c r="C408" s="15"/>
      <c r="D408" s="16" t="str">
        <f t="shared" si="7"/>
        <v/>
      </c>
    </row>
    <row r="409" spans="1:4" ht="15.75">
      <c r="A409" s="14"/>
      <c r="B409" s="14"/>
      <c r="C409" s="15"/>
      <c r="D409" s="16" t="str">
        <f t="shared" si="7"/>
        <v/>
      </c>
    </row>
    <row r="410" spans="1:4" ht="15.75">
      <c r="A410" s="14"/>
      <c r="B410" s="14"/>
      <c r="C410" s="15"/>
      <c r="D410" s="16" t="str">
        <f t="shared" si="7"/>
        <v/>
      </c>
    </row>
    <row r="411" spans="1:4" ht="15.75">
      <c r="A411" s="14"/>
      <c r="B411" s="14"/>
      <c r="C411" s="15"/>
      <c r="D411" s="16" t="str">
        <f t="shared" si="7"/>
        <v/>
      </c>
    </row>
    <row r="412" spans="1:4" ht="15.75">
      <c r="A412" s="14"/>
      <c r="B412" s="14"/>
      <c r="C412" s="15"/>
      <c r="D412" s="16" t="str">
        <f t="shared" si="7"/>
        <v/>
      </c>
    </row>
    <row r="413" spans="1:4" ht="15.75">
      <c r="A413" s="14"/>
      <c r="B413" s="14"/>
      <c r="C413" s="15"/>
      <c r="D413" s="16" t="str">
        <f t="shared" si="7"/>
        <v/>
      </c>
    </row>
    <row r="414" spans="1:4" ht="15.75">
      <c r="A414" s="14"/>
      <c r="B414" s="14"/>
      <c r="C414" s="15"/>
      <c r="D414" s="16" t="str">
        <f t="shared" si="7"/>
        <v/>
      </c>
    </row>
    <row r="415" spans="1:4" ht="15.75">
      <c r="A415" s="14"/>
      <c r="B415" s="14"/>
      <c r="C415" s="15"/>
      <c r="D415" s="16" t="str">
        <f t="shared" si="7"/>
        <v/>
      </c>
    </row>
    <row r="416" spans="1:4" ht="15.75">
      <c r="A416" s="14"/>
      <c r="B416" s="14"/>
      <c r="C416" s="15"/>
      <c r="D416" s="16" t="str">
        <f t="shared" si="7"/>
        <v/>
      </c>
    </row>
    <row r="417" spans="1:4" ht="15.75">
      <c r="A417" s="14"/>
      <c r="B417" s="14"/>
      <c r="C417" s="15"/>
      <c r="D417" s="16" t="str">
        <f t="shared" si="7"/>
        <v/>
      </c>
    </row>
    <row r="418" spans="1:4" ht="15.75">
      <c r="A418" s="14"/>
      <c r="B418" s="14"/>
      <c r="C418" s="15"/>
      <c r="D418" s="16" t="str">
        <f t="shared" si="7"/>
        <v/>
      </c>
    </row>
    <row r="419" spans="1:4" ht="15.75">
      <c r="A419" s="14"/>
      <c r="B419" s="14"/>
      <c r="C419" s="15"/>
      <c r="D419" s="16" t="str">
        <f t="shared" si="7"/>
        <v/>
      </c>
    </row>
    <row r="420" spans="1:4" ht="15.75">
      <c r="A420" s="14"/>
      <c r="B420" s="14"/>
      <c r="C420" s="15"/>
      <c r="D420" s="16" t="str">
        <f t="shared" si="7"/>
        <v/>
      </c>
    </row>
    <row r="421" spans="1:4" ht="15.75">
      <c r="A421" s="14"/>
      <c r="B421" s="14"/>
      <c r="C421" s="15"/>
      <c r="D421" s="16" t="str">
        <f t="shared" si="7"/>
        <v/>
      </c>
    </row>
    <row r="422" spans="1:4" ht="15.75">
      <c r="A422" s="14"/>
      <c r="B422" s="14"/>
      <c r="C422" s="15"/>
      <c r="D422" s="16" t="str">
        <f t="shared" si="7"/>
        <v/>
      </c>
    </row>
    <row r="423" spans="1:4" ht="15.75">
      <c r="A423" s="14"/>
      <c r="B423" s="14"/>
      <c r="C423" s="15"/>
      <c r="D423" s="16" t="str">
        <f t="shared" si="7"/>
        <v/>
      </c>
    </row>
    <row r="424" spans="1:4" ht="15.75">
      <c r="A424" s="14"/>
      <c r="B424" s="14"/>
      <c r="C424" s="15"/>
      <c r="D424" s="16" t="str">
        <f t="shared" si="7"/>
        <v/>
      </c>
    </row>
    <row r="425" spans="1:4" ht="15.75">
      <c r="A425" s="14"/>
      <c r="B425" s="14"/>
      <c r="C425" s="15"/>
      <c r="D425" s="16" t="str">
        <f t="shared" si="7"/>
        <v/>
      </c>
    </row>
    <row r="426" spans="1:4" ht="15.75">
      <c r="A426" s="14"/>
      <c r="B426" s="14"/>
      <c r="C426" s="15"/>
      <c r="D426" s="16" t="str">
        <f t="shared" si="7"/>
        <v/>
      </c>
    </row>
    <row r="427" spans="1:4" ht="15.75">
      <c r="A427" s="14"/>
      <c r="B427" s="14"/>
      <c r="C427" s="15"/>
      <c r="D427" s="16" t="str">
        <f t="shared" si="7"/>
        <v/>
      </c>
    </row>
    <row r="428" spans="1:4" ht="15.75">
      <c r="A428" s="14"/>
      <c r="B428" s="14"/>
      <c r="C428" s="15"/>
      <c r="D428" s="16" t="str">
        <f t="shared" si="7"/>
        <v/>
      </c>
    </row>
    <row r="429" spans="1:4" ht="15.75">
      <c r="A429" s="14"/>
      <c r="B429" s="14"/>
      <c r="C429" s="15"/>
      <c r="D429" s="16" t="str">
        <f t="shared" si="7"/>
        <v/>
      </c>
    </row>
    <row r="430" spans="1:4" ht="15.75">
      <c r="A430" s="14"/>
      <c r="B430" s="14"/>
      <c r="C430" s="15"/>
      <c r="D430" s="16" t="str">
        <f t="shared" si="7"/>
        <v/>
      </c>
    </row>
    <row r="431" spans="1:4" ht="15.75">
      <c r="A431" s="14"/>
      <c r="B431" s="14"/>
      <c r="C431" s="15"/>
      <c r="D431" s="16" t="str">
        <f t="shared" si="7"/>
        <v/>
      </c>
    </row>
    <row r="432" spans="1:4" ht="15.75">
      <c r="A432" s="14"/>
      <c r="B432" s="14"/>
      <c r="C432" s="15"/>
      <c r="D432" s="16" t="str">
        <f t="shared" si="7"/>
        <v/>
      </c>
    </row>
    <row r="433" spans="1:4" ht="15.75">
      <c r="A433" s="14"/>
      <c r="B433" s="14"/>
      <c r="C433" s="15"/>
      <c r="D433" s="16" t="str">
        <f t="shared" si="7"/>
        <v/>
      </c>
    </row>
    <row r="434" spans="1:4" ht="15.75">
      <c r="A434" s="14"/>
      <c r="B434" s="14"/>
      <c r="C434" s="15"/>
      <c r="D434" s="16" t="str">
        <f t="shared" si="7"/>
        <v/>
      </c>
    </row>
    <row r="435" spans="1:4" ht="15.75">
      <c r="A435" s="14"/>
      <c r="B435" s="14"/>
      <c r="C435" s="15"/>
      <c r="D435" s="16" t="str">
        <f t="shared" si="7"/>
        <v/>
      </c>
    </row>
    <row r="436" spans="1:4" ht="15.75">
      <c r="A436" s="14"/>
      <c r="B436" s="14"/>
      <c r="C436" s="15"/>
      <c r="D436" s="16" t="str">
        <f t="shared" si="7"/>
        <v/>
      </c>
    </row>
    <row r="437" spans="1:4" ht="15.75">
      <c r="A437" s="14"/>
      <c r="B437" s="14"/>
      <c r="C437" s="15"/>
      <c r="D437" s="16" t="str">
        <f t="shared" si="7"/>
        <v/>
      </c>
    </row>
    <row r="438" spans="1:4" ht="15.75">
      <c r="A438" s="14"/>
      <c r="B438" s="14"/>
      <c r="C438" s="15"/>
      <c r="D438" s="16" t="str">
        <f t="shared" si="7"/>
        <v/>
      </c>
    </row>
    <row r="439" spans="1:4" ht="15.75">
      <c r="A439" s="14"/>
      <c r="B439" s="14"/>
      <c r="C439" s="15"/>
      <c r="D439" s="16" t="str">
        <f t="shared" si="7"/>
        <v/>
      </c>
    </row>
    <row r="440" spans="1:4" ht="15.75">
      <c r="A440" s="14"/>
      <c r="B440" s="14"/>
      <c r="C440" s="15"/>
      <c r="D440" s="16" t="str">
        <f t="shared" si="7"/>
        <v/>
      </c>
    </row>
    <row r="441" spans="1:4" ht="15.75">
      <c r="A441" s="14"/>
      <c r="B441" s="14"/>
      <c r="C441" s="15"/>
      <c r="D441" s="16" t="str">
        <f t="shared" si="7"/>
        <v/>
      </c>
    </row>
    <row r="442" spans="1:4" ht="15.75">
      <c r="A442" s="14"/>
      <c r="B442" s="14"/>
      <c r="C442" s="15"/>
      <c r="D442" s="16" t="str">
        <f t="shared" si="7"/>
        <v/>
      </c>
    </row>
    <row r="443" spans="1:4" ht="15.75">
      <c r="A443" s="14"/>
      <c r="B443" s="14"/>
      <c r="C443" s="15"/>
      <c r="D443" s="16" t="str">
        <f t="shared" si="7"/>
        <v/>
      </c>
    </row>
    <row r="444" spans="1:4" ht="15.75">
      <c r="A444" s="14"/>
      <c r="B444" s="14"/>
      <c r="C444" s="15"/>
      <c r="D444" s="16" t="str">
        <f t="shared" si="7"/>
        <v/>
      </c>
    </row>
    <row r="445" spans="1:4" ht="15.75">
      <c r="A445" s="14"/>
      <c r="B445" s="14"/>
      <c r="C445" s="15"/>
      <c r="D445" s="16" t="str">
        <f t="shared" si="7"/>
        <v/>
      </c>
    </row>
    <row r="446" spans="1:4" ht="15.75">
      <c r="A446" s="14"/>
      <c r="B446" s="14"/>
      <c r="C446" s="15"/>
      <c r="D446" s="16" t="str">
        <f t="shared" si="7"/>
        <v/>
      </c>
    </row>
    <row r="447" spans="1:4" ht="15.75">
      <c r="A447" s="14"/>
      <c r="B447" s="14"/>
      <c r="C447" s="15"/>
      <c r="D447" s="16" t="str">
        <f t="shared" si="7"/>
        <v/>
      </c>
    </row>
    <row r="448" spans="1:4" ht="15.75">
      <c r="A448" s="14"/>
      <c r="B448" s="14"/>
      <c r="C448" s="15"/>
      <c r="D448" s="16" t="str">
        <f t="shared" si="7"/>
        <v/>
      </c>
    </row>
    <row r="449" spans="1:4" ht="15.75">
      <c r="A449" s="14"/>
      <c r="B449" s="14"/>
      <c r="C449" s="15"/>
      <c r="D449" s="16" t="str">
        <f t="shared" si="7"/>
        <v/>
      </c>
    </row>
    <row r="450" spans="1:4" ht="15.75">
      <c r="A450" s="14"/>
      <c r="B450" s="14"/>
      <c r="C450" s="15"/>
      <c r="D450" s="16" t="str">
        <f t="shared" si="7"/>
        <v/>
      </c>
    </row>
    <row r="451" spans="1:4" ht="15.75">
      <c r="A451" s="14"/>
      <c r="B451" s="14"/>
      <c r="C451" s="15"/>
      <c r="D451" s="16" t="str">
        <f t="shared" si="7"/>
        <v/>
      </c>
    </row>
    <row r="452" spans="1:4" ht="15.75">
      <c r="A452" s="14"/>
      <c r="B452" s="14"/>
      <c r="C452" s="15"/>
      <c r="D452" s="16" t="str">
        <f t="shared" si="7"/>
        <v/>
      </c>
    </row>
    <row r="453" spans="1:4" ht="15.75">
      <c r="A453" s="14"/>
      <c r="B453" s="14"/>
      <c r="C453" s="15"/>
      <c r="D453" s="16" t="str">
        <f t="shared" ref="D453:D516" si="8">IFERROR(B453/C453,"")</f>
        <v/>
      </c>
    </row>
    <row r="454" spans="1:4" ht="15.75">
      <c r="A454" s="14"/>
      <c r="B454" s="14"/>
      <c r="C454" s="15"/>
      <c r="D454" s="16" t="str">
        <f t="shared" si="8"/>
        <v/>
      </c>
    </row>
    <row r="455" spans="1:4" ht="15.75">
      <c r="A455" s="14"/>
      <c r="B455" s="14"/>
      <c r="C455" s="15"/>
      <c r="D455" s="16" t="str">
        <f t="shared" si="8"/>
        <v/>
      </c>
    </row>
    <row r="456" spans="1:4" ht="15.75">
      <c r="A456" s="14"/>
      <c r="B456" s="14"/>
      <c r="C456" s="15"/>
      <c r="D456" s="16" t="str">
        <f t="shared" si="8"/>
        <v/>
      </c>
    </row>
    <row r="457" spans="1:4" ht="15.75">
      <c r="A457" s="14"/>
      <c r="B457" s="14"/>
      <c r="C457" s="15"/>
      <c r="D457" s="16" t="str">
        <f t="shared" si="8"/>
        <v/>
      </c>
    </row>
    <row r="458" spans="1:4" ht="15.75">
      <c r="A458" s="14"/>
      <c r="B458" s="14"/>
      <c r="C458" s="15"/>
      <c r="D458" s="16" t="str">
        <f t="shared" si="8"/>
        <v/>
      </c>
    </row>
    <row r="459" spans="1:4" ht="15.75">
      <c r="A459" s="14"/>
      <c r="B459" s="14"/>
      <c r="C459" s="15"/>
      <c r="D459" s="16" t="str">
        <f t="shared" si="8"/>
        <v/>
      </c>
    </row>
    <row r="460" spans="1:4" ht="15.75">
      <c r="A460" s="14"/>
      <c r="B460" s="14"/>
      <c r="C460" s="15"/>
      <c r="D460" s="16" t="str">
        <f t="shared" si="8"/>
        <v/>
      </c>
    </row>
    <row r="461" spans="1:4" ht="15.75">
      <c r="A461" s="14"/>
      <c r="B461" s="14"/>
      <c r="C461" s="15"/>
      <c r="D461" s="16" t="str">
        <f t="shared" si="8"/>
        <v/>
      </c>
    </row>
    <row r="462" spans="1:4" ht="15.75">
      <c r="A462" s="14"/>
      <c r="B462" s="14"/>
      <c r="C462" s="15"/>
      <c r="D462" s="16" t="str">
        <f t="shared" si="8"/>
        <v/>
      </c>
    </row>
    <row r="463" spans="1:4" ht="15.75">
      <c r="A463" s="14"/>
      <c r="B463" s="14"/>
      <c r="C463" s="15"/>
      <c r="D463" s="16" t="str">
        <f t="shared" si="8"/>
        <v/>
      </c>
    </row>
    <row r="464" spans="1:4" ht="15.75">
      <c r="A464" s="14"/>
      <c r="B464" s="14"/>
      <c r="C464" s="15"/>
      <c r="D464" s="16" t="str">
        <f t="shared" si="8"/>
        <v/>
      </c>
    </row>
    <row r="465" spans="1:4" ht="15.75">
      <c r="A465" s="14"/>
      <c r="B465" s="14"/>
      <c r="C465" s="15"/>
      <c r="D465" s="16" t="str">
        <f t="shared" si="8"/>
        <v/>
      </c>
    </row>
    <row r="466" spans="1:4" ht="15.75">
      <c r="A466" s="14"/>
      <c r="B466" s="14"/>
      <c r="C466" s="15"/>
      <c r="D466" s="16" t="str">
        <f t="shared" si="8"/>
        <v/>
      </c>
    </row>
    <row r="467" spans="1:4" ht="15.75">
      <c r="A467" s="14"/>
      <c r="B467" s="14"/>
      <c r="C467" s="15"/>
      <c r="D467" s="16" t="str">
        <f t="shared" si="8"/>
        <v/>
      </c>
    </row>
    <row r="468" spans="1:4" ht="15.75">
      <c r="A468" s="14"/>
      <c r="B468" s="14"/>
      <c r="C468" s="15"/>
      <c r="D468" s="16" t="str">
        <f t="shared" si="8"/>
        <v/>
      </c>
    </row>
    <row r="469" spans="1:4" ht="15.75">
      <c r="A469" s="14"/>
      <c r="B469" s="14"/>
      <c r="C469" s="15"/>
      <c r="D469" s="16" t="str">
        <f t="shared" si="8"/>
        <v/>
      </c>
    </row>
    <row r="470" spans="1:4" ht="15.75">
      <c r="A470" s="14"/>
      <c r="B470" s="14"/>
      <c r="C470" s="15"/>
      <c r="D470" s="16" t="str">
        <f t="shared" si="8"/>
        <v/>
      </c>
    </row>
    <row r="471" spans="1:4" ht="15.75">
      <c r="A471" s="14"/>
      <c r="B471" s="14"/>
      <c r="C471" s="15"/>
      <c r="D471" s="16" t="str">
        <f t="shared" si="8"/>
        <v/>
      </c>
    </row>
    <row r="472" spans="1:4" ht="15.75">
      <c r="A472" s="14"/>
      <c r="B472" s="14"/>
      <c r="C472" s="15"/>
      <c r="D472" s="16" t="str">
        <f t="shared" si="8"/>
        <v/>
      </c>
    </row>
    <row r="473" spans="1:4" ht="15.75">
      <c r="A473" s="14"/>
      <c r="B473" s="14"/>
      <c r="C473" s="15"/>
      <c r="D473" s="16" t="str">
        <f t="shared" si="8"/>
        <v/>
      </c>
    </row>
    <row r="474" spans="1:4" ht="15.75">
      <c r="A474" s="14"/>
      <c r="B474" s="14"/>
      <c r="C474" s="15"/>
      <c r="D474" s="16" t="str">
        <f t="shared" si="8"/>
        <v/>
      </c>
    </row>
    <row r="475" spans="1:4" ht="15.75">
      <c r="A475" s="14"/>
      <c r="B475" s="14"/>
      <c r="C475" s="15"/>
      <c r="D475" s="16" t="str">
        <f t="shared" si="8"/>
        <v/>
      </c>
    </row>
    <row r="476" spans="1:4" ht="15.75">
      <c r="A476" s="14"/>
      <c r="B476" s="14"/>
      <c r="C476" s="15"/>
      <c r="D476" s="16" t="str">
        <f t="shared" si="8"/>
        <v/>
      </c>
    </row>
    <row r="477" spans="1:4" ht="15.75">
      <c r="A477" s="14"/>
      <c r="B477" s="14"/>
      <c r="C477" s="15"/>
      <c r="D477" s="16" t="str">
        <f t="shared" si="8"/>
        <v/>
      </c>
    </row>
    <row r="478" spans="1:4" ht="15.75">
      <c r="A478" s="14"/>
      <c r="B478" s="14"/>
      <c r="C478" s="15"/>
      <c r="D478" s="16" t="str">
        <f t="shared" si="8"/>
        <v/>
      </c>
    </row>
    <row r="479" spans="1:4" ht="15.75">
      <c r="A479" s="14"/>
      <c r="B479" s="14"/>
      <c r="C479" s="15"/>
      <c r="D479" s="16" t="str">
        <f t="shared" si="8"/>
        <v/>
      </c>
    </row>
    <row r="480" spans="1:4" ht="15.75">
      <c r="A480" s="14"/>
      <c r="B480" s="14"/>
      <c r="C480" s="15"/>
      <c r="D480" s="16" t="str">
        <f t="shared" si="8"/>
        <v/>
      </c>
    </row>
    <row r="481" spans="1:4" ht="15.75">
      <c r="A481" s="14"/>
      <c r="B481" s="14"/>
      <c r="C481" s="15"/>
      <c r="D481" s="16" t="str">
        <f t="shared" si="8"/>
        <v/>
      </c>
    </row>
    <row r="482" spans="1:4" ht="15.75">
      <c r="A482" s="14"/>
      <c r="B482" s="14"/>
      <c r="C482" s="17"/>
      <c r="D482" s="16" t="str">
        <f t="shared" si="8"/>
        <v/>
      </c>
    </row>
    <row r="483" spans="1:4" ht="15.75">
      <c r="A483" s="14"/>
      <c r="B483" s="14"/>
      <c r="C483" s="17"/>
      <c r="D483" s="16" t="str">
        <f t="shared" si="8"/>
        <v/>
      </c>
    </row>
    <row r="484" spans="1:4" ht="15.75">
      <c r="A484" s="14"/>
      <c r="B484" s="14"/>
      <c r="C484" s="17"/>
      <c r="D484" s="16" t="str">
        <f t="shared" si="8"/>
        <v/>
      </c>
    </row>
    <row r="485" spans="1:4" ht="15.75">
      <c r="A485" s="14"/>
      <c r="B485" s="14"/>
      <c r="C485" s="17"/>
      <c r="D485" s="16" t="str">
        <f t="shared" si="8"/>
        <v/>
      </c>
    </row>
    <row r="486" spans="1:4" ht="15.75">
      <c r="A486" s="14"/>
      <c r="B486" s="14"/>
      <c r="C486" s="17"/>
      <c r="D486" s="16" t="str">
        <f t="shared" si="8"/>
        <v/>
      </c>
    </row>
    <row r="487" spans="1:4" ht="15.75">
      <c r="A487" s="14"/>
      <c r="B487" s="14"/>
      <c r="C487" s="17"/>
      <c r="D487" s="16" t="str">
        <f t="shared" si="8"/>
        <v/>
      </c>
    </row>
    <row r="488" spans="1:4" ht="15.75">
      <c r="A488" s="14"/>
      <c r="B488" s="14"/>
      <c r="C488" s="17"/>
      <c r="D488" s="16" t="str">
        <f t="shared" si="8"/>
        <v/>
      </c>
    </row>
    <row r="489" spans="1:4" ht="15.75">
      <c r="A489" s="14"/>
      <c r="B489" s="14"/>
      <c r="C489" s="17"/>
      <c r="D489" s="16" t="str">
        <f t="shared" si="8"/>
        <v/>
      </c>
    </row>
    <row r="490" spans="1:4" ht="15.75">
      <c r="A490" s="14"/>
      <c r="B490" s="14"/>
      <c r="C490" s="17"/>
      <c r="D490" s="16" t="str">
        <f t="shared" si="8"/>
        <v/>
      </c>
    </row>
    <row r="491" spans="1:4" ht="15.75">
      <c r="A491" s="14"/>
      <c r="B491" s="14"/>
      <c r="C491" s="17"/>
      <c r="D491" s="16" t="str">
        <f t="shared" si="8"/>
        <v/>
      </c>
    </row>
    <row r="492" spans="1:4" ht="15.75">
      <c r="A492" s="14"/>
      <c r="B492" s="14"/>
      <c r="C492" s="17"/>
      <c r="D492" s="16" t="str">
        <f t="shared" si="8"/>
        <v/>
      </c>
    </row>
    <row r="493" spans="1:4" ht="15.75">
      <c r="A493" s="14"/>
      <c r="B493" s="14"/>
      <c r="C493" s="17"/>
      <c r="D493" s="16" t="str">
        <f t="shared" si="8"/>
        <v/>
      </c>
    </row>
    <row r="494" spans="1:4" ht="15.75">
      <c r="A494" s="14"/>
      <c r="B494" s="14"/>
      <c r="C494" s="17"/>
      <c r="D494" s="16" t="str">
        <f t="shared" si="8"/>
        <v/>
      </c>
    </row>
    <row r="495" spans="1:4" ht="15.75">
      <c r="A495" s="14"/>
      <c r="B495" s="14"/>
      <c r="C495" s="17"/>
      <c r="D495" s="16" t="str">
        <f t="shared" si="8"/>
        <v/>
      </c>
    </row>
    <row r="496" spans="1:4" ht="15.75">
      <c r="A496" s="14"/>
      <c r="B496" s="14"/>
      <c r="C496" s="17"/>
      <c r="D496" s="16" t="str">
        <f t="shared" si="8"/>
        <v/>
      </c>
    </row>
    <row r="497" spans="1:4" ht="15.75">
      <c r="A497" s="14"/>
      <c r="B497" s="14"/>
      <c r="C497" s="17"/>
      <c r="D497" s="16" t="str">
        <f t="shared" si="8"/>
        <v/>
      </c>
    </row>
    <row r="498" spans="1:4" ht="15.75">
      <c r="A498" s="14"/>
      <c r="B498" s="14"/>
      <c r="C498" s="17"/>
      <c r="D498" s="16" t="str">
        <f t="shared" si="8"/>
        <v/>
      </c>
    </row>
    <row r="499" spans="1:4" ht="15.75">
      <c r="A499" s="14"/>
      <c r="B499" s="14"/>
      <c r="C499" s="17"/>
      <c r="D499" s="16" t="str">
        <f t="shared" si="8"/>
        <v/>
      </c>
    </row>
    <row r="500" spans="1:4" ht="15.75">
      <c r="A500" s="14"/>
      <c r="B500" s="14"/>
      <c r="C500" s="17"/>
      <c r="D500" s="16" t="str">
        <f t="shared" si="8"/>
        <v/>
      </c>
    </row>
    <row r="501" spans="1:4" ht="15.75">
      <c r="A501" s="14"/>
      <c r="B501" s="14"/>
      <c r="C501" s="17"/>
      <c r="D501" s="16" t="str">
        <f t="shared" si="8"/>
        <v/>
      </c>
    </row>
    <row r="502" spans="1:4" ht="15.75">
      <c r="A502" s="14"/>
      <c r="B502" s="14"/>
      <c r="C502" s="17"/>
      <c r="D502" s="16" t="str">
        <f t="shared" si="8"/>
        <v/>
      </c>
    </row>
    <row r="503" spans="1:4" ht="15.75">
      <c r="A503" s="14"/>
      <c r="B503" s="14"/>
      <c r="C503" s="17"/>
      <c r="D503" s="16" t="str">
        <f t="shared" si="8"/>
        <v/>
      </c>
    </row>
    <row r="504" spans="1:4" ht="15.75">
      <c r="A504" s="14"/>
      <c r="B504" s="14"/>
      <c r="C504" s="17"/>
      <c r="D504" s="16" t="str">
        <f t="shared" si="8"/>
        <v/>
      </c>
    </row>
    <row r="505" spans="1:4" ht="15.75">
      <c r="A505" s="14"/>
      <c r="B505" s="14"/>
      <c r="C505" s="17"/>
      <c r="D505" s="16" t="str">
        <f t="shared" si="8"/>
        <v/>
      </c>
    </row>
    <row r="506" spans="1:4" ht="15.75">
      <c r="A506" s="14"/>
      <c r="B506" s="14"/>
      <c r="C506" s="17"/>
      <c r="D506" s="16" t="str">
        <f t="shared" si="8"/>
        <v/>
      </c>
    </row>
    <row r="507" spans="1:4" ht="15.75">
      <c r="A507" s="14"/>
      <c r="B507" s="14"/>
      <c r="C507" s="17"/>
      <c r="D507" s="16" t="str">
        <f t="shared" si="8"/>
        <v/>
      </c>
    </row>
    <row r="508" spans="1:4" ht="15.75">
      <c r="A508" s="14"/>
      <c r="B508" s="14"/>
      <c r="C508" s="17"/>
      <c r="D508" s="16" t="str">
        <f t="shared" si="8"/>
        <v/>
      </c>
    </row>
    <row r="509" spans="1:4" ht="15.75">
      <c r="A509" s="14"/>
      <c r="B509" s="14"/>
      <c r="C509" s="17"/>
      <c r="D509" s="16" t="str">
        <f t="shared" si="8"/>
        <v/>
      </c>
    </row>
    <row r="510" spans="1:4" ht="15.75">
      <c r="A510" s="14"/>
      <c r="B510" s="14"/>
      <c r="C510" s="17"/>
      <c r="D510" s="16" t="str">
        <f t="shared" si="8"/>
        <v/>
      </c>
    </row>
    <row r="511" spans="1:4" ht="15.75">
      <c r="A511" s="14"/>
      <c r="B511" s="14"/>
      <c r="C511" s="17"/>
      <c r="D511" s="16" t="str">
        <f t="shared" si="8"/>
        <v/>
      </c>
    </row>
    <row r="512" spans="1:4" ht="15.75">
      <c r="A512" s="14"/>
      <c r="B512" s="14"/>
      <c r="C512" s="17"/>
      <c r="D512" s="16" t="str">
        <f t="shared" si="8"/>
        <v/>
      </c>
    </row>
    <row r="513" spans="1:4" ht="15.75">
      <c r="A513" s="14"/>
      <c r="B513" s="14"/>
      <c r="C513" s="17"/>
      <c r="D513" s="16" t="str">
        <f t="shared" si="8"/>
        <v/>
      </c>
    </row>
    <row r="514" spans="1:4" ht="15.75">
      <c r="A514" s="14"/>
      <c r="B514" s="14"/>
      <c r="C514" s="17"/>
      <c r="D514" s="16" t="str">
        <f t="shared" si="8"/>
        <v/>
      </c>
    </row>
    <row r="515" spans="1:4" ht="15.75">
      <c r="A515" s="14"/>
      <c r="B515" s="14"/>
      <c r="C515" s="17"/>
      <c r="D515" s="16" t="str">
        <f t="shared" si="8"/>
        <v/>
      </c>
    </row>
    <row r="516" spans="1:4" ht="15.75">
      <c r="A516" s="14"/>
      <c r="B516" s="14"/>
      <c r="C516" s="17"/>
      <c r="D516" s="16" t="str">
        <f t="shared" si="8"/>
        <v/>
      </c>
    </row>
    <row r="517" spans="1:4" ht="15.75">
      <c r="A517" s="14"/>
      <c r="B517" s="14"/>
      <c r="C517" s="17"/>
      <c r="D517" s="16" t="str">
        <f t="shared" ref="D517:D580" si="9">IFERROR(B517/C517,"")</f>
        <v/>
      </c>
    </row>
    <row r="518" spans="1:4" ht="15.75">
      <c r="A518" s="14"/>
      <c r="B518" s="14"/>
      <c r="C518" s="17"/>
      <c r="D518" s="16" t="str">
        <f t="shared" si="9"/>
        <v/>
      </c>
    </row>
    <row r="519" spans="1:4" ht="15.75">
      <c r="A519" s="14"/>
      <c r="B519" s="14"/>
      <c r="C519" s="17"/>
      <c r="D519" s="16" t="str">
        <f t="shared" si="9"/>
        <v/>
      </c>
    </row>
    <row r="520" spans="1:4" ht="15.75">
      <c r="A520" s="14"/>
      <c r="B520" s="14"/>
      <c r="C520" s="17"/>
      <c r="D520" s="16" t="str">
        <f t="shared" si="9"/>
        <v/>
      </c>
    </row>
    <row r="521" spans="1:4" ht="15.75">
      <c r="A521" s="14"/>
      <c r="B521" s="14"/>
      <c r="C521" s="17"/>
      <c r="D521" s="16" t="str">
        <f t="shared" si="9"/>
        <v/>
      </c>
    </row>
    <row r="522" spans="1:4" ht="15.75">
      <c r="A522" s="14"/>
      <c r="B522" s="14"/>
      <c r="C522" s="17"/>
      <c r="D522" s="16" t="str">
        <f t="shared" si="9"/>
        <v/>
      </c>
    </row>
    <row r="523" spans="1:4" ht="15.75">
      <c r="A523" s="14"/>
      <c r="B523" s="14"/>
      <c r="C523" s="17"/>
      <c r="D523" s="16" t="str">
        <f t="shared" si="9"/>
        <v/>
      </c>
    </row>
    <row r="524" spans="1:4" ht="15.75">
      <c r="A524" s="14"/>
      <c r="B524" s="14"/>
      <c r="C524" s="17"/>
      <c r="D524" s="16" t="str">
        <f t="shared" si="9"/>
        <v/>
      </c>
    </row>
    <row r="525" spans="1:4" ht="15.75">
      <c r="A525" s="14"/>
      <c r="B525" s="14"/>
      <c r="C525" s="17"/>
      <c r="D525" s="16" t="str">
        <f t="shared" si="9"/>
        <v/>
      </c>
    </row>
    <row r="526" spans="1:4" ht="15.75">
      <c r="A526" s="14"/>
      <c r="B526" s="14"/>
      <c r="C526" s="17"/>
      <c r="D526" s="16" t="str">
        <f t="shared" si="9"/>
        <v/>
      </c>
    </row>
    <row r="527" spans="1:4" ht="15.75">
      <c r="A527" s="14"/>
      <c r="B527" s="14"/>
      <c r="C527" s="17"/>
      <c r="D527" s="16" t="str">
        <f t="shared" si="9"/>
        <v/>
      </c>
    </row>
    <row r="528" spans="1:4" ht="15.75">
      <c r="A528" s="14"/>
      <c r="B528" s="14"/>
      <c r="C528" s="17"/>
      <c r="D528" s="16" t="str">
        <f t="shared" si="9"/>
        <v/>
      </c>
    </row>
    <row r="529" spans="1:4" ht="15.75">
      <c r="A529" s="14"/>
      <c r="B529" s="14"/>
      <c r="C529" s="17"/>
      <c r="D529" s="16" t="str">
        <f t="shared" si="9"/>
        <v/>
      </c>
    </row>
    <row r="530" spans="1:4" ht="15.75">
      <c r="A530" s="14"/>
      <c r="B530" s="14"/>
      <c r="C530" s="17"/>
      <c r="D530" s="16" t="str">
        <f t="shared" si="9"/>
        <v/>
      </c>
    </row>
    <row r="531" spans="1:4" ht="15.75">
      <c r="A531" s="14"/>
      <c r="B531" s="14"/>
      <c r="C531" s="17"/>
      <c r="D531" s="16" t="str">
        <f t="shared" si="9"/>
        <v/>
      </c>
    </row>
    <row r="532" spans="1:4" ht="15.75">
      <c r="A532" s="14"/>
      <c r="B532" s="14"/>
      <c r="C532" s="17"/>
      <c r="D532" s="16" t="str">
        <f t="shared" si="9"/>
        <v/>
      </c>
    </row>
    <row r="533" spans="1:4" ht="15.75">
      <c r="A533" s="14"/>
      <c r="B533" s="14"/>
      <c r="C533" s="17"/>
      <c r="D533" s="16" t="str">
        <f t="shared" si="9"/>
        <v/>
      </c>
    </row>
    <row r="534" spans="1:4" ht="15.75">
      <c r="A534" s="14"/>
      <c r="B534" s="14"/>
      <c r="C534" s="17"/>
      <c r="D534" s="16" t="str">
        <f t="shared" si="9"/>
        <v/>
      </c>
    </row>
    <row r="535" spans="1:4" ht="15.75">
      <c r="A535" s="14"/>
      <c r="B535" s="14"/>
      <c r="C535" s="17"/>
      <c r="D535" s="16" t="str">
        <f t="shared" si="9"/>
        <v/>
      </c>
    </row>
    <row r="536" spans="1:4" ht="15.75">
      <c r="A536" s="14"/>
      <c r="B536" s="14"/>
      <c r="C536" s="17"/>
      <c r="D536" s="16" t="str">
        <f t="shared" si="9"/>
        <v/>
      </c>
    </row>
    <row r="537" spans="1:4" ht="15.75">
      <c r="A537" s="14"/>
      <c r="B537" s="14"/>
      <c r="C537" s="17"/>
      <c r="D537" s="16" t="str">
        <f t="shared" si="9"/>
        <v/>
      </c>
    </row>
    <row r="538" spans="1:4" ht="15.75">
      <c r="A538" s="14"/>
      <c r="B538" s="14"/>
      <c r="C538" s="17"/>
      <c r="D538" s="16" t="str">
        <f t="shared" si="9"/>
        <v/>
      </c>
    </row>
    <row r="539" spans="1:4" ht="15.75">
      <c r="A539" s="14"/>
      <c r="B539" s="14"/>
      <c r="C539" s="17"/>
      <c r="D539" s="16" t="str">
        <f t="shared" si="9"/>
        <v/>
      </c>
    </row>
    <row r="540" spans="1:4" ht="15.75">
      <c r="A540" s="14"/>
      <c r="B540" s="14"/>
      <c r="C540" s="17"/>
      <c r="D540" s="16" t="str">
        <f t="shared" si="9"/>
        <v/>
      </c>
    </row>
    <row r="541" spans="1:4" ht="15.75">
      <c r="A541" s="14"/>
      <c r="B541" s="14"/>
      <c r="C541" s="17"/>
      <c r="D541" s="16" t="str">
        <f t="shared" si="9"/>
        <v/>
      </c>
    </row>
    <row r="542" spans="1:4" ht="15.75">
      <c r="A542" s="14"/>
      <c r="B542" s="14"/>
      <c r="C542" s="17"/>
      <c r="D542" s="16" t="str">
        <f t="shared" si="9"/>
        <v/>
      </c>
    </row>
    <row r="543" spans="1:4" ht="15.75">
      <c r="A543" s="14"/>
      <c r="B543" s="14"/>
      <c r="C543" s="17"/>
      <c r="D543" s="16" t="str">
        <f t="shared" si="9"/>
        <v/>
      </c>
    </row>
    <row r="544" spans="1:4" ht="15.75">
      <c r="A544" s="14"/>
      <c r="B544" s="14"/>
      <c r="C544" s="17"/>
      <c r="D544" s="16" t="str">
        <f t="shared" si="9"/>
        <v/>
      </c>
    </row>
    <row r="545" spans="1:4" ht="15.75">
      <c r="A545" s="14"/>
      <c r="B545" s="14"/>
      <c r="C545" s="17"/>
      <c r="D545" s="16" t="str">
        <f t="shared" si="9"/>
        <v/>
      </c>
    </row>
    <row r="546" spans="1:4" ht="15.75">
      <c r="A546" s="14"/>
      <c r="B546" s="14"/>
      <c r="C546" s="17"/>
      <c r="D546" s="16" t="str">
        <f t="shared" si="9"/>
        <v/>
      </c>
    </row>
    <row r="547" spans="1:4" ht="15.75">
      <c r="A547" s="14"/>
      <c r="B547" s="14"/>
      <c r="C547" s="17"/>
      <c r="D547" s="16" t="str">
        <f t="shared" si="9"/>
        <v/>
      </c>
    </row>
    <row r="548" spans="1:4" ht="15.75">
      <c r="A548" s="14"/>
      <c r="B548" s="14"/>
      <c r="C548" s="17"/>
      <c r="D548" s="16" t="str">
        <f t="shared" si="9"/>
        <v/>
      </c>
    </row>
    <row r="549" spans="1:4" ht="15.75">
      <c r="A549" s="14"/>
      <c r="B549" s="14"/>
      <c r="C549" s="17"/>
      <c r="D549" s="16" t="str">
        <f t="shared" si="9"/>
        <v/>
      </c>
    </row>
    <row r="550" spans="1:4" ht="15.75">
      <c r="A550" s="14"/>
      <c r="B550" s="14"/>
      <c r="C550" s="17"/>
      <c r="D550" s="16" t="str">
        <f t="shared" si="9"/>
        <v/>
      </c>
    </row>
    <row r="551" spans="1:4" ht="15.75">
      <c r="A551" s="14"/>
      <c r="B551" s="14"/>
      <c r="C551" s="17"/>
      <c r="D551" s="16" t="str">
        <f t="shared" si="9"/>
        <v/>
      </c>
    </row>
    <row r="552" spans="1:4" ht="15.75">
      <c r="A552" s="14"/>
      <c r="B552" s="14"/>
      <c r="C552" s="17"/>
      <c r="D552" s="16" t="str">
        <f t="shared" si="9"/>
        <v/>
      </c>
    </row>
    <row r="553" spans="1:4" ht="15.75">
      <c r="A553" s="14"/>
      <c r="B553" s="14"/>
      <c r="C553" s="17"/>
      <c r="D553" s="16" t="str">
        <f t="shared" si="9"/>
        <v/>
      </c>
    </row>
    <row r="554" spans="1:4" ht="15.75">
      <c r="A554" s="14"/>
      <c r="B554" s="14"/>
      <c r="C554" s="17"/>
      <c r="D554" s="16" t="str">
        <f t="shared" si="9"/>
        <v/>
      </c>
    </row>
    <row r="555" spans="1:4" ht="15.75">
      <c r="A555" s="14"/>
      <c r="B555" s="14"/>
      <c r="C555" s="17"/>
      <c r="D555" s="16" t="str">
        <f t="shared" si="9"/>
        <v/>
      </c>
    </row>
    <row r="556" spans="1:4" ht="15.75">
      <c r="A556" s="14"/>
      <c r="B556" s="14"/>
      <c r="C556" s="17"/>
      <c r="D556" s="16" t="str">
        <f t="shared" si="9"/>
        <v/>
      </c>
    </row>
    <row r="557" spans="1:4" ht="15.75">
      <c r="A557" s="14"/>
      <c r="B557" s="14"/>
      <c r="C557" s="17"/>
      <c r="D557" s="16" t="str">
        <f t="shared" si="9"/>
        <v/>
      </c>
    </row>
    <row r="558" spans="1:4" ht="15.75">
      <c r="A558" s="14"/>
      <c r="B558" s="14"/>
      <c r="C558" s="17"/>
      <c r="D558" s="16" t="str">
        <f t="shared" si="9"/>
        <v/>
      </c>
    </row>
    <row r="559" spans="1:4" ht="15.75">
      <c r="A559" s="14"/>
      <c r="B559" s="14"/>
      <c r="C559" s="17"/>
      <c r="D559" s="16" t="str">
        <f t="shared" si="9"/>
        <v/>
      </c>
    </row>
    <row r="560" spans="1:4" ht="15.75">
      <c r="A560" s="14"/>
      <c r="B560" s="14"/>
      <c r="C560" s="17"/>
      <c r="D560" s="16" t="str">
        <f t="shared" si="9"/>
        <v/>
      </c>
    </row>
    <row r="561" spans="1:4" ht="15.75">
      <c r="A561" s="14"/>
      <c r="B561" s="14"/>
      <c r="C561" s="17"/>
      <c r="D561" s="16" t="str">
        <f t="shared" si="9"/>
        <v/>
      </c>
    </row>
    <row r="562" spans="1:4" ht="15.75">
      <c r="A562" s="14"/>
      <c r="B562" s="14"/>
      <c r="C562" s="17"/>
      <c r="D562" s="16" t="str">
        <f t="shared" si="9"/>
        <v/>
      </c>
    </row>
    <row r="563" spans="1:4" ht="15.75">
      <c r="A563" s="14"/>
      <c r="B563" s="14"/>
      <c r="C563" s="17"/>
      <c r="D563" s="16" t="str">
        <f t="shared" si="9"/>
        <v/>
      </c>
    </row>
    <row r="564" spans="1:4" ht="15.75">
      <c r="A564" s="14"/>
      <c r="B564" s="14"/>
      <c r="C564" s="17"/>
      <c r="D564" s="16" t="str">
        <f t="shared" si="9"/>
        <v/>
      </c>
    </row>
    <row r="565" spans="1:4" ht="15.75">
      <c r="A565" s="14"/>
      <c r="B565" s="14"/>
      <c r="C565" s="17"/>
      <c r="D565" s="16" t="str">
        <f t="shared" si="9"/>
        <v/>
      </c>
    </row>
    <row r="566" spans="1:4" ht="15.75">
      <c r="A566" s="14"/>
      <c r="B566" s="14"/>
      <c r="C566" s="17"/>
      <c r="D566" s="16" t="str">
        <f t="shared" si="9"/>
        <v/>
      </c>
    </row>
    <row r="567" spans="1:4" ht="15.75">
      <c r="A567" s="14"/>
      <c r="B567" s="14"/>
      <c r="C567" s="17"/>
      <c r="D567" s="16" t="str">
        <f t="shared" si="9"/>
        <v/>
      </c>
    </row>
    <row r="568" spans="1:4" ht="15.75">
      <c r="A568" s="14"/>
      <c r="B568" s="14"/>
      <c r="C568" s="17"/>
      <c r="D568" s="16" t="str">
        <f t="shared" si="9"/>
        <v/>
      </c>
    </row>
    <row r="569" spans="1:4" ht="15.75">
      <c r="A569" s="14"/>
      <c r="B569" s="14"/>
      <c r="C569" s="17"/>
      <c r="D569" s="16" t="str">
        <f t="shared" si="9"/>
        <v/>
      </c>
    </row>
    <row r="570" spans="1:4" ht="15.75">
      <c r="A570" s="14"/>
      <c r="B570" s="14"/>
      <c r="C570" s="17"/>
      <c r="D570" s="16" t="str">
        <f t="shared" si="9"/>
        <v/>
      </c>
    </row>
    <row r="571" spans="1:4" ht="15.75">
      <c r="A571" s="14"/>
      <c r="B571" s="14"/>
      <c r="C571" s="17"/>
      <c r="D571" s="16" t="str">
        <f t="shared" si="9"/>
        <v/>
      </c>
    </row>
    <row r="572" spans="1:4" ht="15.75">
      <c r="A572" s="14"/>
      <c r="B572" s="14"/>
      <c r="C572" s="17"/>
      <c r="D572" s="16" t="str">
        <f t="shared" si="9"/>
        <v/>
      </c>
    </row>
    <row r="573" spans="1:4" ht="15.75">
      <c r="A573" s="14"/>
      <c r="B573" s="14"/>
      <c r="C573" s="17"/>
      <c r="D573" s="16" t="str">
        <f t="shared" si="9"/>
        <v/>
      </c>
    </row>
    <row r="574" spans="1:4" ht="15.75">
      <c r="A574" s="14"/>
      <c r="B574" s="14"/>
      <c r="C574" s="17"/>
      <c r="D574" s="16" t="str">
        <f t="shared" si="9"/>
        <v/>
      </c>
    </row>
    <row r="575" spans="1:4" ht="15.75">
      <c r="A575" s="14"/>
      <c r="B575" s="14"/>
      <c r="C575" s="17"/>
      <c r="D575" s="16" t="str">
        <f t="shared" si="9"/>
        <v/>
      </c>
    </row>
    <row r="576" spans="1:4" ht="15.75">
      <c r="A576" s="14"/>
      <c r="B576" s="14"/>
      <c r="C576" s="17"/>
      <c r="D576" s="16" t="str">
        <f t="shared" si="9"/>
        <v/>
      </c>
    </row>
    <row r="577" spans="1:4" ht="15.75">
      <c r="A577" s="14"/>
      <c r="B577" s="14"/>
      <c r="C577" s="17"/>
      <c r="D577" s="16" t="str">
        <f t="shared" si="9"/>
        <v/>
      </c>
    </row>
    <row r="578" spans="1:4" ht="15.75">
      <c r="A578" s="14"/>
      <c r="B578" s="14"/>
      <c r="C578" s="17"/>
      <c r="D578" s="16" t="str">
        <f t="shared" si="9"/>
        <v/>
      </c>
    </row>
    <row r="579" spans="1:4" ht="15.75">
      <c r="A579" s="14"/>
      <c r="B579" s="14"/>
      <c r="C579" s="17"/>
      <c r="D579" s="16" t="str">
        <f t="shared" si="9"/>
        <v/>
      </c>
    </row>
    <row r="580" spans="1:4" ht="15.75">
      <c r="A580" s="14"/>
      <c r="B580" s="14"/>
      <c r="C580" s="17"/>
      <c r="D580" s="16" t="str">
        <f t="shared" si="9"/>
        <v/>
      </c>
    </row>
    <row r="581" spans="1:4" ht="15.75">
      <c r="A581" s="14"/>
      <c r="B581" s="14"/>
      <c r="C581" s="17"/>
      <c r="D581" s="16" t="str">
        <f t="shared" ref="D581:D619" si="10">IFERROR(B581/C581,"")</f>
        <v/>
      </c>
    </row>
    <row r="582" spans="1:4" ht="15.75">
      <c r="A582" s="14"/>
      <c r="B582" s="14"/>
      <c r="C582" s="17"/>
      <c r="D582" s="16" t="str">
        <f t="shared" si="10"/>
        <v/>
      </c>
    </row>
    <row r="583" spans="1:4" ht="15.75">
      <c r="A583" s="14"/>
      <c r="B583" s="14"/>
      <c r="C583" s="17"/>
      <c r="D583" s="16" t="str">
        <f t="shared" si="10"/>
        <v/>
      </c>
    </row>
    <row r="584" spans="1:4" ht="15.75">
      <c r="A584" s="14"/>
      <c r="B584" s="14"/>
      <c r="C584" s="17"/>
      <c r="D584" s="16" t="str">
        <f t="shared" si="10"/>
        <v/>
      </c>
    </row>
    <row r="585" spans="1:4" ht="15.75">
      <c r="A585" s="14"/>
      <c r="B585" s="14"/>
      <c r="C585" s="17"/>
      <c r="D585" s="16" t="str">
        <f t="shared" si="10"/>
        <v/>
      </c>
    </row>
    <row r="586" spans="1:4" ht="15.75">
      <c r="A586" s="14"/>
      <c r="B586" s="14"/>
      <c r="C586" s="17"/>
      <c r="D586" s="16" t="str">
        <f t="shared" si="10"/>
        <v/>
      </c>
    </row>
    <row r="587" spans="1:4" ht="15.75">
      <c r="A587" s="14"/>
      <c r="B587" s="14"/>
      <c r="C587" s="17"/>
      <c r="D587" s="16" t="str">
        <f t="shared" si="10"/>
        <v/>
      </c>
    </row>
    <row r="588" spans="1:4" ht="15.75">
      <c r="A588" s="14"/>
      <c r="B588" s="14"/>
      <c r="C588" s="17"/>
      <c r="D588" s="16" t="str">
        <f t="shared" si="10"/>
        <v/>
      </c>
    </row>
    <row r="589" spans="1:4" ht="15.75">
      <c r="A589" s="14"/>
      <c r="B589" s="14"/>
      <c r="C589" s="17"/>
      <c r="D589" s="16" t="str">
        <f t="shared" si="10"/>
        <v/>
      </c>
    </row>
    <row r="590" spans="1:4" ht="15.75">
      <c r="A590" s="14"/>
      <c r="B590" s="14"/>
      <c r="C590" s="17"/>
      <c r="D590" s="16" t="str">
        <f t="shared" si="10"/>
        <v/>
      </c>
    </row>
    <row r="591" spans="1:4" ht="15.75">
      <c r="A591" s="14"/>
      <c r="B591" s="14"/>
      <c r="C591" s="17"/>
      <c r="D591" s="16" t="str">
        <f t="shared" si="10"/>
        <v/>
      </c>
    </row>
    <row r="592" spans="1:4" ht="15.75">
      <c r="A592" s="14"/>
      <c r="B592" s="14"/>
      <c r="C592" s="17"/>
      <c r="D592" s="16" t="str">
        <f t="shared" si="10"/>
        <v/>
      </c>
    </row>
    <row r="593" spans="1:4" ht="15.75">
      <c r="A593" s="14"/>
      <c r="B593" s="14"/>
      <c r="C593" s="17"/>
      <c r="D593" s="16" t="str">
        <f t="shared" si="10"/>
        <v/>
      </c>
    </row>
    <row r="594" spans="1:4" ht="15.75">
      <c r="A594" s="14"/>
      <c r="B594" s="14"/>
      <c r="C594" s="17"/>
      <c r="D594" s="16" t="str">
        <f t="shared" si="10"/>
        <v/>
      </c>
    </row>
    <row r="595" spans="1:4" ht="15.75">
      <c r="A595" s="14"/>
      <c r="B595" s="14"/>
      <c r="C595" s="17"/>
      <c r="D595" s="16" t="str">
        <f t="shared" si="10"/>
        <v/>
      </c>
    </row>
    <row r="596" spans="1:4" ht="15.75">
      <c r="A596" s="14"/>
      <c r="B596" s="14"/>
      <c r="C596" s="17"/>
      <c r="D596" s="16" t="str">
        <f t="shared" si="10"/>
        <v/>
      </c>
    </row>
    <row r="597" spans="1:4" ht="15.75">
      <c r="A597" s="14"/>
      <c r="B597" s="14"/>
      <c r="C597" s="17"/>
      <c r="D597" s="16" t="str">
        <f t="shared" si="10"/>
        <v/>
      </c>
    </row>
    <row r="598" spans="1:4" ht="15.75">
      <c r="A598" s="14"/>
      <c r="B598" s="14"/>
      <c r="C598" s="17"/>
      <c r="D598" s="16" t="str">
        <f t="shared" si="10"/>
        <v/>
      </c>
    </row>
    <row r="599" spans="1:4" ht="15.75">
      <c r="A599" s="14"/>
      <c r="B599" s="14"/>
      <c r="C599" s="17"/>
      <c r="D599" s="16" t="str">
        <f t="shared" si="10"/>
        <v/>
      </c>
    </row>
    <row r="600" spans="1:4" ht="15.75">
      <c r="A600" s="14"/>
      <c r="B600" s="14"/>
      <c r="C600" s="17"/>
      <c r="D600" s="16" t="str">
        <f t="shared" si="10"/>
        <v/>
      </c>
    </row>
    <row r="601" spans="1:4" ht="15.75">
      <c r="A601" s="14"/>
      <c r="B601" s="14"/>
      <c r="C601" s="17"/>
      <c r="D601" s="16" t="str">
        <f t="shared" si="10"/>
        <v/>
      </c>
    </row>
    <row r="602" spans="1:4" ht="15.75">
      <c r="A602" s="14"/>
      <c r="B602" s="14"/>
      <c r="C602" s="17"/>
      <c r="D602" s="16" t="str">
        <f t="shared" si="10"/>
        <v/>
      </c>
    </row>
    <row r="603" spans="1:4" ht="15.75">
      <c r="A603" s="14"/>
      <c r="B603" s="14"/>
      <c r="C603" s="17"/>
      <c r="D603" s="16" t="str">
        <f t="shared" si="10"/>
        <v/>
      </c>
    </row>
    <row r="604" spans="1:4" ht="15.75">
      <c r="A604" s="14"/>
      <c r="B604" s="14"/>
      <c r="C604" s="17"/>
      <c r="D604" s="16" t="str">
        <f t="shared" si="10"/>
        <v/>
      </c>
    </row>
    <row r="605" spans="1:4" ht="15.75">
      <c r="A605" s="14"/>
      <c r="B605" s="14"/>
      <c r="C605" s="17"/>
      <c r="D605" s="16" t="str">
        <f t="shared" si="10"/>
        <v/>
      </c>
    </row>
    <row r="606" spans="1:4" ht="15.75">
      <c r="A606" s="14"/>
      <c r="B606" s="14"/>
      <c r="C606" s="17"/>
      <c r="D606" s="16" t="str">
        <f t="shared" si="10"/>
        <v/>
      </c>
    </row>
    <row r="607" spans="1:4" ht="15.75">
      <c r="A607" s="14"/>
      <c r="B607" s="14"/>
      <c r="C607" s="17"/>
      <c r="D607" s="16" t="str">
        <f t="shared" si="10"/>
        <v/>
      </c>
    </row>
    <row r="608" spans="1:4" ht="15.75">
      <c r="A608" s="14"/>
      <c r="B608" s="14"/>
      <c r="C608" s="17"/>
      <c r="D608" s="16" t="str">
        <f t="shared" si="10"/>
        <v/>
      </c>
    </row>
    <row r="609" spans="1:4" ht="15.75">
      <c r="A609" s="14"/>
      <c r="B609" s="14"/>
      <c r="C609" s="17"/>
      <c r="D609" s="16" t="str">
        <f t="shared" si="10"/>
        <v/>
      </c>
    </row>
    <row r="610" spans="1:4" ht="15.75">
      <c r="A610" s="14"/>
      <c r="B610" s="14"/>
      <c r="C610" s="17"/>
      <c r="D610" s="16" t="str">
        <f t="shared" si="10"/>
        <v/>
      </c>
    </row>
    <row r="611" spans="1:4" ht="15.75">
      <c r="A611" s="14"/>
      <c r="B611" s="14"/>
      <c r="C611" s="17"/>
      <c r="D611" s="16" t="str">
        <f t="shared" si="10"/>
        <v/>
      </c>
    </row>
    <row r="612" spans="1:4" ht="15.75">
      <c r="A612" s="14"/>
      <c r="B612" s="14"/>
      <c r="C612" s="17"/>
      <c r="D612" s="16" t="str">
        <f t="shared" si="10"/>
        <v/>
      </c>
    </row>
    <row r="613" spans="1:4" ht="15.75">
      <c r="A613" s="14"/>
      <c r="B613" s="14"/>
      <c r="C613" s="17"/>
      <c r="D613" s="16" t="str">
        <f t="shared" si="10"/>
        <v/>
      </c>
    </row>
    <row r="614" spans="1:4" ht="15.75">
      <c r="A614" s="14"/>
      <c r="B614" s="14"/>
      <c r="C614" s="17"/>
      <c r="D614" s="16" t="str">
        <f t="shared" si="10"/>
        <v/>
      </c>
    </row>
    <row r="615" spans="1:4" ht="15.75">
      <c r="A615" s="14"/>
      <c r="B615" s="14"/>
      <c r="C615" s="17"/>
      <c r="D615" s="16" t="str">
        <f t="shared" si="10"/>
        <v/>
      </c>
    </row>
    <row r="616" spans="1:4" ht="15.75">
      <c r="A616" s="14"/>
      <c r="B616" s="14"/>
      <c r="C616" s="17"/>
      <c r="D616" s="16" t="str">
        <f t="shared" si="10"/>
        <v/>
      </c>
    </row>
    <row r="617" spans="1:4" ht="15.75">
      <c r="A617" s="14"/>
      <c r="B617" s="14"/>
      <c r="C617" s="17"/>
      <c r="D617" s="16" t="str">
        <f t="shared" si="10"/>
        <v/>
      </c>
    </row>
    <row r="618" spans="1:4" ht="15.75">
      <c r="A618" s="14"/>
      <c r="B618" s="14"/>
      <c r="C618" s="17"/>
      <c r="D618" s="16" t="str">
        <f t="shared" si="10"/>
        <v/>
      </c>
    </row>
    <row r="619" spans="1:4" ht="15.75">
      <c r="A619" s="14"/>
      <c r="B619" s="14"/>
      <c r="C619" s="17"/>
      <c r="D619" s="16" t="str">
        <f t="shared" si="10"/>
        <v/>
      </c>
    </row>
    <row r="620" spans="1:4" ht="15.75">
      <c r="A620" s="14"/>
      <c r="B620" s="14"/>
      <c r="C620" s="17"/>
      <c r="D620" s="16" t="str">
        <f t="shared" ref="D620:D622" si="11">IFERROR(B620/C620,"")</f>
        <v/>
      </c>
    </row>
    <row r="621" spans="1:4" ht="15.75">
      <c r="A621" s="14"/>
      <c r="B621" s="14"/>
      <c r="C621" s="17"/>
      <c r="D621" s="16" t="str">
        <f t="shared" si="11"/>
        <v/>
      </c>
    </row>
    <row r="622" spans="1:4" ht="15.75">
      <c r="A622" s="14"/>
      <c r="B622" s="14"/>
      <c r="C622" s="17"/>
      <c r="D622" s="16" t="str">
        <f t="shared" si="11"/>
        <v/>
      </c>
    </row>
    <row r="623" spans="1:4" ht="15.75">
      <c r="A623" s="14"/>
      <c r="B623" s="14"/>
      <c r="C623" s="17"/>
      <c r="D623" s="16" t="str">
        <f t="shared" ref="D623:D644" si="12">IFERROR(B623/C623,"")</f>
        <v/>
      </c>
    </row>
    <row r="624" spans="1:4" ht="15.75">
      <c r="A624" s="14"/>
      <c r="B624" s="14"/>
      <c r="C624" s="17"/>
      <c r="D624" s="16" t="str">
        <f t="shared" si="12"/>
        <v/>
      </c>
    </row>
    <row r="625" spans="1:4" ht="15.75">
      <c r="A625" s="14"/>
      <c r="B625" s="14"/>
      <c r="C625" s="17"/>
      <c r="D625" s="16" t="str">
        <f t="shared" si="12"/>
        <v/>
      </c>
    </row>
    <row r="626" spans="1:4" ht="15.75">
      <c r="A626" s="14"/>
      <c r="B626" s="14"/>
      <c r="C626" s="17"/>
      <c r="D626" s="16" t="str">
        <f t="shared" si="12"/>
        <v/>
      </c>
    </row>
    <row r="627" spans="1:4" ht="15.75">
      <c r="A627" s="14"/>
      <c r="B627" s="14"/>
      <c r="C627" s="17"/>
      <c r="D627" s="16" t="str">
        <f t="shared" si="12"/>
        <v/>
      </c>
    </row>
    <row r="628" spans="1:4" ht="15.75">
      <c r="A628" s="14"/>
      <c r="B628" s="14"/>
      <c r="C628" s="17"/>
      <c r="D628" s="16" t="str">
        <f t="shared" si="12"/>
        <v/>
      </c>
    </row>
    <row r="629" spans="1:4" ht="15.75">
      <c r="A629" s="14"/>
      <c r="B629" s="14"/>
      <c r="C629" s="17"/>
      <c r="D629" s="16" t="str">
        <f t="shared" si="12"/>
        <v/>
      </c>
    </row>
    <row r="630" spans="1:4" ht="15.75">
      <c r="A630" s="14"/>
      <c r="B630" s="14"/>
      <c r="C630" s="17"/>
      <c r="D630" s="16" t="str">
        <f t="shared" si="12"/>
        <v/>
      </c>
    </row>
    <row r="631" spans="1:4" ht="15.75">
      <c r="A631" s="14"/>
      <c r="B631" s="14"/>
      <c r="C631" s="17"/>
      <c r="D631" s="16" t="str">
        <f t="shared" si="12"/>
        <v/>
      </c>
    </row>
    <row r="632" spans="1:4" ht="15.75">
      <c r="A632" s="14"/>
      <c r="B632" s="14"/>
      <c r="C632" s="17"/>
      <c r="D632" s="16" t="str">
        <f t="shared" si="12"/>
        <v/>
      </c>
    </row>
    <row r="633" spans="1:4" ht="15.75">
      <c r="A633" s="14"/>
      <c r="B633" s="14"/>
      <c r="C633" s="17"/>
      <c r="D633" s="16" t="str">
        <f t="shared" si="12"/>
        <v/>
      </c>
    </row>
    <row r="634" spans="1:4" ht="15.75">
      <c r="A634" s="14"/>
      <c r="B634" s="14"/>
      <c r="C634" s="17"/>
      <c r="D634" s="16" t="str">
        <f t="shared" si="12"/>
        <v/>
      </c>
    </row>
    <row r="635" spans="1:4" ht="15.75">
      <c r="A635" s="14"/>
      <c r="B635" s="14"/>
      <c r="C635" s="17"/>
      <c r="D635" s="16" t="str">
        <f t="shared" si="12"/>
        <v/>
      </c>
    </row>
    <row r="636" spans="1:4" ht="15.75">
      <c r="A636" s="14"/>
      <c r="B636" s="14"/>
      <c r="C636" s="17"/>
      <c r="D636" s="16" t="str">
        <f t="shared" si="12"/>
        <v/>
      </c>
    </row>
    <row r="637" spans="1:4" ht="15.75">
      <c r="A637" s="14"/>
      <c r="B637" s="14"/>
      <c r="C637" s="17"/>
      <c r="D637" s="16" t="str">
        <f t="shared" si="12"/>
        <v/>
      </c>
    </row>
    <row r="638" spans="1:4" ht="15.75">
      <c r="A638" s="14"/>
      <c r="B638" s="14"/>
      <c r="C638" s="17"/>
      <c r="D638" s="16" t="str">
        <f t="shared" si="12"/>
        <v/>
      </c>
    </row>
    <row r="639" spans="1:4" ht="15.75">
      <c r="A639" s="14"/>
      <c r="B639" s="14"/>
      <c r="C639" s="17"/>
      <c r="D639" s="16" t="str">
        <f t="shared" si="12"/>
        <v/>
      </c>
    </row>
    <row r="640" spans="1:4" ht="15.75">
      <c r="A640" s="14"/>
      <c r="B640" s="14"/>
      <c r="C640" s="17"/>
      <c r="D640" s="16" t="str">
        <f t="shared" si="12"/>
        <v/>
      </c>
    </row>
    <row r="641" spans="1:4" ht="15.75">
      <c r="A641" s="14"/>
      <c r="B641" s="14"/>
      <c r="C641" s="17"/>
      <c r="D641" s="16" t="str">
        <f t="shared" si="12"/>
        <v/>
      </c>
    </row>
    <row r="642" spans="1:4" ht="15.75">
      <c r="A642" s="14"/>
      <c r="B642" s="14"/>
      <c r="C642" s="17"/>
      <c r="D642" s="16" t="str">
        <f t="shared" si="12"/>
        <v/>
      </c>
    </row>
    <row r="643" spans="1:4" ht="15.75">
      <c r="A643" s="14"/>
      <c r="B643" s="14"/>
      <c r="C643" s="17"/>
      <c r="D643" s="16" t="str">
        <f t="shared" si="12"/>
        <v/>
      </c>
    </row>
    <row r="644" spans="1:4" ht="15.75">
      <c r="A644" s="14"/>
      <c r="B644" s="14"/>
      <c r="C644" s="17"/>
      <c r="D644" s="16" t="str">
        <f t="shared" si="12"/>
        <v/>
      </c>
    </row>
    <row r="645" spans="1:4" ht="15.75">
      <c r="A645" s="14"/>
      <c r="B645" s="14"/>
      <c r="C645" s="17"/>
      <c r="D645" s="16" t="str">
        <f t="shared" ref="D645:D708" si="13">IFERROR(B645/C645,"")</f>
        <v/>
      </c>
    </row>
    <row r="646" spans="1:4" ht="15.75">
      <c r="A646" s="14"/>
      <c r="B646" s="14"/>
      <c r="C646" s="17"/>
      <c r="D646" s="16" t="str">
        <f t="shared" si="13"/>
        <v/>
      </c>
    </row>
    <row r="647" spans="1:4" ht="15.75">
      <c r="A647" s="14"/>
      <c r="B647" s="14"/>
      <c r="C647" s="17"/>
      <c r="D647" s="16" t="str">
        <f t="shared" si="13"/>
        <v/>
      </c>
    </row>
    <row r="648" spans="1:4" ht="15.75">
      <c r="A648" s="14"/>
      <c r="B648" s="14"/>
      <c r="C648" s="17"/>
      <c r="D648" s="16" t="str">
        <f t="shared" si="13"/>
        <v/>
      </c>
    </row>
    <row r="649" spans="1:4" ht="15.75">
      <c r="A649" s="14"/>
      <c r="B649" s="14"/>
      <c r="C649" s="17"/>
      <c r="D649" s="16" t="str">
        <f t="shared" si="13"/>
        <v/>
      </c>
    </row>
    <row r="650" spans="1:4" ht="15.75">
      <c r="A650" s="14"/>
      <c r="B650" s="14"/>
      <c r="C650" s="17"/>
      <c r="D650" s="16" t="str">
        <f t="shared" si="13"/>
        <v/>
      </c>
    </row>
    <row r="651" spans="1:4" ht="15.75">
      <c r="A651" s="14"/>
      <c r="B651" s="14"/>
      <c r="C651" s="17"/>
      <c r="D651" s="16" t="str">
        <f t="shared" si="13"/>
        <v/>
      </c>
    </row>
    <row r="652" spans="1:4" ht="15.75">
      <c r="A652" s="14"/>
      <c r="B652" s="14"/>
      <c r="C652" s="17"/>
      <c r="D652" s="16" t="str">
        <f t="shared" si="13"/>
        <v/>
      </c>
    </row>
    <row r="653" spans="1:4" ht="15.75">
      <c r="A653" s="14"/>
      <c r="B653" s="14"/>
      <c r="C653" s="17"/>
      <c r="D653" s="16" t="str">
        <f t="shared" si="13"/>
        <v/>
      </c>
    </row>
    <row r="654" spans="1:4" ht="15.75">
      <c r="A654" s="14"/>
      <c r="B654" s="14"/>
      <c r="C654" s="17"/>
      <c r="D654" s="16" t="str">
        <f t="shared" si="13"/>
        <v/>
      </c>
    </row>
    <row r="655" spans="1:4" ht="15.75">
      <c r="A655" s="14"/>
      <c r="B655" s="14"/>
      <c r="C655" s="17"/>
      <c r="D655" s="16" t="str">
        <f t="shared" si="13"/>
        <v/>
      </c>
    </row>
    <row r="656" spans="1:4" ht="15.75">
      <c r="A656" s="14"/>
      <c r="B656" s="14"/>
      <c r="C656" s="17"/>
      <c r="D656" s="16" t="str">
        <f t="shared" si="13"/>
        <v/>
      </c>
    </row>
    <row r="657" spans="1:4" ht="15.75">
      <c r="A657" s="14"/>
      <c r="B657" s="14"/>
      <c r="C657" s="17"/>
      <c r="D657" s="16" t="str">
        <f t="shared" si="13"/>
        <v/>
      </c>
    </row>
    <row r="658" spans="1:4" ht="15.75">
      <c r="A658" s="14"/>
      <c r="B658" s="14"/>
      <c r="C658" s="17"/>
      <c r="D658" s="16" t="str">
        <f t="shared" si="13"/>
        <v/>
      </c>
    </row>
    <row r="659" spans="1:4" ht="15.75">
      <c r="A659" s="14"/>
      <c r="B659" s="14"/>
      <c r="C659" s="17"/>
      <c r="D659" s="16" t="str">
        <f t="shared" si="13"/>
        <v/>
      </c>
    </row>
    <row r="660" spans="1:4" ht="15.75">
      <c r="A660" s="14"/>
      <c r="B660" s="14"/>
      <c r="C660" s="17"/>
      <c r="D660" s="16" t="str">
        <f t="shared" si="13"/>
        <v/>
      </c>
    </row>
    <row r="661" spans="1:4" ht="15.75">
      <c r="A661" s="14"/>
      <c r="B661" s="14"/>
      <c r="C661" s="17"/>
      <c r="D661" s="16" t="str">
        <f t="shared" si="13"/>
        <v/>
      </c>
    </row>
    <row r="662" spans="1:4" ht="15.75">
      <c r="A662" s="14"/>
      <c r="B662" s="14"/>
      <c r="C662" s="17"/>
      <c r="D662" s="16" t="str">
        <f t="shared" si="13"/>
        <v/>
      </c>
    </row>
    <row r="663" spans="1:4" ht="15.75">
      <c r="A663" s="14"/>
      <c r="B663" s="14"/>
      <c r="C663" s="17"/>
      <c r="D663" s="16" t="str">
        <f t="shared" si="13"/>
        <v/>
      </c>
    </row>
    <row r="664" spans="1:4" ht="15.75">
      <c r="A664" s="14"/>
      <c r="B664" s="14"/>
      <c r="C664" s="17"/>
      <c r="D664" s="16" t="str">
        <f t="shared" si="13"/>
        <v/>
      </c>
    </row>
    <row r="665" spans="1:4" ht="15.75">
      <c r="A665" s="14"/>
      <c r="B665" s="14"/>
      <c r="C665" s="17"/>
      <c r="D665" s="16" t="str">
        <f t="shared" si="13"/>
        <v/>
      </c>
    </row>
    <row r="666" spans="1:4" ht="15.75">
      <c r="A666" s="14"/>
      <c r="B666" s="14"/>
      <c r="C666" s="17"/>
      <c r="D666" s="16" t="str">
        <f t="shared" si="13"/>
        <v/>
      </c>
    </row>
    <row r="667" spans="1:4" ht="15.75">
      <c r="A667" s="14"/>
      <c r="B667" s="14"/>
      <c r="C667" s="17"/>
      <c r="D667" s="16" t="str">
        <f t="shared" si="13"/>
        <v/>
      </c>
    </row>
    <row r="668" spans="1:4" ht="15.75">
      <c r="A668" s="14"/>
      <c r="B668" s="14"/>
      <c r="C668" s="17"/>
      <c r="D668" s="16" t="str">
        <f t="shared" si="13"/>
        <v/>
      </c>
    </row>
    <row r="669" spans="1:4" ht="15.75">
      <c r="A669" s="14"/>
      <c r="B669" s="14"/>
      <c r="C669" s="17"/>
      <c r="D669" s="16" t="str">
        <f t="shared" si="13"/>
        <v/>
      </c>
    </row>
    <row r="670" spans="1:4" ht="15.75">
      <c r="A670" s="14"/>
      <c r="B670" s="14"/>
      <c r="C670" s="17"/>
      <c r="D670" s="16" t="str">
        <f t="shared" si="13"/>
        <v/>
      </c>
    </row>
    <row r="671" spans="1:4" ht="15.75">
      <c r="A671" s="14"/>
      <c r="B671" s="14"/>
      <c r="C671" s="17"/>
      <c r="D671" s="16" t="str">
        <f t="shared" si="13"/>
        <v/>
      </c>
    </row>
    <row r="672" spans="1:4" ht="15.75">
      <c r="A672" s="14"/>
      <c r="B672" s="14"/>
      <c r="C672" s="17"/>
      <c r="D672" s="16" t="str">
        <f t="shared" si="13"/>
        <v/>
      </c>
    </row>
    <row r="673" spans="1:4" ht="15.75">
      <c r="A673" s="14"/>
      <c r="B673" s="14"/>
      <c r="C673" s="17"/>
      <c r="D673" s="16" t="str">
        <f t="shared" si="13"/>
        <v/>
      </c>
    </row>
    <row r="674" spans="1:4" ht="15.75">
      <c r="A674" s="14"/>
      <c r="B674" s="14"/>
      <c r="C674" s="17"/>
      <c r="D674" s="16" t="str">
        <f t="shared" si="13"/>
        <v/>
      </c>
    </row>
    <row r="675" spans="1:4" ht="15.75">
      <c r="A675" s="14"/>
      <c r="B675" s="14"/>
      <c r="C675" s="17"/>
      <c r="D675" s="16" t="str">
        <f t="shared" si="13"/>
        <v/>
      </c>
    </row>
    <row r="676" spans="1:4" ht="15.75">
      <c r="A676" s="14"/>
      <c r="B676" s="14"/>
      <c r="C676" s="17"/>
      <c r="D676" s="16" t="str">
        <f t="shared" si="13"/>
        <v/>
      </c>
    </row>
    <row r="677" spans="1:4" ht="15.75">
      <c r="A677" s="14"/>
      <c r="B677" s="14"/>
      <c r="C677" s="17"/>
      <c r="D677" s="16" t="str">
        <f t="shared" si="13"/>
        <v/>
      </c>
    </row>
    <row r="678" spans="1:4" ht="15.75">
      <c r="A678" s="14"/>
      <c r="B678" s="14"/>
      <c r="C678" s="17"/>
      <c r="D678" s="16" t="str">
        <f t="shared" si="13"/>
        <v/>
      </c>
    </row>
    <row r="679" spans="1:4" ht="15.75">
      <c r="A679" s="14"/>
      <c r="B679" s="14"/>
      <c r="C679" s="17"/>
      <c r="D679" s="16" t="str">
        <f t="shared" si="13"/>
        <v/>
      </c>
    </row>
    <row r="680" spans="1:4" ht="15.75">
      <c r="A680" s="14"/>
      <c r="B680" s="14"/>
      <c r="C680" s="17"/>
      <c r="D680" s="16" t="str">
        <f t="shared" si="13"/>
        <v/>
      </c>
    </row>
    <row r="681" spans="1:4" ht="15.75">
      <c r="A681" s="14"/>
      <c r="B681" s="14"/>
      <c r="C681" s="17"/>
      <c r="D681" s="16" t="str">
        <f t="shared" si="13"/>
        <v/>
      </c>
    </row>
    <row r="682" spans="1:4" ht="15.75">
      <c r="A682" s="14"/>
      <c r="B682" s="14"/>
      <c r="C682" s="17"/>
      <c r="D682" s="16" t="str">
        <f t="shared" si="13"/>
        <v/>
      </c>
    </row>
    <row r="683" spans="1:4" ht="15.75">
      <c r="A683" s="14"/>
      <c r="B683" s="14"/>
      <c r="C683" s="17"/>
      <c r="D683" s="16" t="str">
        <f t="shared" si="13"/>
        <v/>
      </c>
    </row>
    <row r="684" spans="1:4" ht="15.75">
      <c r="A684" s="14"/>
      <c r="B684" s="14"/>
      <c r="C684" s="17"/>
      <c r="D684" s="16" t="str">
        <f t="shared" si="13"/>
        <v/>
      </c>
    </row>
    <row r="685" spans="1:4" ht="15.75">
      <c r="A685" s="14"/>
      <c r="B685" s="14"/>
      <c r="C685" s="17"/>
      <c r="D685" s="16" t="str">
        <f t="shared" si="13"/>
        <v/>
      </c>
    </row>
    <row r="686" spans="1:4" ht="15.75">
      <c r="A686" s="14"/>
      <c r="B686" s="14"/>
      <c r="C686" s="17"/>
      <c r="D686" s="16" t="str">
        <f t="shared" si="13"/>
        <v/>
      </c>
    </row>
    <row r="687" spans="1:4" ht="15.75">
      <c r="A687" s="14"/>
      <c r="B687" s="14"/>
      <c r="C687" s="17"/>
      <c r="D687" s="16" t="str">
        <f t="shared" si="13"/>
        <v/>
      </c>
    </row>
    <row r="688" spans="1:4" ht="15.75">
      <c r="A688" s="14"/>
      <c r="B688" s="14"/>
      <c r="C688" s="17"/>
      <c r="D688" s="16" t="str">
        <f t="shared" si="13"/>
        <v/>
      </c>
    </row>
    <row r="689" spans="1:4" ht="15.75">
      <c r="A689" s="14"/>
      <c r="B689" s="14"/>
      <c r="C689" s="17"/>
      <c r="D689" s="16" t="str">
        <f t="shared" si="13"/>
        <v/>
      </c>
    </row>
    <row r="690" spans="1:4" ht="15.75">
      <c r="A690" s="14"/>
      <c r="B690" s="14"/>
      <c r="C690" s="17"/>
      <c r="D690" s="16" t="str">
        <f t="shared" si="13"/>
        <v/>
      </c>
    </row>
    <row r="691" spans="1:4" ht="15.75">
      <c r="A691" s="14"/>
      <c r="B691" s="14"/>
      <c r="C691" s="17"/>
      <c r="D691" s="16" t="str">
        <f t="shared" si="13"/>
        <v/>
      </c>
    </row>
    <row r="692" spans="1:4" ht="15.75">
      <c r="A692" s="14"/>
      <c r="B692" s="14"/>
      <c r="C692" s="17"/>
      <c r="D692" s="16" t="str">
        <f t="shared" si="13"/>
        <v/>
      </c>
    </row>
    <row r="693" spans="1:4" ht="15.75">
      <c r="A693" s="14"/>
      <c r="B693" s="14"/>
      <c r="C693" s="17"/>
      <c r="D693" s="16" t="str">
        <f t="shared" si="13"/>
        <v/>
      </c>
    </row>
    <row r="694" spans="1:4" ht="15.75">
      <c r="A694" s="14"/>
      <c r="B694" s="14"/>
      <c r="C694" s="17"/>
      <c r="D694" s="16" t="str">
        <f t="shared" si="13"/>
        <v/>
      </c>
    </row>
    <row r="695" spans="1:4" ht="15.75">
      <c r="A695" s="14"/>
      <c r="B695" s="14"/>
      <c r="C695" s="17"/>
      <c r="D695" s="16" t="str">
        <f t="shared" si="13"/>
        <v/>
      </c>
    </row>
    <row r="696" spans="1:4" ht="15.75">
      <c r="A696" s="14"/>
      <c r="B696" s="14"/>
      <c r="C696" s="17"/>
      <c r="D696" s="16" t="str">
        <f t="shared" si="13"/>
        <v/>
      </c>
    </row>
    <row r="697" spans="1:4" ht="15.75">
      <c r="A697" s="14"/>
      <c r="B697" s="14"/>
      <c r="C697" s="17"/>
      <c r="D697" s="16" t="str">
        <f t="shared" si="13"/>
        <v/>
      </c>
    </row>
    <row r="698" spans="1:4" ht="15.75">
      <c r="A698" s="14"/>
      <c r="B698" s="14"/>
      <c r="C698" s="17"/>
      <c r="D698" s="16" t="str">
        <f t="shared" si="13"/>
        <v/>
      </c>
    </row>
    <row r="699" spans="1:4" ht="15.75">
      <c r="A699" s="14"/>
      <c r="B699" s="14"/>
      <c r="C699" s="17"/>
      <c r="D699" s="16" t="str">
        <f t="shared" si="13"/>
        <v/>
      </c>
    </row>
    <row r="700" spans="1:4" ht="15.75">
      <c r="A700" s="14"/>
      <c r="B700" s="14"/>
      <c r="C700" s="17"/>
      <c r="D700" s="16" t="str">
        <f t="shared" si="13"/>
        <v/>
      </c>
    </row>
    <row r="701" spans="1:4" ht="15.75">
      <c r="A701" s="14"/>
      <c r="B701" s="14"/>
      <c r="C701" s="17"/>
      <c r="D701" s="16" t="str">
        <f t="shared" si="13"/>
        <v/>
      </c>
    </row>
    <row r="702" spans="1:4" ht="15.75">
      <c r="A702" s="14"/>
      <c r="B702" s="14"/>
      <c r="C702" s="17"/>
      <c r="D702" s="16" t="str">
        <f t="shared" si="13"/>
        <v/>
      </c>
    </row>
    <row r="703" spans="1:4" ht="15.75">
      <c r="A703" s="14"/>
      <c r="B703" s="14"/>
      <c r="C703" s="17"/>
      <c r="D703" s="16" t="str">
        <f t="shared" si="13"/>
        <v/>
      </c>
    </row>
    <row r="704" spans="1:4" ht="15.75">
      <c r="A704" s="14"/>
      <c r="B704" s="14"/>
      <c r="C704" s="17"/>
      <c r="D704" s="16" t="str">
        <f t="shared" si="13"/>
        <v/>
      </c>
    </row>
    <row r="705" spans="1:4" ht="15.75">
      <c r="A705" s="14"/>
      <c r="B705" s="14"/>
      <c r="C705" s="17"/>
      <c r="D705" s="16" t="str">
        <f t="shared" si="13"/>
        <v/>
      </c>
    </row>
    <row r="706" spans="1:4" ht="15.75">
      <c r="A706" s="14"/>
      <c r="B706" s="14"/>
      <c r="C706" s="17"/>
      <c r="D706" s="16" t="str">
        <f t="shared" si="13"/>
        <v/>
      </c>
    </row>
    <row r="707" spans="1:4" ht="15.75">
      <c r="A707" s="14"/>
      <c r="B707" s="14"/>
      <c r="C707" s="17"/>
      <c r="D707" s="16" t="str">
        <f t="shared" si="13"/>
        <v/>
      </c>
    </row>
    <row r="708" spans="1:4" ht="15.75">
      <c r="A708" s="14"/>
      <c r="B708" s="14"/>
      <c r="C708" s="17"/>
      <c r="D708" s="16" t="str">
        <f t="shared" si="13"/>
        <v/>
      </c>
    </row>
    <row r="709" spans="1:4" ht="15.75">
      <c r="A709" s="14"/>
      <c r="B709" s="14"/>
      <c r="C709" s="17"/>
      <c r="D709" s="16" t="str">
        <f t="shared" ref="D709:D772" si="14">IFERROR(B709/C709,"")</f>
        <v/>
      </c>
    </row>
    <row r="710" spans="1:4" ht="15.75">
      <c r="A710" s="14"/>
      <c r="B710" s="14"/>
      <c r="C710" s="17"/>
      <c r="D710" s="16" t="str">
        <f t="shared" si="14"/>
        <v/>
      </c>
    </row>
    <row r="711" spans="1:4" ht="15.75">
      <c r="A711" s="14"/>
      <c r="B711" s="14"/>
      <c r="C711" s="17"/>
      <c r="D711" s="16" t="str">
        <f t="shared" si="14"/>
        <v/>
      </c>
    </row>
    <row r="712" spans="1:4" ht="15.75">
      <c r="A712" s="14"/>
      <c r="B712" s="14"/>
      <c r="C712" s="17"/>
      <c r="D712" s="16" t="str">
        <f t="shared" si="14"/>
        <v/>
      </c>
    </row>
    <row r="713" spans="1:4" ht="15.75">
      <c r="A713" s="14"/>
      <c r="B713" s="14"/>
      <c r="C713" s="17"/>
      <c r="D713" s="16" t="str">
        <f t="shared" si="14"/>
        <v/>
      </c>
    </row>
    <row r="714" spans="1:4" ht="15.75">
      <c r="A714" s="14"/>
      <c r="B714" s="14"/>
      <c r="C714" s="17"/>
      <c r="D714" s="16" t="str">
        <f t="shared" si="14"/>
        <v/>
      </c>
    </row>
    <row r="715" spans="1:4" ht="15.75">
      <c r="A715" s="14"/>
      <c r="B715" s="14"/>
      <c r="C715" s="17"/>
      <c r="D715" s="16" t="str">
        <f t="shared" si="14"/>
        <v/>
      </c>
    </row>
    <row r="716" spans="1:4" ht="15.75">
      <c r="A716" s="14"/>
      <c r="B716" s="14"/>
      <c r="C716" s="17"/>
      <c r="D716" s="16" t="str">
        <f t="shared" si="14"/>
        <v/>
      </c>
    </row>
    <row r="717" spans="1:4" ht="15.75">
      <c r="A717" s="14"/>
      <c r="B717" s="14"/>
      <c r="C717" s="17"/>
      <c r="D717" s="16" t="str">
        <f t="shared" si="14"/>
        <v/>
      </c>
    </row>
    <row r="718" spans="1:4" ht="15.75">
      <c r="A718" s="14"/>
      <c r="D718" s="16" t="str">
        <f t="shared" si="14"/>
        <v/>
      </c>
    </row>
    <row r="719" spans="1:4" ht="15.75">
      <c r="A719" s="14"/>
      <c r="D719" s="16" t="str">
        <f t="shared" si="14"/>
        <v/>
      </c>
    </row>
    <row r="720" spans="1:4" ht="15.75">
      <c r="A720" s="14"/>
      <c r="D720" s="16" t="str">
        <f t="shared" si="14"/>
        <v/>
      </c>
    </row>
    <row r="721" spans="1:4" ht="15.75">
      <c r="A721" s="14"/>
      <c r="D721" s="16" t="str">
        <f t="shared" si="14"/>
        <v/>
      </c>
    </row>
    <row r="722" spans="1:4" ht="15.75">
      <c r="A722" s="14"/>
      <c r="D722" s="16" t="str">
        <f t="shared" si="14"/>
        <v/>
      </c>
    </row>
    <row r="723" spans="1:4" ht="15.75">
      <c r="A723" s="14"/>
      <c r="D723" s="16" t="str">
        <f t="shared" si="14"/>
        <v/>
      </c>
    </row>
    <row r="724" spans="1:4" ht="15.75">
      <c r="A724" s="14"/>
      <c r="D724" s="16" t="str">
        <f t="shared" si="14"/>
        <v/>
      </c>
    </row>
    <row r="725" spans="1:4" ht="15.75">
      <c r="A725" s="14"/>
      <c r="D725" s="16" t="str">
        <f t="shared" si="14"/>
        <v/>
      </c>
    </row>
    <row r="726" spans="1:4" ht="15.75">
      <c r="A726" s="14"/>
      <c r="D726" s="16" t="str">
        <f t="shared" si="14"/>
        <v/>
      </c>
    </row>
    <row r="727" spans="1:4" ht="15.75">
      <c r="A727" s="14"/>
      <c r="D727" s="16" t="str">
        <f t="shared" si="14"/>
        <v/>
      </c>
    </row>
    <row r="728" spans="1:4" ht="15.75">
      <c r="A728" s="14"/>
      <c r="D728" s="16" t="str">
        <f t="shared" si="14"/>
        <v/>
      </c>
    </row>
    <row r="729" spans="1:4" ht="15.75">
      <c r="A729" s="14"/>
      <c r="D729" s="16" t="str">
        <f t="shared" si="14"/>
        <v/>
      </c>
    </row>
    <row r="730" spans="1:4" ht="15.75">
      <c r="A730" s="14"/>
      <c r="B730" s="14"/>
      <c r="C730" s="17"/>
      <c r="D730" s="16" t="str">
        <f t="shared" si="14"/>
        <v/>
      </c>
    </row>
    <row r="731" spans="1:4" ht="15.75">
      <c r="A731" s="14"/>
      <c r="B731" s="14"/>
      <c r="C731" s="17"/>
      <c r="D731" s="16" t="str">
        <f t="shared" si="14"/>
        <v/>
      </c>
    </row>
    <row r="732" spans="1:4" ht="15.75">
      <c r="A732" s="14"/>
      <c r="B732" s="14"/>
      <c r="C732" s="17"/>
      <c r="D732" s="16" t="str">
        <f t="shared" si="14"/>
        <v/>
      </c>
    </row>
    <row r="733" spans="1:4" ht="15.75">
      <c r="A733" s="14"/>
      <c r="B733" s="14"/>
      <c r="C733" s="17"/>
      <c r="D733" s="16" t="str">
        <f t="shared" si="14"/>
        <v/>
      </c>
    </row>
    <row r="734" spans="1:4" ht="15.75">
      <c r="A734" s="14"/>
      <c r="B734" s="14"/>
      <c r="C734" s="17"/>
      <c r="D734" s="16" t="str">
        <f t="shared" si="14"/>
        <v/>
      </c>
    </row>
    <row r="735" spans="1:4" ht="15.75">
      <c r="A735" s="14"/>
      <c r="B735" s="14"/>
      <c r="C735" s="17"/>
      <c r="D735" s="16" t="str">
        <f t="shared" si="14"/>
        <v/>
      </c>
    </row>
    <row r="736" spans="1:4" ht="15.75">
      <c r="A736" s="14"/>
      <c r="B736" s="14"/>
      <c r="C736" s="17"/>
      <c r="D736" s="16" t="str">
        <f t="shared" si="14"/>
        <v/>
      </c>
    </row>
    <row r="737" spans="1:4" ht="15.75">
      <c r="A737" s="14"/>
      <c r="B737" s="14"/>
      <c r="C737" s="17"/>
      <c r="D737" s="16" t="str">
        <f t="shared" si="14"/>
        <v/>
      </c>
    </row>
    <row r="738" spans="1:4" ht="15.75">
      <c r="A738" s="14"/>
      <c r="B738" s="14"/>
      <c r="C738" s="17"/>
      <c r="D738" s="16" t="str">
        <f t="shared" si="14"/>
        <v/>
      </c>
    </row>
    <row r="739" spans="1:4" ht="15.75">
      <c r="B739" s="14"/>
      <c r="C739" s="17"/>
      <c r="D739" s="16" t="str">
        <f t="shared" si="14"/>
        <v/>
      </c>
    </row>
    <row r="740" spans="1:4" ht="15.75">
      <c r="B740" s="14"/>
      <c r="C740" s="17"/>
      <c r="D740" s="16" t="str">
        <f t="shared" si="14"/>
        <v/>
      </c>
    </row>
    <row r="741" spans="1:4" ht="15.75">
      <c r="B741" s="14"/>
      <c r="C741" s="17"/>
      <c r="D741" s="16" t="str">
        <f t="shared" si="14"/>
        <v/>
      </c>
    </row>
    <row r="742" spans="1:4" ht="15.75">
      <c r="B742" s="14"/>
      <c r="C742" s="17"/>
      <c r="D742" s="16" t="str">
        <f t="shared" si="14"/>
        <v/>
      </c>
    </row>
    <row r="743" spans="1:4" ht="15.75">
      <c r="B743" s="14"/>
      <c r="C743" s="17"/>
      <c r="D743" s="16" t="str">
        <f t="shared" si="14"/>
        <v/>
      </c>
    </row>
    <row r="744" spans="1:4" ht="15.75">
      <c r="B744" s="14"/>
      <c r="C744" s="17"/>
      <c r="D744" s="16" t="str">
        <f t="shared" si="14"/>
        <v/>
      </c>
    </row>
    <row r="745" spans="1:4" ht="15.75">
      <c r="B745" s="14"/>
      <c r="C745" s="17"/>
      <c r="D745" s="16" t="str">
        <f t="shared" si="14"/>
        <v/>
      </c>
    </row>
    <row r="746" spans="1:4" ht="15.75">
      <c r="B746" s="14"/>
      <c r="C746" s="17"/>
      <c r="D746" s="16" t="str">
        <f t="shared" si="14"/>
        <v/>
      </c>
    </row>
    <row r="747" spans="1:4" ht="15.75">
      <c r="B747" s="14"/>
      <c r="D747" s="16" t="str">
        <f t="shared" si="14"/>
        <v/>
      </c>
    </row>
    <row r="748" spans="1:4" ht="15.75">
      <c r="B748" s="14"/>
      <c r="D748" s="16" t="str">
        <f t="shared" si="14"/>
        <v/>
      </c>
    </row>
    <row r="749" spans="1:4" ht="15.75">
      <c r="B749" s="14"/>
      <c r="D749" s="16" t="str">
        <f t="shared" si="14"/>
        <v/>
      </c>
    </row>
    <row r="750" spans="1:4" ht="15.75">
      <c r="B750" s="14"/>
      <c r="D750" s="16" t="str">
        <f t="shared" si="14"/>
        <v/>
      </c>
    </row>
    <row r="751" spans="1:4" ht="15.75">
      <c r="B751" s="14"/>
      <c r="D751" s="16" t="str">
        <f t="shared" si="14"/>
        <v/>
      </c>
    </row>
    <row r="752" spans="1:4" ht="15.75">
      <c r="D752" s="16" t="str">
        <f t="shared" si="14"/>
        <v/>
      </c>
    </row>
    <row r="753" spans="4:4" ht="15.75">
      <c r="D753" s="16" t="str">
        <f t="shared" si="14"/>
        <v/>
      </c>
    </row>
    <row r="754" spans="4:4" ht="15.75">
      <c r="D754" s="16" t="str">
        <f t="shared" si="14"/>
        <v/>
      </c>
    </row>
    <row r="755" spans="4:4" ht="15.75">
      <c r="D755" s="16" t="str">
        <f t="shared" si="14"/>
        <v/>
      </c>
    </row>
    <row r="756" spans="4:4" ht="15.75">
      <c r="D756" s="16" t="str">
        <f t="shared" si="14"/>
        <v/>
      </c>
    </row>
    <row r="757" spans="4:4" ht="15.75">
      <c r="D757" s="16" t="str">
        <f t="shared" si="14"/>
        <v/>
      </c>
    </row>
    <row r="758" spans="4:4" ht="15.75">
      <c r="D758" s="16" t="str">
        <f t="shared" si="14"/>
        <v/>
      </c>
    </row>
    <row r="759" spans="4:4" ht="15.75">
      <c r="D759" s="16" t="str">
        <f t="shared" si="14"/>
        <v/>
      </c>
    </row>
    <row r="760" spans="4:4" ht="15.75">
      <c r="D760" s="16" t="str">
        <f t="shared" si="14"/>
        <v/>
      </c>
    </row>
    <row r="761" spans="4:4" ht="15.75">
      <c r="D761" s="16" t="str">
        <f t="shared" si="14"/>
        <v/>
      </c>
    </row>
    <row r="762" spans="4:4" ht="15.75">
      <c r="D762" s="16" t="str">
        <f t="shared" si="14"/>
        <v/>
      </c>
    </row>
    <row r="763" spans="4:4" ht="15.75">
      <c r="D763" s="16" t="str">
        <f t="shared" si="14"/>
        <v/>
      </c>
    </row>
    <row r="764" spans="4:4" ht="15.75">
      <c r="D764" s="16" t="str">
        <f t="shared" si="14"/>
        <v/>
      </c>
    </row>
    <row r="765" spans="4:4" ht="15.75">
      <c r="D765" s="16" t="str">
        <f t="shared" si="14"/>
        <v/>
      </c>
    </row>
    <row r="766" spans="4:4" ht="15.75">
      <c r="D766" s="16" t="str">
        <f t="shared" si="14"/>
        <v/>
      </c>
    </row>
    <row r="767" spans="4:4" ht="15.75">
      <c r="D767" s="16" t="str">
        <f t="shared" si="14"/>
        <v/>
      </c>
    </row>
    <row r="768" spans="4:4" ht="15.75">
      <c r="D768" s="16" t="str">
        <f t="shared" si="14"/>
        <v/>
      </c>
    </row>
    <row r="769" spans="4:4" ht="15.75">
      <c r="D769" s="16" t="str">
        <f t="shared" si="14"/>
        <v/>
      </c>
    </row>
    <row r="770" spans="4:4" ht="15.75">
      <c r="D770" s="16" t="str">
        <f t="shared" si="14"/>
        <v/>
      </c>
    </row>
    <row r="771" spans="4:4" ht="15.75">
      <c r="D771" s="16" t="str">
        <f t="shared" si="14"/>
        <v/>
      </c>
    </row>
    <row r="772" spans="4:4" ht="15.75">
      <c r="D772" s="16" t="str">
        <f t="shared" si="14"/>
        <v/>
      </c>
    </row>
    <row r="773" spans="4:4" ht="15.75">
      <c r="D773" s="16" t="str">
        <f t="shared" ref="D773:D836" si="15">IFERROR(B773/C773,"")</f>
        <v/>
      </c>
    </row>
    <row r="774" spans="4:4" ht="15.75">
      <c r="D774" s="16" t="str">
        <f t="shared" si="15"/>
        <v/>
      </c>
    </row>
    <row r="775" spans="4:4" ht="15.75">
      <c r="D775" s="16" t="str">
        <f t="shared" si="15"/>
        <v/>
      </c>
    </row>
    <row r="776" spans="4:4" ht="15.75">
      <c r="D776" s="16" t="str">
        <f t="shared" si="15"/>
        <v/>
      </c>
    </row>
    <row r="777" spans="4:4" ht="15.75">
      <c r="D777" s="16" t="str">
        <f t="shared" si="15"/>
        <v/>
      </c>
    </row>
    <row r="778" spans="4:4" ht="15.75">
      <c r="D778" s="16" t="str">
        <f t="shared" si="15"/>
        <v/>
      </c>
    </row>
    <row r="779" spans="4:4" ht="15.75">
      <c r="D779" s="16" t="str">
        <f t="shared" si="15"/>
        <v/>
      </c>
    </row>
    <row r="780" spans="4:4" ht="15.75">
      <c r="D780" s="16" t="str">
        <f t="shared" si="15"/>
        <v/>
      </c>
    </row>
    <row r="781" spans="4:4" ht="15.75">
      <c r="D781" s="16" t="str">
        <f t="shared" si="15"/>
        <v/>
      </c>
    </row>
    <row r="782" spans="4:4" ht="15.75">
      <c r="D782" s="16" t="str">
        <f t="shared" si="15"/>
        <v/>
      </c>
    </row>
    <row r="783" spans="4:4" ht="15.75">
      <c r="D783" s="16" t="str">
        <f t="shared" si="15"/>
        <v/>
      </c>
    </row>
    <row r="784" spans="4:4" ht="15.75">
      <c r="D784" s="16" t="str">
        <f t="shared" si="15"/>
        <v/>
      </c>
    </row>
    <row r="785" spans="4:4" ht="15.75">
      <c r="D785" s="16" t="str">
        <f t="shared" si="15"/>
        <v/>
      </c>
    </row>
    <row r="786" spans="4:4" ht="15.75">
      <c r="D786" s="16" t="str">
        <f t="shared" si="15"/>
        <v/>
      </c>
    </row>
    <row r="787" spans="4:4" ht="15.75">
      <c r="D787" s="16" t="str">
        <f t="shared" si="15"/>
        <v/>
      </c>
    </row>
    <row r="788" spans="4:4" ht="15.75">
      <c r="D788" s="16" t="str">
        <f t="shared" si="15"/>
        <v/>
      </c>
    </row>
    <row r="789" spans="4:4" ht="15.75">
      <c r="D789" s="16" t="str">
        <f t="shared" si="15"/>
        <v/>
      </c>
    </row>
    <row r="790" spans="4:4" ht="15.75">
      <c r="D790" s="16" t="str">
        <f t="shared" si="15"/>
        <v/>
      </c>
    </row>
    <row r="791" spans="4:4" ht="15.75">
      <c r="D791" s="16" t="str">
        <f t="shared" si="15"/>
        <v/>
      </c>
    </row>
    <row r="792" spans="4:4" ht="15.75">
      <c r="D792" s="16" t="str">
        <f t="shared" si="15"/>
        <v/>
      </c>
    </row>
    <row r="793" spans="4:4" ht="15.75">
      <c r="D793" s="16" t="str">
        <f t="shared" si="15"/>
        <v/>
      </c>
    </row>
    <row r="794" spans="4:4" ht="15.75">
      <c r="D794" s="16" t="str">
        <f t="shared" si="15"/>
        <v/>
      </c>
    </row>
    <row r="795" spans="4:4" ht="15.75">
      <c r="D795" s="16" t="str">
        <f t="shared" si="15"/>
        <v/>
      </c>
    </row>
    <row r="796" spans="4:4" ht="15.75">
      <c r="D796" s="16" t="str">
        <f t="shared" si="15"/>
        <v/>
      </c>
    </row>
    <row r="797" spans="4:4" ht="15.75">
      <c r="D797" s="16" t="str">
        <f t="shared" si="15"/>
        <v/>
      </c>
    </row>
    <row r="798" spans="4:4" ht="15.75">
      <c r="D798" s="16" t="str">
        <f t="shared" si="15"/>
        <v/>
      </c>
    </row>
    <row r="799" spans="4:4" ht="15.75">
      <c r="D799" s="16" t="str">
        <f t="shared" si="15"/>
        <v/>
      </c>
    </row>
    <row r="800" spans="4:4" ht="15.75">
      <c r="D800" s="16" t="str">
        <f t="shared" si="15"/>
        <v/>
      </c>
    </row>
    <row r="801" spans="4:4" ht="15.75">
      <c r="D801" s="16" t="str">
        <f t="shared" si="15"/>
        <v/>
      </c>
    </row>
    <row r="802" spans="4:4" ht="15.75">
      <c r="D802" s="16" t="str">
        <f t="shared" si="15"/>
        <v/>
      </c>
    </row>
    <row r="803" spans="4:4" ht="15.75">
      <c r="D803" s="16" t="str">
        <f t="shared" si="15"/>
        <v/>
      </c>
    </row>
    <row r="804" spans="4:4" ht="15.75">
      <c r="D804" s="16" t="str">
        <f t="shared" si="15"/>
        <v/>
      </c>
    </row>
    <row r="805" spans="4:4" ht="15.75">
      <c r="D805" s="16" t="str">
        <f t="shared" si="15"/>
        <v/>
      </c>
    </row>
    <row r="806" spans="4:4" ht="15.75">
      <c r="D806" s="16" t="str">
        <f t="shared" si="15"/>
        <v/>
      </c>
    </row>
    <row r="807" spans="4:4" ht="15.75">
      <c r="D807" s="16" t="str">
        <f t="shared" si="15"/>
        <v/>
      </c>
    </row>
    <row r="808" spans="4:4" ht="15.75">
      <c r="D808" s="16" t="str">
        <f t="shared" si="15"/>
        <v/>
      </c>
    </row>
    <row r="809" spans="4:4" ht="15.75">
      <c r="D809" s="16" t="str">
        <f t="shared" si="15"/>
        <v/>
      </c>
    </row>
    <row r="810" spans="4:4" ht="15.75">
      <c r="D810" s="16" t="str">
        <f t="shared" si="15"/>
        <v/>
      </c>
    </row>
    <row r="811" spans="4:4" ht="15.75">
      <c r="D811" s="16" t="str">
        <f t="shared" si="15"/>
        <v/>
      </c>
    </row>
    <row r="812" spans="4:4" ht="15.75">
      <c r="D812" s="16" t="str">
        <f t="shared" si="15"/>
        <v/>
      </c>
    </row>
    <row r="813" spans="4:4" ht="15.75">
      <c r="D813" s="16" t="str">
        <f t="shared" si="15"/>
        <v/>
      </c>
    </row>
    <row r="814" spans="4:4" ht="15.75">
      <c r="D814" s="16" t="str">
        <f t="shared" si="15"/>
        <v/>
      </c>
    </row>
    <row r="815" spans="4:4" ht="15.75">
      <c r="D815" s="16" t="str">
        <f t="shared" si="15"/>
        <v/>
      </c>
    </row>
    <row r="816" spans="4:4" ht="15.75">
      <c r="D816" s="16" t="str">
        <f t="shared" si="15"/>
        <v/>
      </c>
    </row>
    <row r="817" spans="4:4" ht="15.75">
      <c r="D817" s="16" t="str">
        <f t="shared" si="15"/>
        <v/>
      </c>
    </row>
    <row r="818" spans="4:4" ht="15.75">
      <c r="D818" s="16" t="str">
        <f t="shared" si="15"/>
        <v/>
      </c>
    </row>
    <row r="819" spans="4:4" ht="15.75">
      <c r="D819" s="16" t="str">
        <f t="shared" si="15"/>
        <v/>
      </c>
    </row>
    <row r="820" spans="4:4" ht="15.75">
      <c r="D820" s="16" t="str">
        <f t="shared" si="15"/>
        <v/>
      </c>
    </row>
    <row r="821" spans="4:4" ht="15.75">
      <c r="D821" s="16" t="str">
        <f t="shared" si="15"/>
        <v/>
      </c>
    </row>
    <row r="822" spans="4:4" ht="15.75">
      <c r="D822" s="16" t="str">
        <f t="shared" si="15"/>
        <v/>
      </c>
    </row>
    <row r="823" spans="4:4" ht="15.75">
      <c r="D823" s="16" t="str">
        <f t="shared" si="15"/>
        <v/>
      </c>
    </row>
    <row r="824" spans="4:4" ht="15.75">
      <c r="D824" s="16" t="str">
        <f t="shared" si="15"/>
        <v/>
      </c>
    </row>
    <row r="825" spans="4:4" ht="15.75">
      <c r="D825" s="16" t="str">
        <f t="shared" si="15"/>
        <v/>
      </c>
    </row>
    <row r="826" spans="4:4" ht="15.75">
      <c r="D826" s="16" t="str">
        <f t="shared" si="15"/>
        <v/>
      </c>
    </row>
    <row r="827" spans="4:4" ht="15.75">
      <c r="D827" s="16" t="str">
        <f t="shared" si="15"/>
        <v/>
      </c>
    </row>
    <row r="828" spans="4:4" ht="15.75">
      <c r="D828" s="16" t="str">
        <f t="shared" si="15"/>
        <v/>
      </c>
    </row>
    <row r="829" spans="4:4" ht="15.75">
      <c r="D829" s="16" t="str">
        <f t="shared" si="15"/>
        <v/>
      </c>
    </row>
    <row r="830" spans="4:4" ht="15.75">
      <c r="D830" s="16" t="str">
        <f t="shared" si="15"/>
        <v/>
      </c>
    </row>
    <row r="831" spans="4:4" ht="15.75">
      <c r="D831" s="16" t="str">
        <f t="shared" si="15"/>
        <v/>
      </c>
    </row>
    <row r="832" spans="4:4" ht="15.75">
      <c r="D832" s="16" t="str">
        <f t="shared" si="15"/>
        <v/>
      </c>
    </row>
    <row r="833" spans="4:4" ht="15.75">
      <c r="D833" s="16" t="str">
        <f t="shared" si="15"/>
        <v/>
      </c>
    </row>
    <row r="834" spans="4:4" ht="15.75">
      <c r="D834" s="16" t="str">
        <f t="shared" si="15"/>
        <v/>
      </c>
    </row>
    <row r="835" spans="4:4" ht="15.75">
      <c r="D835" s="16" t="str">
        <f t="shared" si="15"/>
        <v/>
      </c>
    </row>
    <row r="836" spans="4:4" ht="15.75">
      <c r="D836" s="16" t="str">
        <f t="shared" si="15"/>
        <v/>
      </c>
    </row>
    <row r="837" spans="4:4" ht="15.75">
      <c r="D837" s="16" t="str">
        <f t="shared" ref="D837:D900" si="16">IFERROR(B837/C837,"")</f>
        <v/>
      </c>
    </row>
    <row r="838" spans="4:4" ht="15.75">
      <c r="D838" s="16" t="str">
        <f t="shared" si="16"/>
        <v/>
      </c>
    </row>
    <row r="839" spans="4:4" ht="15.75">
      <c r="D839" s="16" t="str">
        <f t="shared" si="16"/>
        <v/>
      </c>
    </row>
    <row r="840" spans="4:4" ht="15.75">
      <c r="D840" s="16" t="str">
        <f t="shared" si="16"/>
        <v/>
      </c>
    </row>
    <row r="841" spans="4:4" ht="15.75">
      <c r="D841" s="16" t="str">
        <f t="shared" si="16"/>
        <v/>
      </c>
    </row>
    <row r="842" spans="4:4" ht="15.75">
      <c r="D842" s="16" t="str">
        <f t="shared" si="16"/>
        <v/>
      </c>
    </row>
    <row r="843" spans="4:4" ht="15.75">
      <c r="D843" s="16" t="str">
        <f t="shared" si="16"/>
        <v/>
      </c>
    </row>
    <row r="844" spans="4:4" ht="15.75">
      <c r="D844" s="16" t="str">
        <f t="shared" si="16"/>
        <v/>
      </c>
    </row>
    <row r="845" spans="4:4" ht="15.75">
      <c r="D845" s="16" t="str">
        <f t="shared" si="16"/>
        <v/>
      </c>
    </row>
    <row r="846" spans="4:4" ht="15.75">
      <c r="D846" s="16" t="str">
        <f t="shared" si="16"/>
        <v/>
      </c>
    </row>
    <row r="847" spans="4:4" ht="15.75">
      <c r="D847" s="16" t="str">
        <f t="shared" si="16"/>
        <v/>
      </c>
    </row>
    <row r="848" spans="4:4" ht="15.75">
      <c r="D848" s="16" t="str">
        <f t="shared" si="16"/>
        <v/>
      </c>
    </row>
    <row r="849" spans="4:4" ht="15.75">
      <c r="D849" s="16" t="str">
        <f t="shared" si="16"/>
        <v/>
      </c>
    </row>
    <row r="850" spans="4:4" ht="15.75">
      <c r="D850" s="16" t="str">
        <f t="shared" si="16"/>
        <v/>
      </c>
    </row>
    <row r="851" spans="4:4" ht="15.75">
      <c r="D851" s="16" t="str">
        <f t="shared" si="16"/>
        <v/>
      </c>
    </row>
    <row r="852" spans="4:4" ht="15.75">
      <c r="D852" s="16" t="str">
        <f t="shared" si="16"/>
        <v/>
      </c>
    </row>
    <row r="853" spans="4:4" ht="15.75">
      <c r="D853" s="16" t="str">
        <f t="shared" si="16"/>
        <v/>
      </c>
    </row>
    <row r="854" spans="4:4" ht="15.75">
      <c r="D854" s="16" t="str">
        <f t="shared" si="16"/>
        <v/>
      </c>
    </row>
    <row r="855" spans="4:4" ht="15.75">
      <c r="D855" s="16" t="str">
        <f t="shared" si="16"/>
        <v/>
      </c>
    </row>
    <row r="856" spans="4:4" ht="15.75">
      <c r="D856" s="16" t="str">
        <f t="shared" si="16"/>
        <v/>
      </c>
    </row>
    <row r="857" spans="4:4" ht="15.75">
      <c r="D857" s="16" t="str">
        <f t="shared" si="16"/>
        <v/>
      </c>
    </row>
    <row r="858" spans="4:4" ht="15.75">
      <c r="D858" s="16" t="str">
        <f t="shared" si="16"/>
        <v/>
      </c>
    </row>
    <row r="859" spans="4:4" ht="15.75">
      <c r="D859" s="16" t="str">
        <f t="shared" si="16"/>
        <v/>
      </c>
    </row>
    <row r="860" spans="4:4" ht="15.75">
      <c r="D860" s="16" t="str">
        <f t="shared" si="16"/>
        <v/>
      </c>
    </row>
    <row r="861" spans="4:4" ht="15.75">
      <c r="D861" s="16" t="str">
        <f t="shared" si="16"/>
        <v/>
      </c>
    </row>
    <row r="862" spans="4:4" ht="15.75">
      <c r="D862" s="16" t="str">
        <f t="shared" si="16"/>
        <v/>
      </c>
    </row>
    <row r="863" spans="4:4" ht="15.75">
      <c r="D863" s="16" t="str">
        <f t="shared" si="16"/>
        <v/>
      </c>
    </row>
    <row r="864" spans="4:4" ht="15.75">
      <c r="D864" s="16" t="str">
        <f t="shared" si="16"/>
        <v/>
      </c>
    </row>
    <row r="865" spans="4:4" ht="15.75">
      <c r="D865" s="16" t="str">
        <f t="shared" si="16"/>
        <v/>
      </c>
    </row>
    <row r="866" spans="4:4" ht="15.75">
      <c r="D866" s="16" t="str">
        <f t="shared" si="16"/>
        <v/>
      </c>
    </row>
    <row r="867" spans="4:4" ht="15.75">
      <c r="D867" s="16" t="str">
        <f t="shared" si="16"/>
        <v/>
      </c>
    </row>
    <row r="868" spans="4:4" ht="15.75">
      <c r="D868" s="16" t="str">
        <f t="shared" si="16"/>
        <v/>
      </c>
    </row>
    <row r="869" spans="4:4" ht="15.75">
      <c r="D869" s="16" t="str">
        <f t="shared" si="16"/>
        <v/>
      </c>
    </row>
    <row r="870" spans="4:4" ht="15.75">
      <c r="D870" s="16" t="str">
        <f t="shared" si="16"/>
        <v/>
      </c>
    </row>
    <row r="871" spans="4:4" ht="15.75">
      <c r="D871" s="16" t="str">
        <f t="shared" si="16"/>
        <v/>
      </c>
    </row>
    <row r="872" spans="4:4" ht="15.75">
      <c r="D872" s="16" t="str">
        <f t="shared" si="16"/>
        <v/>
      </c>
    </row>
    <row r="873" spans="4:4" ht="15.75">
      <c r="D873" s="16" t="str">
        <f t="shared" si="16"/>
        <v/>
      </c>
    </row>
    <row r="874" spans="4:4" ht="15.75">
      <c r="D874" s="16" t="str">
        <f t="shared" si="16"/>
        <v/>
      </c>
    </row>
    <row r="875" spans="4:4" ht="15.75">
      <c r="D875" s="16" t="str">
        <f t="shared" si="16"/>
        <v/>
      </c>
    </row>
    <row r="876" spans="4:4" ht="15.75">
      <c r="D876" s="16" t="str">
        <f t="shared" si="16"/>
        <v/>
      </c>
    </row>
    <row r="877" spans="4:4" ht="15.75">
      <c r="D877" s="16" t="str">
        <f t="shared" si="16"/>
        <v/>
      </c>
    </row>
    <row r="878" spans="4:4" ht="15.75">
      <c r="D878" s="16" t="str">
        <f t="shared" si="16"/>
        <v/>
      </c>
    </row>
    <row r="879" spans="4:4" ht="15.75">
      <c r="D879" s="16" t="str">
        <f t="shared" si="16"/>
        <v/>
      </c>
    </row>
    <row r="880" spans="4:4" ht="15.75">
      <c r="D880" s="16" t="str">
        <f t="shared" si="16"/>
        <v/>
      </c>
    </row>
    <row r="881" spans="4:4" ht="15.75">
      <c r="D881" s="16" t="str">
        <f t="shared" si="16"/>
        <v/>
      </c>
    </row>
    <row r="882" spans="4:4" ht="15.75">
      <c r="D882" s="16" t="str">
        <f t="shared" si="16"/>
        <v/>
      </c>
    </row>
    <row r="883" spans="4:4" ht="15.75">
      <c r="D883" s="16" t="str">
        <f t="shared" si="16"/>
        <v/>
      </c>
    </row>
    <row r="884" spans="4:4" ht="15.75">
      <c r="D884" s="16" t="str">
        <f t="shared" si="16"/>
        <v/>
      </c>
    </row>
    <row r="885" spans="4:4" ht="15.75">
      <c r="D885" s="16" t="str">
        <f t="shared" si="16"/>
        <v/>
      </c>
    </row>
    <row r="886" spans="4:4" ht="15.75">
      <c r="D886" s="16" t="str">
        <f t="shared" si="16"/>
        <v/>
      </c>
    </row>
    <row r="887" spans="4:4" ht="15.75">
      <c r="D887" s="16" t="str">
        <f t="shared" si="16"/>
        <v/>
      </c>
    </row>
    <row r="888" spans="4:4" ht="15.75">
      <c r="D888" s="16" t="str">
        <f t="shared" si="16"/>
        <v/>
      </c>
    </row>
    <row r="889" spans="4:4" ht="15.75">
      <c r="D889" s="16" t="str">
        <f t="shared" si="16"/>
        <v/>
      </c>
    </row>
    <row r="890" spans="4:4" ht="15.75">
      <c r="D890" s="16" t="str">
        <f t="shared" si="16"/>
        <v/>
      </c>
    </row>
    <row r="891" spans="4:4" ht="15.75">
      <c r="D891" s="16" t="str">
        <f t="shared" si="16"/>
        <v/>
      </c>
    </row>
    <row r="892" spans="4:4" ht="15.75">
      <c r="D892" s="16" t="str">
        <f t="shared" si="16"/>
        <v/>
      </c>
    </row>
    <row r="893" spans="4:4" ht="15.75">
      <c r="D893" s="16" t="str">
        <f t="shared" si="16"/>
        <v/>
      </c>
    </row>
    <row r="894" spans="4:4" ht="15.75">
      <c r="D894" s="16" t="str">
        <f t="shared" si="16"/>
        <v/>
      </c>
    </row>
    <row r="895" spans="4:4" ht="15.75">
      <c r="D895" s="16" t="str">
        <f t="shared" si="16"/>
        <v/>
      </c>
    </row>
    <row r="896" spans="4:4" ht="15.75">
      <c r="D896" s="16" t="str">
        <f t="shared" si="16"/>
        <v/>
      </c>
    </row>
    <row r="897" spans="4:4" ht="15.75">
      <c r="D897" s="16" t="str">
        <f t="shared" si="16"/>
        <v/>
      </c>
    </row>
    <row r="898" spans="4:4" ht="15.75">
      <c r="D898" s="16" t="str">
        <f t="shared" si="16"/>
        <v/>
      </c>
    </row>
    <row r="899" spans="4:4" ht="15.75">
      <c r="D899" s="16" t="str">
        <f t="shared" si="16"/>
        <v/>
      </c>
    </row>
    <row r="900" spans="4:4" ht="15.75">
      <c r="D900" s="16" t="str">
        <f t="shared" si="16"/>
        <v/>
      </c>
    </row>
    <row r="901" spans="4:4" ht="15.75">
      <c r="D901" s="16" t="str">
        <f t="shared" ref="D901:D964" si="17">IFERROR(B901/C901,"")</f>
        <v/>
      </c>
    </row>
    <row r="902" spans="4:4" ht="15.75">
      <c r="D902" s="16" t="str">
        <f t="shared" si="17"/>
        <v/>
      </c>
    </row>
    <row r="903" spans="4:4" ht="15.75">
      <c r="D903" s="16" t="str">
        <f t="shared" si="17"/>
        <v/>
      </c>
    </row>
    <row r="904" spans="4:4" ht="15.75">
      <c r="D904" s="16" t="str">
        <f t="shared" si="17"/>
        <v/>
      </c>
    </row>
    <row r="905" spans="4:4" ht="15.75">
      <c r="D905" s="16" t="str">
        <f t="shared" si="17"/>
        <v/>
      </c>
    </row>
    <row r="906" spans="4:4" ht="15.75">
      <c r="D906" s="16" t="str">
        <f t="shared" si="17"/>
        <v/>
      </c>
    </row>
    <row r="907" spans="4:4" ht="15.75">
      <c r="D907" s="16" t="str">
        <f t="shared" si="17"/>
        <v/>
      </c>
    </row>
    <row r="908" spans="4:4" ht="15.75">
      <c r="D908" s="16" t="str">
        <f t="shared" si="17"/>
        <v/>
      </c>
    </row>
    <row r="909" spans="4:4" ht="15.75">
      <c r="D909" s="16" t="str">
        <f t="shared" si="17"/>
        <v/>
      </c>
    </row>
    <row r="910" spans="4:4" ht="15.75">
      <c r="D910" s="16" t="str">
        <f t="shared" si="17"/>
        <v/>
      </c>
    </row>
    <row r="911" spans="4:4" ht="15.75">
      <c r="D911" s="16" t="str">
        <f t="shared" si="17"/>
        <v/>
      </c>
    </row>
    <row r="912" spans="4:4" ht="15.75">
      <c r="D912" s="16" t="str">
        <f t="shared" si="17"/>
        <v/>
      </c>
    </row>
    <row r="913" spans="4:4" ht="15.75">
      <c r="D913" s="16" t="str">
        <f t="shared" si="17"/>
        <v/>
      </c>
    </row>
    <row r="914" spans="4:4" ht="15.75">
      <c r="D914" s="16" t="str">
        <f t="shared" si="17"/>
        <v/>
      </c>
    </row>
    <row r="915" spans="4:4" ht="15.75">
      <c r="D915" s="16" t="str">
        <f t="shared" si="17"/>
        <v/>
      </c>
    </row>
    <row r="916" spans="4:4" ht="15.75">
      <c r="D916" s="16" t="str">
        <f t="shared" si="17"/>
        <v/>
      </c>
    </row>
    <row r="917" spans="4:4" ht="15.75">
      <c r="D917" s="16" t="str">
        <f t="shared" si="17"/>
        <v/>
      </c>
    </row>
    <row r="918" spans="4:4" ht="15.75">
      <c r="D918" s="16" t="str">
        <f t="shared" si="17"/>
        <v/>
      </c>
    </row>
    <row r="919" spans="4:4" ht="15.75">
      <c r="D919" s="16" t="str">
        <f t="shared" si="17"/>
        <v/>
      </c>
    </row>
    <row r="920" spans="4:4" ht="15.75">
      <c r="D920" s="16" t="str">
        <f t="shared" si="17"/>
        <v/>
      </c>
    </row>
    <row r="921" spans="4:4" ht="15.75">
      <c r="D921" s="16" t="str">
        <f t="shared" si="17"/>
        <v/>
      </c>
    </row>
    <row r="922" spans="4:4" ht="15.75">
      <c r="D922" s="16" t="str">
        <f t="shared" si="17"/>
        <v/>
      </c>
    </row>
    <row r="923" spans="4:4" ht="15.75">
      <c r="D923" s="16" t="str">
        <f t="shared" si="17"/>
        <v/>
      </c>
    </row>
    <row r="924" spans="4:4" ht="15.75">
      <c r="D924" s="16" t="str">
        <f t="shared" si="17"/>
        <v/>
      </c>
    </row>
    <row r="925" spans="4:4" ht="15.75">
      <c r="D925" s="16" t="str">
        <f t="shared" si="17"/>
        <v/>
      </c>
    </row>
    <row r="926" spans="4:4" ht="15.75">
      <c r="D926" s="16" t="str">
        <f t="shared" si="17"/>
        <v/>
      </c>
    </row>
    <row r="927" spans="4:4" ht="15.75">
      <c r="D927" s="16" t="str">
        <f t="shared" si="17"/>
        <v/>
      </c>
    </row>
    <row r="928" spans="4:4" ht="15.75">
      <c r="D928" s="16" t="str">
        <f t="shared" si="17"/>
        <v/>
      </c>
    </row>
    <row r="929" spans="4:4" ht="15.75">
      <c r="D929" s="16" t="str">
        <f t="shared" si="17"/>
        <v/>
      </c>
    </row>
    <row r="930" spans="4:4" ht="15.75">
      <c r="D930" s="16" t="str">
        <f t="shared" si="17"/>
        <v/>
      </c>
    </row>
    <row r="931" spans="4:4" ht="15.75">
      <c r="D931" s="16" t="str">
        <f t="shared" si="17"/>
        <v/>
      </c>
    </row>
    <row r="932" spans="4:4" ht="15.75">
      <c r="D932" s="16" t="str">
        <f t="shared" si="17"/>
        <v/>
      </c>
    </row>
    <row r="933" spans="4:4" ht="15.75">
      <c r="D933" s="16" t="str">
        <f t="shared" si="17"/>
        <v/>
      </c>
    </row>
    <row r="934" spans="4:4" ht="15.75">
      <c r="D934" s="16" t="str">
        <f t="shared" si="17"/>
        <v/>
      </c>
    </row>
    <row r="935" spans="4:4" ht="15.75">
      <c r="D935" s="16" t="str">
        <f t="shared" si="17"/>
        <v/>
      </c>
    </row>
    <row r="936" spans="4:4" ht="15.75">
      <c r="D936" s="16" t="str">
        <f t="shared" si="17"/>
        <v/>
      </c>
    </row>
    <row r="937" spans="4:4" ht="15.75">
      <c r="D937" s="16" t="str">
        <f t="shared" si="17"/>
        <v/>
      </c>
    </row>
    <row r="938" spans="4:4" ht="15.75">
      <c r="D938" s="16" t="str">
        <f t="shared" si="17"/>
        <v/>
      </c>
    </row>
    <row r="939" spans="4:4" ht="15.75">
      <c r="D939" s="16" t="str">
        <f t="shared" si="17"/>
        <v/>
      </c>
    </row>
    <row r="940" spans="4:4" ht="15.75">
      <c r="D940" s="16" t="str">
        <f t="shared" si="17"/>
        <v/>
      </c>
    </row>
    <row r="941" spans="4:4" ht="15.75">
      <c r="D941" s="16" t="str">
        <f t="shared" si="17"/>
        <v/>
      </c>
    </row>
    <row r="942" spans="4:4" ht="15.75">
      <c r="D942" s="16" t="str">
        <f t="shared" si="17"/>
        <v/>
      </c>
    </row>
    <row r="943" spans="4:4" ht="15.75">
      <c r="D943" s="16" t="str">
        <f t="shared" si="17"/>
        <v/>
      </c>
    </row>
    <row r="944" spans="4:4" ht="15.75">
      <c r="D944" s="16" t="str">
        <f t="shared" si="17"/>
        <v/>
      </c>
    </row>
    <row r="945" spans="4:4" ht="15.75">
      <c r="D945" s="16" t="str">
        <f t="shared" si="17"/>
        <v/>
      </c>
    </row>
    <row r="946" spans="4:4" ht="15.75">
      <c r="D946" s="16" t="str">
        <f t="shared" si="17"/>
        <v/>
      </c>
    </row>
    <row r="947" spans="4:4" ht="15.75">
      <c r="D947" s="16" t="str">
        <f t="shared" si="17"/>
        <v/>
      </c>
    </row>
    <row r="948" spans="4:4" ht="15.75">
      <c r="D948" s="16" t="str">
        <f t="shared" si="17"/>
        <v/>
      </c>
    </row>
    <row r="949" spans="4:4" ht="15.75">
      <c r="D949" s="16" t="str">
        <f t="shared" si="17"/>
        <v/>
      </c>
    </row>
    <row r="950" spans="4:4" ht="15.75">
      <c r="D950" s="16" t="str">
        <f t="shared" si="17"/>
        <v/>
      </c>
    </row>
    <row r="951" spans="4:4" ht="15.75">
      <c r="D951" s="16" t="str">
        <f t="shared" si="17"/>
        <v/>
      </c>
    </row>
    <row r="952" spans="4:4" ht="15.75">
      <c r="D952" s="16" t="str">
        <f t="shared" si="17"/>
        <v/>
      </c>
    </row>
    <row r="953" spans="4:4" ht="15.75">
      <c r="D953" s="16" t="str">
        <f t="shared" si="17"/>
        <v/>
      </c>
    </row>
    <row r="954" spans="4:4" ht="15.75">
      <c r="D954" s="16" t="str">
        <f t="shared" si="17"/>
        <v/>
      </c>
    </row>
    <row r="955" spans="4:4" ht="15.75">
      <c r="D955" s="16" t="str">
        <f t="shared" si="17"/>
        <v/>
      </c>
    </row>
    <row r="956" spans="4:4" ht="15.75">
      <c r="D956" s="16" t="str">
        <f t="shared" si="17"/>
        <v/>
      </c>
    </row>
    <row r="957" spans="4:4" ht="15.75">
      <c r="D957" s="16" t="str">
        <f t="shared" si="17"/>
        <v/>
      </c>
    </row>
    <row r="958" spans="4:4" ht="15.75">
      <c r="D958" s="16" t="str">
        <f t="shared" si="17"/>
        <v/>
      </c>
    </row>
    <row r="959" spans="4:4" ht="15.75">
      <c r="D959" s="16" t="str">
        <f t="shared" si="17"/>
        <v/>
      </c>
    </row>
    <row r="960" spans="4:4" ht="15.75">
      <c r="D960" s="16" t="str">
        <f t="shared" si="17"/>
        <v/>
      </c>
    </row>
    <row r="961" spans="4:4" ht="15.75">
      <c r="D961" s="16" t="str">
        <f t="shared" si="17"/>
        <v/>
      </c>
    </row>
    <row r="962" spans="4:4" ht="15.75">
      <c r="D962" s="16" t="str">
        <f t="shared" si="17"/>
        <v/>
      </c>
    </row>
    <row r="963" spans="4:4" ht="15.75">
      <c r="D963" s="16" t="str">
        <f t="shared" si="17"/>
        <v/>
      </c>
    </row>
    <row r="964" spans="4:4" ht="15.75">
      <c r="D964" s="16" t="str">
        <f t="shared" si="17"/>
        <v/>
      </c>
    </row>
    <row r="965" spans="4:4" ht="15.75">
      <c r="D965" s="16" t="str">
        <f t="shared" ref="D965:D1000" si="18">IFERROR(B965/C965,"")</f>
        <v/>
      </c>
    </row>
    <row r="966" spans="4:4" ht="15.75">
      <c r="D966" s="16" t="str">
        <f t="shared" si="18"/>
        <v/>
      </c>
    </row>
    <row r="967" spans="4:4" ht="15.75">
      <c r="D967" s="16" t="str">
        <f t="shared" si="18"/>
        <v/>
      </c>
    </row>
    <row r="968" spans="4:4" ht="15.75">
      <c r="D968" s="16" t="str">
        <f t="shared" si="18"/>
        <v/>
      </c>
    </row>
    <row r="969" spans="4:4" ht="15.75">
      <c r="D969" s="16" t="str">
        <f t="shared" si="18"/>
        <v/>
      </c>
    </row>
    <row r="970" spans="4:4" ht="15.75">
      <c r="D970" s="16" t="str">
        <f t="shared" si="18"/>
        <v/>
      </c>
    </row>
    <row r="971" spans="4:4" ht="15.75">
      <c r="D971" s="16" t="str">
        <f t="shared" si="18"/>
        <v/>
      </c>
    </row>
    <row r="972" spans="4:4" ht="15.75">
      <c r="D972" s="16" t="str">
        <f t="shared" si="18"/>
        <v/>
      </c>
    </row>
    <row r="973" spans="4:4" ht="15.75">
      <c r="D973" s="16" t="str">
        <f t="shared" si="18"/>
        <v/>
      </c>
    </row>
    <row r="974" spans="4:4" ht="15.75">
      <c r="D974" s="16" t="str">
        <f t="shared" si="18"/>
        <v/>
      </c>
    </row>
    <row r="975" spans="4:4" ht="15.75">
      <c r="D975" s="16" t="str">
        <f t="shared" si="18"/>
        <v/>
      </c>
    </row>
    <row r="976" spans="4:4" ht="15.75">
      <c r="D976" s="16" t="str">
        <f t="shared" si="18"/>
        <v/>
      </c>
    </row>
    <row r="977" spans="4:4" ht="15.75">
      <c r="D977" s="16" t="str">
        <f t="shared" si="18"/>
        <v/>
      </c>
    </row>
    <row r="978" spans="4:4" ht="15.75">
      <c r="D978" s="16" t="str">
        <f t="shared" si="18"/>
        <v/>
      </c>
    </row>
    <row r="979" spans="4:4" ht="15.75">
      <c r="D979" s="16" t="str">
        <f t="shared" si="18"/>
        <v/>
      </c>
    </row>
    <row r="980" spans="4:4" ht="15.75">
      <c r="D980" s="16" t="str">
        <f t="shared" si="18"/>
        <v/>
      </c>
    </row>
    <row r="981" spans="4:4" ht="15.75">
      <c r="D981" s="16" t="str">
        <f t="shared" si="18"/>
        <v/>
      </c>
    </row>
    <row r="982" spans="4:4" ht="15.75">
      <c r="D982" s="16" t="str">
        <f t="shared" si="18"/>
        <v/>
      </c>
    </row>
    <row r="983" spans="4:4" ht="15.75">
      <c r="D983" s="16" t="str">
        <f t="shared" si="18"/>
        <v/>
      </c>
    </row>
    <row r="984" spans="4:4" ht="15.75">
      <c r="D984" s="16" t="str">
        <f t="shared" si="18"/>
        <v/>
      </c>
    </row>
    <row r="985" spans="4:4" ht="15.75">
      <c r="D985" s="16" t="str">
        <f t="shared" si="18"/>
        <v/>
      </c>
    </row>
    <row r="986" spans="4:4" ht="15.75">
      <c r="D986" s="16" t="str">
        <f t="shared" si="18"/>
        <v/>
      </c>
    </row>
    <row r="987" spans="4:4" ht="15.75">
      <c r="D987" s="16" t="str">
        <f t="shared" si="18"/>
        <v/>
      </c>
    </row>
    <row r="988" spans="4:4" ht="15.75">
      <c r="D988" s="16" t="str">
        <f t="shared" si="18"/>
        <v/>
      </c>
    </row>
    <row r="989" spans="4:4" ht="15.75">
      <c r="D989" s="16" t="str">
        <f t="shared" si="18"/>
        <v/>
      </c>
    </row>
    <row r="990" spans="4:4" ht="15.75">
      <c r="D990" s="16" t="str">
        <f t="shared" si="18"/>
        <v/>
      </c>
    </row>
    <row r="991" spans="4:4" ht="15.75">
      <c r="D991" s="16" t="str">
        <f t="shared" si="18"/>
        <v/>
      </c>
    </row>
    <row r="992" spans="4:4" ht="15.75">
      <c r="D992" s="16" t="str">
        <f t="shared" si="18"/>
        <v/>
      </c>
    </row>
    <row r="993" spans="4:4" ht="15.75">
      <c r="D993" s="16" t="str">
        <f t="shared" si="18"/>
        <v/>
      </c>
    </row>
    <row r="994" spans="4:4" ht="15.75">
      <c r="D994" s="16" t="str">
        <f t="shared" si="18"/>
        <v/>
      </c>
    </row>
    <row r="995" spans="4:4" ht="15.75">
      <c r="D995" s="16" t="str">
        <f t="shared" si="18"/>
        <v/>
      </c>
    </row>
    <row r="996" spans="4:4" ht="15.75">
      <c r="D996" s="16" t="str">
        <f t="shared" si="18"/>
        <v/>
      </c>
    </row>
    <row r="997" spans="4:4" ht="15.75">
      <c r="D997" s="16" t="str">
        <f t="shared" si="18"/>
        <v/>
      </c>
    </row>
    <row r="998" spans="4:4" ht="15.75">
      <c r="D998" s="16" t="str">
        <f t="shared" si="18"/>
        <v/>
      </c>
    </row>
    <row r="999" spans="4:4" ht="15.75">
      <c r="D999" s="16" t="str">
        <f t="shared" si="18"/>
        <v/>
      </c>
    </row>
    <row r="1000" spans="4:4" ht="15.75">
      <c r="D1000" s="16" t="str">
        <f t="shared" si="18"/>
        <v/>
      </c>
    </row>
  </sheetData>
  <sortState ref="A5:D137">
    <sortCondition ref="D5"/>
  </sortState>
  <mergeCells count="3">
    <mergeCell ref="F2:G3"/>
    <mergeCell ref="A2:D2"/>
    <mergeCell ref="B3:D3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F4E00-5A60-4133-8ABE-A51E3EB2486C}">
  <dimension ref="A1:C7"/>
  <sheetViews>
    <sheetView workbookViewId="0">
      <selection activeCell="A6" sqref="A6"/>
    </sheetView>
  </sheetViews>
  <sheetFormatPr defaultRowHeight="15"/>
  <cols>
    <col min="1" max="1" width="13.140625" bestFit="1" customWidth="1"/>
    <col min="2" max="2" width="11.140625" bestFit="1" customWidth="1"/>
    <col min="3" max="3" width="21.140625" bestFit="1" customWidth="1"/>
  </cols>
  <sheetData>
    <row r="1" spans="1:3">
      <c r="A1" s="41" t="s">
        <v>26</v>
      </c>
      <c r="B1" t="s">
        <v>34</v>
      </c>
    </row>
    <row r="2" spans="1:3">
      <c r="A2" s="41" t="s">
        <v>31</v>
      </c>
    </row>
    <row r="3" spans="1:3">
      <c r="A3" s="41" t="s">
        <v>32</v>
      </c>
      <c r="B3" t="s">
        <v>34</v>
      </c>
    </row>
    <row r="5" spans="1:3">
      <c r="A5" s="41" t="s">
        <v>27</v>
      </c>
      <c r="B5" t="s">
        <v>29</v>
      </c>
      <c r="C5" t="s">
        <v>30</v>
      </c>
    </row>
    <row r="6" spans="1:3">
      <c r="A6" s="42"/>
      <c r="B6" s="30">
        <v>0</v>
      </c>
      <c r="C6" s="30"/>
    </row>
    <row r="7" spans="1:3">
      <c r="A7" s="42" t="s">
        <v>28</v>
      </c>
      <c r="B7" s="30">
        <v>0</v>
      </c>
      <c r="C7" s="3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8BA23-4723-43FA-A473-35BFFD7DB3BD}">
  <dimension ref="A1:H120"/>
  <sheetViews>
    <sheetView workbookViewId="0">
      <pane ySplit="1" topLeftCell="A90" activePane="bottomLeft" state="frozen"/>
      <selection pane="bottomLeft" activeCell="J119" sqref="J119"/>
    </sheetView>
  </sheetViews>
  <sheetFormatPr defaultRowHeight="15"/>
  <cols>
    <col min="1" max="1" width="10.85546875" style="52" bestFit="1" customWidth="1"/>
    <col min="2" max="2" width="11" style="75" bestFit="1" customWidth="1"/>
    <col min="3" max="3" width="8.140625" style="52" customWidth="1"/>
    <col min="4" max="4" width="8.85546875" style="52" bestFit="1" customWidth="1"/>
    <col min="5" max="5" width="9" style="52" bestFit="1" customWidth="1"/>
    <col min="6" max="6" width="11.28515625" style="52" bestFit="1" customWidth="1"/>
    <col min="7" max="16384" width="9.140625" style="52"/>
  </cols>
  <sheetData>
    <row r="1" spans="1:8">
      <c r="A1" s="54" t="s">
        <v>27</v>
      </c>
      <c r="B1" s="72" t="s">
        <v>82</v>
      </c>
      <c r="C1" s="54" t="s">
        <v>83</v>
      </c>
      <c r="D1" s="54" t="s">
        <v>85</v>
      </c>
      <c r="E1" s="54" t="s">
        <v>84</v>
      </c>
      <c r="F1" s="54" t="s">
        <v>28</v>
      </c>
      <c r="G1" s="54" t="s">
        <v>25</v>
      </c>
      <c r="H1" s="54" t="s">
        <v>199</v>
      </c>
    </row>
    <row r="2" spans="1:8">
      <c r="A2" s="55">
        <v>44069</v>
      </c>
      <c r="B2" s="73" t="s">
        <v>163</v>
      </c>
      <c r="C2" s="53"/>
      <c r="D2" s="53">
        <v>117</v>
      </c>
      <c r="E2" s="53"/>
      <c r="F2" s="53">
        <v>117</v>
      </c>
      <c r="G2" s="20" t="s">
        <v>42</v>
      </c>
      <c r="H2" s="60"/>
    </row>
    <row r="3" spans="1:8">
      <c r="A3" s="60"/>
      <c r="B3" s="73" t="s">
        <v>164</v>
      </c>
      <c r="C3" s="53"/>
      <c r="D3" s="53">
        <v>72</v>
      </c>
      <c r="E3" s="53"/>
      <c r="F3" s="53">
        <v>72</v>
      </c>
      <c r="G3" s="20" t="s">
        <v>47</v>
      </c>
      <c r="H3" s="60"/>
    </row>
    <row r="4" spans="1:8">
      <c r="A4" s="60"/>
      <c r="B4" s="73" t="s">
        <v>165</v>
      </c>
      <c r="C4" s="53"/>
      <c r="D4" s="53">
        <v>49</v>
      </c>
      <c r="E4" s="53"/>
      <c r="F4" s="53">
        <v>49</v>
      </c>
      <c r="G4" s="20" t="s">
        <v>51</v>
      </c>
      <c r="H4" s="60"/>
    </row>
    <row r="5" spans="1:8">
      <c r="A5" s="60"/>
      <c r="B5" s="73" t="s">
        <v>166</v>
      </c>
      <c r="C5" s="53"/>
      <c r="D5" s="53">
        <v>52</v>
      </c>
      <c r="E5" s="53"/>
      <c r="F5" s="53">
        <v>52</v>
      </c>
      <c r="G5" s="20" t="s">
        <v>57</v>
      </c>
      <c r="H5" s="60"/>
    </row>
    <row r="6" spans="1:8">
      <c r="A6" s="60"/>
      <c r="B6" s="73" t="s">
        <v>167</v>
      </c>
      <c r="C6" s="53"/>
      <c r="D6" s="53">
        <v>50</v>
      </c>
      <c r="E6" s="53"/>
      <c r="F6" s="53">
        <v>50</v>
      </c>
      <c r="G6" s="20" t="s">
        <v>57</v>
      </c>
      <c r="H6" s="60"/>
    </row>
    <row r="7" spans="1:8">
      <c r="A7" s="60"/>
      <c r="B7" s="73" t="s">
        <v>168</v>
      </c>
      <c r="C7" s="53"/>
      <c r="D7" s="53">
        <v>52</v>
      </c>
      <c r="E7" s="53"/>
      <c r="F7" s="53">
        <v>52</v>
      </c>
      <c r="G7" s="20" t="s">
        <v>57</v>
      </c>
      <c r="H7" s="60"/>
    </row>
    <row r="8" spans="1:8">
      <c r="A8" s="60"/>
      <c r="B8" s="73" t="s">
        <v>169</v>
      </c>
      <c r="C8" s="53"/>
      <c r="D8" s="53">
        <v>51</v>
      </c>
      <c r="E8" s="53"/>
      <c r="F8" s="53">
        <v>51</v>
      </c>
      <c r="G8" s="20" t="s">
        <v>57</v>
      </c>
      <c r="H8" s="60"/>
    </row>
    <row r="9" spans="1:8">
      <c r="A9" s="60"/>
      <c r="B9" s="73" t="s">
        <v>170</v>
      </c>
      <c r="C9" s="53"/>
      <c r="D9" s="53">
        <v>51</v>
      </c>
      <c r="E9" s="53"/>
      <c r="F9" s="53">
        <v>51</v>
      </c>
      <c r="G9" s="20" t="s">
        <v>57</v>
      </c>
      <c r="H9" s="60"/>
    </row>
    <row r="10" spans="1:8">
      <c r="A10" s="60"/>
      <c r="B10" s="73" t="s">
        <v>171</v>
      </c>
      <c r="C10" s="53"/>
      <c r="D10" s="53">
        <v>5</v>
      </c>
      <c r="E10" s="53"/>
      <c r="F10" s="53">
        <v>5</v>
      </c>
      <c r="G10" s="20" t="s">
        <v>71</v>
      </c>
      <c r="H10" s="60"/>
    </row>
    <row r="11" spans="1:8">
      <c r="A11" s="60"/>
      <c r="B11" s="73" t="s">
        <v>172</v>
      </c>
      <c r="C11" s="53">
        <v>108</v>
      </c>
      <c r="D11" s="53"/>
      <c r="E11" s="53">
        <v>43</v>
      </c>
      <c r="F11" s="53">
        <v>151</v>
      </c>
      <c r="G11" s="20" t="s">
        <v>75</v>
      </c>
      <c r="H11" s="60"/>
    </row>
    <row r="12" spans="1:8">
      <c r="A12" s="60"/>
      <c r="B12" s="73" t="s">
        <v>173</v>
      </c>
      <c r="C12" s="53">
        <v>35</v>
      </c>
      <c r="D12" s="53"/>
      <c r="E12" s="53">
        <v>9</v>
      </c>
      <c r="F12" s="53">
        <v>44</v>
      </c>
      <c r="G12" s="20" t="s">
        <v>79</v>
      </c>
      <c r="H12" s="60"/>
    </row>
    <row r="13" spans="1:8">
      <c r="A13" s="57">
        <v>44068</v>
      </c>
      <c r="B13" s="74" t="s">
        <v>174</v>
      </c>
      <c r="C13" s="59"/>
      <c r="D13" s="59"/>
      <c r="E13" s="59">
        <v>2</v>
      </c>
      <c r="F13" s="59">
        <v>2</v>
      </c>
      <c r="G13" s="59">
        <v>2</v>
      </c>
      <c r="H13" s="61"/>
    </row>
    <row r="14" spans="1:8">
      <c r="A14" s="57">
        <v>44068</v>
      </c>
      <c r="B14" s="74" t="s">
        <v>175</v>
      </c>
      <c r="C14" s="59">
        <v>1</v>
      </c>
      <c r="D14" s="59"/>
      <c r="E14" s="59"/>
      <c r="F14" s="59">
        <v>1</v>
      </c>
      <c r="G14" s="59">
        <v>1</v>
      </c>
      <c r="H14" s="61"/>
    </row>
    <row r="15" spans="1:8">
      <c r="A15" s="55">
        <v>44069</v>
      </c>
      <c r="B15" s="73" t="s">
        <v>176</v>
      </c>
      <c r="C15" s="53">
        <v>109</v>
      </c>
      <c r="D15" s="53"/>
      <c r="E15" s="53">
        <v>49</v>
      </c>
      <c r="F15" s="53">
        <v>158</v>
      </c>
      <c r="G15" s="20" t="s">
        <v>160</v>
      </c>
      <c r="H15" s="60"/>
    </row>
    <row r="16" spans="1:8">
      <c r="A16" s="60"/>
      <c r="B16" s="73" t="s">
        <v>178</v>
      </c>
      <c r="C16" s="53">
        <v>125</v>
      </c>
      <c r="D16" s="53"/>
      <c r="E16" s="53">
        <v>68</v>
      </c>
      <c r="F16" s="53">
        <v>193</v>
      </c>
      <c r="G16" s="20" t="s">
        <v>144</v>
      </c>
      <c r="H16" s="60"/>
    </row>
    <row r="17" spans="1:8">
      <c r="A17" s="60"/>
      <c r="B17" s="73" t="s">
        <v>179</v>
      </c>
      <c r="C17" s="53">
        <v>99</v>
      </c>
      <c r="D17" s="53"/>
      <c r="E17" s="53">
        <v>35</v>
      </c>
      <c r="F17" s="53">
        <v>134</v>
      </c>
      <c r="G17" s="20" t="s">
        <v>150</v>
      </c>
      <c r="H17" s="60"/>
    </row>
    <row r="18" spans="1:8">
      <c r="A18" s="60"/>
      <c r="B18" s="73" t="s">
        <v>180</v>
      </c>
      <c r="C18" s="53">
        <v>123</v>
      </c>
      <c r="D18" s="53"/>
      <c r="E18" s="53">
        <v>48</v>
      </c>
      <c r="F18" s="53">
        <v>171</v>
      </c>
      <c r="G18" s="20" t="s">
        <v>139</v>
      </c>
      <c r="H18" s="60"/>
    </row>
    <row r="19" spans="1:8">
      <c r="A19" s="60"/>
      <c r="B19" s="73" t="s">
        <v>181</v>
      </c>
      <c r="C19" s="53">
        <v>107</v>
      </c>
      <c r="D19" s="53"/>
      <c r="E19" s="53">
        <v>20</v>
      </c>
      <c r="F19" s="53">
        <v>127</v>
      </c>
      <c r="G19" s="20" t="s">
        <v>177</v>
      </c>
      <c r="H19" s="60"/>
    </row>
    <row r="20" spans="1:8">
      <c r="A20" s="60"/>
      <c r="B20" s="73" t="s">
        <v>182</v>
      </c>
      <c r="C20" s="53">
        <v>38</v>
      </c>
      <c r="D20" s="53"/>
      <c r="E20" s="53">
        <v>6</v>
      </c>
      <c r="F20" s="53">
        <v>44</v>
      </c>
      <c r="G20" s="20" t="s">
        <v>127</v>
      </c>
      <c r="H20" s="60"/>
    </row>
    <row r="21" spans="1:8">
      <c r="A21" s="60"/>
      <c r="B21" s="73" t="s">
        <v>183</v>
      </c>
      <c r="C21" s="53">
        <v>40</v>
      </c>
      <c r="D21" s="53"/>
      <c r="E21" s="53">
        <v>5</v>
      </c>
      <c r="F21" s="53">
        <v>45</v>
      </c>
      <c r="G21" s="20" t="s">
        <v>79</v>
      </c>
      <c r="H21" s="60"/>
    </row>
    <row r="22" spans="1:8">
      <c r="A22" s="60"/>
      <c r="B22" s="73" t="s">
        <v>184</v>
      </c>
      <c r="C22" s="53">
        <v>26</v>
      </c>
      <c r="D22" s="53"/>
      <c r="E22" s="53">
        <v>7</v>
      </c>
      <c r="F22" s="53">
        <v>33</v>
      </c>
      <c r="G22" s="20" t="s">
        <v>114</v>
      </c>
      <c r="H22" s="60"/>
    </row>
    <row r="23" spans="1:8">
      <c r="A23" s="60"/>
      <c r="B23" s="73" t="s">
        <v>185</v>
      </c>
      <c r="C23" s="53"/>
      <c r="D23" s="53">
        <v>129</v>
      </c>
      <c r="E23" s="53"/>
      <c r="F23" s="53">
        <v>129</v>
      </c>
      <c r="G23" s="20" t="s">
        <v>212</v>
      </c>
      <c r="H23" s="60"/>
    </row>
    <row r="24" spans="1:8">
      <c r="A24" s="60"/>
      <c r="B24" s="73" t="s">
        <v>186</v>
      </c>
      <c r="C24" s="53"/>
      <c r="D24" s="53">
        <v>128</v>
      </c>
      <c r="E24" s="53"/>
      <c r="F24" s="53">
        <v>128</v>
      </c>
      <c r="G24" s="20" t="s">
        <v>212</v>
      </c>
      <c r="H24" s="60"/>
    </row>
    <row r="25" spans="1:8">
      <c r="A25" s="60"/>
      <c r="B25" s="73" t="s">
        <v>187</v>
      </c>
      <c r="C25" s="53"/>
      <c r="D25" s="53">
        <v>71</v>
      </c>
      <c r="E25" s="53"/>
      <c r="F25" s="53">
        <v>71</v>
      </c>
      <c r="G25" s="20" t="s">
        <v>120</v>
      </c>
      <c r="H25" s="60"/>
    </row>
    <row r="26" spans="1:8">
      <c r="A26" s="60"/>
      <c r="B26" s="73" t="s">
        <v>188</v>
      </c>
      <c r="C26" s="53"/>
      <c r="D26" s="53">
        <v>51</v>
      </c>
      <c r="E26" s="53"/>
      <c r="F26" s="53">
        <v>51</v>
      </c>
      <c r="G26" s="20" t="s">
        <v>57</v>
      </c>
      <c r="H26" s="60"/>
    </row>
    <row r="27" spans="1:8">
      <c r="A27" s="60"/>
      <c r="B27" s="73" t="s">
        <v>189</v>
      </c>
      <c r="C27" s="53"/>
      <c r="D27" s="53">
        <v>49</v>
      </c>
      <c r="E27" s="53"/>
      <c r="F27" s="53">
        <v>49</v>
      </c>
      <c r="G27" s="20" t="s">
        <v>121</v>
      </c>
      <c r="H27" s="60"/>
    </row>
    <row r="28" spans="1:8">
      <c r="A28" s="60"/>
      <c r="B28" s="73" t="s">
        <v>190</v>
      </c>
      <c r="C28" s="53"/>
      <c r="D28" s="53">
        <v>50</v>
      </c>
      <c r="E28" s="53"/>
      <c r="F28" s="53">
        <v>50</v>
      </c>
      <c r="G28" s="20" t="s">
        <v>51</v>
      </c>
      <c r="H28" s="60"/>
    </row>
    <row r="29" spans="1:8">
      <c r="A29" s="60"/>
      <c r="B29" s="73" t="s">
        <v>191</v>
      </c>
      <c r="C29" s="53"/>
      <c r="D29" s="53">
        <v>50</v>
      </c>
      <c r="E29" s="53"/>
      <c r="F29" s="53">
        <v>50</v>
      </c>
      <c r="G29" s="20" t="s">
        <v>57</v>
      </c>
      <c r="H29" s="60"/>
    </row>
    <row r="30" spans="1:8">
      <c r="A30" s="60"/>
      <c r="B30" s="73" t="s">
        <v>192</v>
      </c>
      <c r="C30" s="53"/>
      <c r="D30" s="53">
        <v>50</v>
      </c>
      <c r="E30" s="53"/>
      <c r="F30" s="53">
        <v>50</v>
      </c>
      <c r="G30" s="20" t="s">
        <v>57</v>
      </c>
      <c r="H30" s="60"/>
    </row>
    <row r="31" spans="1:8">
      <c r="A31" s="60"/>
      <c r="B31" s="73" t="s">
        <v>193</v>
      </c>
      <c r="C31" s="53"/>
      <c r="D31" s="53">
        <v>51</v>
      </c>
      <c r="E31" s="53"/>
      <c r="F31" s="53">
        <v>51</v>
      </c>
      <c r="G31" s="20" t="s">
        <v>57</v>
      </c>
      <c r="H31" s="60"/>
    </row>
    <row r="32" spans="1:8">
      <c r="A32" s="60"/>
      <c r="B32" s="73" t="s">
        <v>194</v>
      </c>
      <c r="C32" s="53"/>
      <c r="D32" s="53">
        <v>50</v>
      </c>
      <c r="E32" s="53"/>
      <c r="F32" s="53">
        <v>50</v>
      </c>
      <c r="G32" s="20" t="s">
        <v>51</v>
      </c>
      <c r="H32" s="60"/>
    </row>
    <row r="33" spans="1:8">
      <c r="A33" s="60"/>
      <c r="B33" s="73" t="s">
        <v>195</v>
      </c>
      <c r="C33" s="53"/>
      <c r="D33" s="53">
        <v>50</v>
      </c>
      <c r="E33" s="53"/>
      <c r="F33" s="53">
        <v>50</v>
      </c>
      <c r="G33" s="20" t="s">
        <v>57</v>
      </c>
      <c r="H33" s="60"/>
    </row>
    <row r="34" spans="1:8">
      <c r="A34" s="60"/>
      <c r="B34" s="73" t="s">
        <v>196</v>
      </c>
      <c r="C34" s="53"/>
      <c r="D34" s="53">
        <v>50</v>
      </c>
      <c r="E34" s="53"/>
      <c r="F34" s="53">
        <v>50</v>
      </c>
      <c r="G34" s="20" t="s">
        <v>57</v>
      </c>
      <c r="H34" s="60"/>
    </row>
    <row r="35" spans="1:8">
      <c r="A35" s="60"/>
      <c r="B35" s="73" t="s">
        <v>197</v>
      </c>
      <c r="C35" s="53"/>
      <c r="D35" s="53">
        <v>51</v>
      </c>
      <c r="E35" s="53"/>
      <c r="F35" s="53">
        <v>51</v>
      </c>
      <c r="G35" s="20" t="s">
        <v>57</v>
      </c>
      <c r="H35" s="60"/>
    </row>
    <row r="36" spans="1:8">
      <c r="A36" s="60"/>
      <c r="B36" s="73" t="s">
        <v>198</v>
      </c>
      <c r="C36" s="53"/>
      <c r="D36" s="53">
        <v>1</v>
      </c>
      <c r="E36" s="53"/>
      <c r="F36" s="53">
        <v>1</v>
      </c>
      <c r="G36" s="20" t="s">
        <v>108</v>
      </c>
      <c r="H36" s="60"/>
    </row>
    <row r="37" spans="1:8">
      <c r="A37" s="56"/>
      <c r="B37" s="73" t="s">
        <v>236</v>
      </c>
      <c r="C37" s="53"/>
      <c r="D37" s="53">
        <v>14</v>
      </c>
      <c r="E37" s="53"/>
      <c r="F37" s="53">
        <v>14</v>
      </c>
      <c r="G37" s="20" t="s">
        <v>102</v>
      </c>
      <c r="H37" s="60"/>
    </row>
    <row r="38" spans="1:8">
      <c r="A38" s="56"/>
      <c r="B38" s="73" t="s">
        <v>237</v>
      </c>
      <c r="C38" s="53"/>
      <c r="D38" s="53">
        <v>23</v>
      </c>
      <c r="E38" s="53"/>
      <c r="F38" s="53">
        <v>23</v>
      </c>
      <c r="G38" s="20" t="s">
        <v>108</v>
      </c>
      <c r="H38" s="60"/>
    </row>
    <row r="39" spans="1:8">
      <c r="A39" s="56"/>
      <c r="B39" s="73" t="s">
        <v>238</v>
      </c>
      <c r="C39" s="53">
        <v>120</v>
      </c>
      <c r="D39" s="53"/>
      <c r="E39" s="53">
        <v>28</v>
      </c>
      <c r="F39" s="53">
        <v>148</v>
      </c>
      <c r="G39" s="20" t="s">
        <v>134</v>
      </c>
      <c r="H39" s="60"/>
    </row>
    <row r="40" spans="1:8">
      <c r="A40" s="56"/>
      <c r="B40" s="73" t="s">
        <v>240</v>
      </c>
      <c r="C40" s="53">
        <v>114</v>
      </c>
      <c r="D40" s="53"/>
      <c r="E40" s="53">
        <v>64</v>
      </c>
      <c r="F40" s="53">
        <v>178</v>
      </c>
      <c r="G40" s="20" t="s">
        <v>229</v>
      </c>
      <c r="H40" s="60"/>
    </row>
    <row r="41" spans="1:8">
      <c r="A41" s="56"/>
      <c r="B41" s="73" t="s">
        <v>241</v>
      </c>
      <c r="C41" s="53">
        <v>34</v>
      </c>
      <c r="D41" s="53"/>
      <c r="E41" s="53">
        <v>14</v>
      </c>
      <c r="F41" s="53">
        <v>48</v>
      </c>
      <c r="G41" s="20" t="s">
        <v>121</v>
      </c>
      <c r="H41" s="60"/>
    </row>
    <row r="42" spans="1:8">
      <c r="A42" s="56"/>
      <c r="B42" s="73" t="s">
        <v>242</v>
      </c>
      <c r="C42" s="53">
        <v>41</v>
      </c>
      <c r="D42" s="53"/>
      <c r="E42" s="53">
        <v>4</v>
      </c>
      <c r="F42" s="53">
        <v>45</v>
      </c>
      <c r="G42" s="20" t="s">
        <v>118</v>
      </c>
      <c r="H42" s="60"/>
    </row>
    <row r="43" spans="1:8">
      <c r="A43" s="56"/>
      <c r="B43" s="73" t="s">
        <v>243</v>
      </c>
      <c r="C43" s="53">
        <v>11</v>
      </c>
      <c r="D43" s="53"/>
      <c r="E43" s="53">
        <v>4</v>
      </c>
      <c r="F43" s="53">
        <v>15</v>
      </c>
      <c r="G43" s="20" t="s">
        <v>105</v>
      </c>
      <c r="H43" s="60"/>
    </row>
    <row r="44" spans="1:8">
      <c r="A44" s="56"/>
      <c r="B44" s="73" t="s">
        <v>244</v>
      </c>
      <c r="C44" s="53"/>
      <c r="D44" s="53">
        <v>5</v>
      </c>
      <c r="E44" s="53"/>
      <c r="F44" s="53">
        <v>5</v>
      </c>
      <c r="G44" s="20" t="s">
        <v>71</v>
      </c>
      <c r="H44" s="60"/>
    </row>
    <row r="45" spans="1:8">
      <c r="A45" s="56"/>
      <c r="B45" s="73" t="s">
        <v>245</v>
      </c>
      <c r="C45" s="53"/>
      <c r="D45" s="53">
        <v>3</v>
      </c>
      <c r="E45" s="53"/>
      <c r="F45" s="53">
        <v>3</v>
      </c>
      <c r="G45" s="20" t="s">
        <v>89</v>
      </c>
      <c r="H45" s="60"/>
    </row>
    <row r="46" spans="1:8">
      <c r="A46" s="56"/>
      <c r="B46" s="73" t="s">
        <v>246</v>
      </c>
      <c r="C46" s="53">
        <v>104</v>
      </c>
      <c r="D46" s="53"/>
      <c r="E46" s="53">
        <v>74</v>
      </c>
      <c r="F46" s="53">
        <v>178</v>
      </c>
      <c r="G46" s="20" t="s">
        <v>239</v>
      </c>
      <c r="H46" s="60"/>
    </row>
    <row r="47" spans="1:8">
      <c r="A47" s="56"/>
      <c r="B47" s="73" t="s">
        <v>247</v>
      </c>
      <c r="C47" s="53">
        <v>76</v>
      </c>
      <c r="D47" s="53"/>
      <c r="E47" s="53">
        <v>72</v>
      </c>
      <c r="F47" s="53">
        <v>148</v>
      </c>
      <c r="G47" s="20" t="s">
        <v>155</v>
      </c>
      <c r="H47" s="60"/>
    </row>
    <row r="48" spans="1:8">
      <c r="A48" s="56"/>
      <c r="B48" s="73" t="s">
        <v>248</v>
      </c>
      <c r="C48" s="53">
        <v>28</v>
      </c>
      <c r="D48" s="53"/>
      <c r="E48" s="53">
        <v>7</v>
      </c>
      <c r="F48" s="53">
        <v>35</v>
      </c>
      <c r="G48" s="20" t="s">
        <v>103</v>
      </c>
      <c r="H48" s="60"/>
    </row>
    <row r="49" spans="1:8">
      <c r="A49" s="56"/>
      <c r="B49" s="73" t="s">
        <v>298</v>
      </c>
      <c r="C49" s="53">
        <v>121</v>
      </c>
      <c r="D49" s="53"/>
      <c r="E49" s="53">
        <v>40</v>
      </c>
      <c r="F49" s="53">
        <v>161</v>
      </c>
      <c r="G49" s="20" t="s">
        <v>139</v>
      </c>
      <c r="H49" s="60"/>
    </row>
    <row r="50" spans="1:8">
      <c r="A50" s="56"/>
      <c r="B50" s="73" t="s">
        <v>299</v>
      </c>
      <c r="C50" s="53">
        <v>139</v>
      </c>
      <c r="D50" s="53"/>
      <c r="E50" s="53">
        <v>53</v>
      </c>
      <c r="F50" s="53">
        <v>192</v>
      </c>
      <c r="G50" s="20" t="s">
        <v>144</v>
      </c>
      <c r="H50" s="60"/>
    </row>
    <row r="51" spans="1:8">
      <c r="A51" s="56"/>
      <c r="B51" s="73" t="s">
        <v>300</v>
      </c>
      <c r="C51" s="53">
        <v>66</v>
      </c>
      <c r="D51" s="53"/>
      <c r="E51" s="53">
        <v>57</v>
      </c>
      <c r="F51" s="53">
        <v>123</v>
      </c>
      <c r="G51" s="20" t="s">
        <v>141</v>
      </c>
      <c r="H51" s="60"/>
    </row>
    <row r="52" spans="1:8">
      <c r="A52" s="56"/>
      <c r="B52" s="73" t="s">
        <v>301</v>
      </c>
      <c r="C52" s="53">
        <v>41</v>
      </c>
      <c r="D52" s="53"/>
      <c r="E52" s="53">
        <v>11</v>
      </c>
      <c r="F52" s="53">
        <v>52</v>
      </c>
      <c r="G52" s="20" t="s">
        <v>121</v>
      </c>
      <c r="H52" s="60"/>
    </row>
    <row r="53" spans="1:8">
      <c r="A53" s="56"/>
      <c r="B53" s="73" t="s">
        <v>302</v>
      </c>
      <c r="C53" s="53">
        <v>45</v>
      </c>
      <c r="D53" s="53"/>
      <c r="E53" s="53">
        <v>12</v>
      </c>
      <c r="F53" s="53">
        <v>57</v>
      </c>
      <c r="G53" s="20" t="s">
        <v>121</v>
      </c>
      <c r="H53" s="60"/>
    </row>
    <row r="54" spans="1:8">
      <c r="A54" s="56"/>
      <c r="B54" s="73" t="s">
        <v>303</v>
      </c>
      <c r="C54" s="53">
        <v>8</v>
      </c>
      <c r="D54" s="53"/>
      <c r="E54" s="53">
        <v>2</v>
      </c>
      <c r="F54" s="53">
        <v>10</v>
      </c>
      <c r="G54" s="20" t="s">
        <v>91</v>
      </c>
      <c r="H54" s="60"/>
    </row>
    <row r="55" spans="1:8">
      <c r="A55" s="56"/>
      <c r="B55" s="73" t="s">
        <v>304</v>
      </c>
      <c r="C55" s="53"/>
      <c r="D55" s="53">
        <v>24</v>
      </c>
      <c r="E55" s="53"/>
      <c r="F55" s="53">
        <v>24</v>
      </c>
      <c r="G55" s="20" t="s">
        <v>95</v>
      </c>
      <c r="H55" s="60"/>
    </row>
    <row r="56" spans="1:8">
      <c r="A56" s="56"/>
      <c r="B56" s="73" t="s">
        <v>305</v>
      </c>
      <c r="C56" s="53"/>
      <c r="D56" s="53">
        <v>27</v>
      </c>
      <c r="E56" s="53"/>
      <c r="F56" s="53">
        <v>27</v>
      </c>
      <c r="G56" s="20" t="s">
        <v>41</v>
      </c>
      <c r="H56" s="60"/>
    </row>
    <row r="57" spans="1:8">
      <c r="A57" s="57">
        <v>44068</v>
      </c>
      <c r="B57" s="74" t="s">
        <v>331</v>
      </c>
      <c r="C57" s="59">
        <v>1</v>
      </c>
      <c r="D57" s="59"/>
      <c r="E57" s="59"/>
      <c r="F57" s="59">
        <v>1</v>
      </c>
      <c r="G57" s="62" t="s">
        <v>71</v>
      </c>
      <c r="H57" s="61"/>
    </row>
    <row r="58" spans="1:8">
      <c r="A58" s="57">
        <v>44068</v>
      </c>
      <c r="B58" s="74" t="s">
        <v>306</v>
      </c>
      <c r="C58" s="59">
        <v>5</v>
      </c>
      <c r="D58" s="59"/>
      <c r="E58" s="59"/>
      <c r="F58" s="59">
        <v>5</v>
      </c>
      <c r="G58" s="62" t="s">
        <v>40</v>
      </c>
      <c r="H58" s="61"/>
    </row>
    <row r="59" spans="1:8">
      <c r="A59" s="56"/>
      <c r="B59" s="73" t="s">
        <v>307</v>
      </c>
      <c r="C59" s="53">
        <v>136</v>
      </c>
      <c r="D59" s="53"/>
      <c r="E59" s="53">
        <v>35</v>
      </c>
      <c r="F59" s="53">
        <v>171</v>
      </c>
      <c r="G59" s="20" t="s">
        <v>144</v>
      </c>
      <c r="H59" s="60"/>
    </row>
    <row r="60" spans="1:8">
      <c r="A60" s="56"/>
      <c r="B60" s="73" t="s">
        <v>308</v>
      </c>
      <c r="C60" s="53">
        <v>97</v>
      </c>
      <c r="D60" s="53"/>
      <c r="E60" s="53">
        <v>42</v>
      </c>
      <c r="F60" s="53">
        <v>139</v>
      </c>
      <c r="G60" s="20" t="s">
        <v>154</v>
      </c>
      <c r="H60" s="60"/>
    </row>
    <row r="61" spans="1:8">
      <c r="A61" s="56"/>
      <c r="B61" s="73" t="s">
        <v>309</v>
      </c>
      <c r="C61" s="53">
        <v>77</v>
      </c>
      <c r="D61" s="53"/>
      <c r="E61" s="53">
        <v>98</v>
      </c>
      <c r="F61" s="53">
        <v>175</v>
      </c>
      <c r="G61" s="20" t="s">
        <v>278</v>
      </c>
      <c r="H61" s="60"/>
    </row>
    <row r="62" spans="1:8">
      <c r="A62" s="56"/>
      <c r="B62" s="73" t="s">
        <v>310</v>
      </c>
      <c r="C62" s="53">
        <v>93</v>
      </c>
      <c r="D62" s="53"/>
      <c r="E62" s="53">
        <v>57</v>
      </c>
      <c r="F62" s="53">
        <v>150</v>
      </c>
      <c r="G62" s="20" t="s">
        <v>153</v>
      </c>
      <c r="H62" s="60"/>
    </row>
    <row r="63" spans="1:8">
      <c r="A63" s="56"/>
      <c r="B63" s="73" t="s">
        <v>311</v>
      </c>
      <c r="C63" s="53">
        <v>72</v>
      </c>
      <c r="D63" s="53"/>
      <c r="E63" s="53">
        <v>34</v>
      </c>
      <c r="F63" s="53">
        <v>106</v>
      </c>
      <c r="G63" s="20" t="s">
        <v>158</v>
      </c>
      <c r="H63" s="60"/>
    </row>
    <row r="64" spans="1:8">
      <c r="A64" s="56"/>
      <c r="B64" s="73" t="s">
        <v>312</v>
      </c>
      <c r="C64" s="53">
        <v>38</v>
      </c>
      <c r="D64" s="53"/>
      <c r="E64" s="53">
        <v>14</v>
      </c>
      <c r="F64" s="53">
        <v>52</v>
      </c>
      <c r="G64" s="20" t="s">
        <v>51</v>
      </c>
      <c r="H64" s="60"/>
    </row>
    <row r="65" spans="1:8">
      <c r="A65" s="56"/>
      <c r="B65" s="73" t="s">
        <v>313</v>
      </c>
      <c r="C65" s="53">
        <v>41</v>
      </c>
      <c r="D65" s="53"/>
      <c r="E65" s="53">
        <v>11</v>
      </c>
      <c r="F65" s="53">
        <v>52</v>
      </c>
      <c r="G65" s="20" t="s">
        <v>51</v>
      </c>
      <c r="H65" s="60"/>
    </row>
    <row r="66" spans="1:8">
      <c r="A66" s="56"/>
      <c r="B66" s="73" t="s">
        <v>314</v>
      </c>
      <c r="C66" s="53">
        <v>40</v>
      </c>
      <c r="D66" s="53"/>
      <c r="E66" s="53">
        <v>12</v>
      </c>
      <c r="F66" s="53">
        <v>52</v>
      </c>
      <c r="G66" s="20" t="s">
        <v>57</v>
      </c>
      <c r="H66" s="60"/>
    </row>
    <row r="67" spans="1:8">
      <c r="A67" s="56"/>
      <c r="B67" s="73" t="s">
        <v>315</v>
      </c>
      <c r="C67" s="53">
        <v>9</v>
      </c>
      <c r="D67" s="53"/>
      <c r="E67" s="53">
        <v>4</v>
      </c>
      <c r="F67" s="53">
        <v>13</v>
      </c>
      <c r="G67" s="20" t="s">
        <v>104</v>
      </c>
      <c r="H67" s="60"/>
    </row>
    <row r="68" spans="1:8">
      <c r="A68" s="56"/>
      <c r="B68" s="73" t="s">
        <v>316</v>
      </c>
      <c r="C68" s="53"/>
      <c r="D68" s="53">
        <v>51</v>
      </c>
      <c r="E68" s="53"/>
      <c r="F68" s="53">
        <v>51</v>
      </c>
      <c r="G68" s="20" t="s">
        <v>57</v>
      </c>
      <c r="H68" s="60"/>
    </row>
    <row r="69" spans="1:8">
      <c r="A69" s="56"/>
      <c r="B69" s="73" t="s">
        <v>317</v>
      </c>
      <c r="C69" s="53"/>
      <c r="D69" s="53">
        <v>52</v>
      </c>
      <c r="E69" s="53"/>
      <c r="F69" s="53">
        <v>52</v>
      </c>
      <c r="G69" s="20" t="s">
        <v>57</v>
      </c>
      <c r="H69" s="60"/>
    </row>
    <row r="70" spans="1:8">
      <c r="A70" s="56"/>
      <c r="B70" s="73" t="s">
        <v>318</v>
      </c>
      <c r="C70" s="53"/>
      <c r="D70" s="53">
        <v>29</v>
      </c>
      <c r="E70" s="53"/>
      <c r="F70" s="53">
        <v>29</v>
      </c>
      <c r="G70" s="20" t="s">
        <v>93</v>
      </c>
      <c r="H70" s="60"/>
    </row>
    <row r="71" spans="1:8">
      <c r="A71" s="56"/>
      <c r="B71" s="73" t="s">
        <v>319</v>
      </c>
      <c r="C71" s="53">
        <v>112</v>
      </c>
      <c r="D71" s="53"/>
      <c r="E71" s="53">
        <v>67</v>
      </c>
      <c r="F71" s="53">
        <v>179</v>
      </c>
      <c r="G71" s="20" t="s">
        <v>333</v>
      </c>
      <c r="H71" s="60"/>
    </row>
    <row r="72" spans="1:8">
      <c r="A72" s="56"/>
      <c r="B72" s="73" t="s">
        <v>320</v>
      </c>
      <c r="C72" s="53">
        <v>124</v>
      </c>
      <c r="D72" s="53"/>
      <c r="E72" s="53">
        <v>48</v>
      </c>
      <c r="F72" s="53">
        <v>172</v>
      </c>
      <c r="G72" s="20" t="s">
        <v>144</v>
      </c>
      <c r="H72" s="60"/>
    </row>
    <row r="73" spans="1:8">
      <c r="A73" s="56"/>
      <c r="B73" s="73" t="s">
        <v>321</v>
      </c>
      <c r="C73" s="53">
        <v>123</v>
      </c>
      <c r="D73" s="53"/>
      <c r="E73" s="53">
        <v>71</v>
      </c>
      <c r="F73" s="53">
        <v>194</v>
      </c>
      <c r="G73" s="20" t="s">
        <v>336</v>
      </c>
      <c r="H73" s="60"/>
    </row>
    <row r="74" spans="1:8">
      <c r="A74" s="56"/>
      <c r="B74" s="73" t="s">
        <v>322</v>
      </c>
      <c r="C74" s="53">
        <v>97</v>
      </c>
      <c r="D74" s="53"/>
      <c r="E74" s="53">
        <v>71</v>
      </c>
      <c r="F74" s="53">
        <v>168</v>
      </c>
      <c r="G74" s="20" t="s">
        <v>338</v>
      </c>
      <c r="H74" s="60"/>
    </row>
    <row r="75" spans="1:8">
      <c r="A75" s="56"/>
      <c r="B75" s="73" t="s">
        <v>323</v>
      </c>
      <c r="C75" s="53">
        <v>139</v>
      </c>
      <c r="D75" s="53"/>
      <c r="E75" s="53">
        <v>50</v>
      </c>
      <c r="F75" s="53">
        <v>189</v>
      </c>
      <c r="G75" s="20" t="s">
        <v>340</v>
      </c>
      <c r="H75" s="60"/>
    </row>
    <row r="76" spans="1:8">
      <c r="A76" s="56"/>
      <c r="B76" s="73" t="s">
        <v>324</v>
      </c>
      <c r="C76" s="53">
        <v>46</v>
      </c>
      <c r="D76" s="53"/>
      <c r="E76" s="53">
        <v>9</v>
      </c>
      <c r="F76" s="53">
        <v>55</v>
      </c>
      <c r="G76" s="60"/>
      <c r="H76" s="60"/>
    </row>
    <row r="77" spans="1:8">
      <c r="A77" s="56"/>
      <c r="B77" s="73" t="s">
        <v>325</v>
      </c>
      <c r="C77" s="53">
        <v>34</v>
      </c>
      <c r="D77" s="53"/>
      <c r="E77" s="53">
        <v>15</v>
      </c>
      <c r="F77" s="53">
        <v>49</v>
      </c>
      <c r="G77" s="60"/>
      <c r="H77" s="60"/>
    </row>
    <row r="78" spans="1:8">
      <c r="A78" s="56"/>
      <c r="B78" s="73" t="s">
        <v>326</v>
      </c>
      <c r="C78" s="53">
        <v>29</v>
      </c>
      <c r="D78" s="53"/>
      <c r="E78" s="53">
        <v>16</v>
      </c>
      <c r="F78" s="53">
        <v>45</v>
      </c>
      <c r="G78" s="60"/>
      <c r="H78" s="60"/>
    </row>
    <row r="79" spans="1:8">
      <c r="A79" s="56"/>
      <c r="B79" s="73" t="s">
        <v>327</v>
      </c>
      <c r="C79" s="53"/>
      <c r="D79" s="53">
        <v>48</v>
      </c>
      <c r="E79" s="53"/>
      <c r="F79" s="53">
        <v>48</v>
      </c>
      <c r="G79" s="60"/>
      <c r="H79" s="60"/>
    </row>
    <row r="80" spans="1:8">
      <c r="A80" s="56"/>
      <c r="B80" s="73" t="s">
        <v>328</v>
      </c>
      <c r="C80" s="53"/>
      <c r="D80" s="53">
        <v>51</v>
      </c>
      <c r="E80" s="53"/>
      <c r="F80" s="53">
        <v>51</v>
      </c>
      <c r="G80" s="60"/>
      <c r="H80" s="60"/>
    </row>
    <row r="81" spans="1:8">
      <c r="A81" s="56"/>
      <c r="B81" s="73" t="s">
        <v>329</v>
      </c>
      <c r="C81" s="53"/>
      <c r="D81" s="53">
        <v>51</v>
      </c>
      <c r="E81" s="53"/>
      <c r="F81" s="53">
        <v>51</v>
      </c>
      <c r="G81" s="60"/>
      <c r="H81" s="60"/>
    </row>
    <row r="82" spans="1:8">
      <c r="A82" s="56"/>
      <c r="B82" s="73" t="s">
        <v>330</v>
      </c>
      <c r="C82" s="53"/>
      <c r="D82" s="53">
        <v>2</v>
      </c>
      <c r="E82" s="53"/>
      <c r="F82" s="53">
        <v>2</v>
      </c>
      <c r="G82" s="60"/>
      <c r="H82" s="60"/>
    </row>
    <row r="83" spans="1:8">
      <c r="A83" s="56"/>
      <c r="B83" s="33" t="s">
        <v>371</v>
      </c>
      <c r="C83" s="53">
        <v>121</v>
      </c>
      <c r="D83" s="53"/>
      <c r="E83" s="53">
        <v>49</v>
      </c>
      <c r="F83" s="53">
        <v>170</v>
      </c>
      <c r="G83" s="60"/>
      <c r="H83" s="60"/>
    </row>
    <row r="84" spans="1:8">
      <c r="A84" s="56"/>
      <c r="B84" s="33" t="s">
        <v>372</v>
      </c>
      <c r="C84" s="53">
        <v>124</v>
      </c>
      <c r="D84" s="53"/>
      <c r="E84" s="53">
        <v>65</v>
      </c>
      <c r="F84" s="53">
        <v>189</v>
      </c>
      <c r="G84" s="60"/>
      <c r="H84" s="60"/>
    </row>
    <row r="85" spans="1:8">
      <c r="A85" s="56"/>
      <c r="B85" s="33" t="s">
        <v>373</v>
      </c>
      <c r="C85" s="53">
        <v>137</v>
      </c>
      <c r="D85" s="53"/>
      <c r="E85" s="53">
        <v>54</v>
      </c>
      <c r="F85" s="53">
        <v>191</v>
      </c>
      <c r="G85" s="60"/>
      <c r="H85" s="60"/>
    </row>
    <row r="86" spans="1:8">
      <c r="A86" s="56"/>
      <c r="B86" s="33" t="s">
        <v>374</v>
      </c>
      <c r="C86" s="53">
        <v>105</v>
      </c>
      <c r="D86" s="53"/>
      <c r="E86" s="53">
        <v>44</v>
      </c>
      <c r="F86" s="53">
        <v>149</v>
      </c>
      <c r="G86" s="60"/>
      <c r="H86" s="60"/>
    </row>
    <row r="87" spans="1:8">
      <c r="A87" s="56"/>
      <c r="B87" s="33" t="s">
        <v>375</v>
      </c>
      <c r="C87" s="53">
        <v>64</v>
      </c>
      <c r="D87" s="53"/>
      <c r="E87" s="53">
        <v>21</v>
      </c>
      <c r="F87" s="53">
        <v>85</v>
      </c>
      <c r="G87" s="60"/>
      <c r="H87" s="60"/>
    </row>
    <row r="88" spans="1:8">
      <c r="A88" s="56"/>
      <c r="B88" s="33" t="s">
        <v>376</v>
      </c>
      <c r="C88" s="53">
        <v>40</v>
      </c>
      <c r="D88" s="53"/>
      <c r="E88" s="53">
        <v>11</v>
      </c>
      <c r="F88" s="53">
        <v>51</v>
      </c>
      <c r="G88" s="60"/>
      <c r="H88" s="60"/>
    </row>
    <row r="89" spans="1:8">
      <c r="A89" s="56"/>
      <c r="B89" s="33" t="s">
        <v>377</v>
      </c>
      <c r="C89" s="53">
        <v>36</v>
      </c>
      <c r="D89" s="53"/>
      <c r="E89" s="53">
        <v>18</v>
      </c>
      <c r="F89" s="53">
        <v>54</v>
      </c>
      <c r="G89" s="60"/>
      <c r="H89" s="60"/>
    </row>
    <row r="90" spans="1:8">
      <c r="A90" s="56"/>
      <c r="B90" s="33" t="s">
        <v>378</v>
      </c>
      <c r="C90" s="53">
        <v>39</v>
      </c>
      <c r="D90" s="53"/>
      <c r="E90" s="53">
        <v>12</v>
      </c>
      <c r="F90" s="53">
        <v>51</v>
      </c>
      <c r="G90" s="60"/>
      <c r="H90" s="60"/>
    </row>
    <row r="91" spans="1:8">
      <c r="A91" s="56"/>
      <c r="B91" s="33" t="s">
        <v>379</v>
      </c>
      <c r="C91" s="53">
        <v>32</v>
      </c>
      <c r="D91" s="53"/>
      <c r="E91" s="53">
        <v>13</v>
      </c>
      <c r="F91" s="53">
        <v>45</v>
      </c>
      <c r="G91" s="60"/>
      <c r="H91" s="60"/>
    </row>
    <row r="92" spans="1:8">
      <c r="A92" s="56"/>
      <c r="B92" s="33" t="s">
        <v>380</v>
      </c>
      <c r="C92" s="53"/>
      <c r="D92" s="53">
        <v>112</v>
      </c>
      <c r="E92" s="53"/>
      <c r="F92" s="53">
        <v>112</v>
      </c>
      <c r="G92" s="60"/>
      <c r="H92" s="60"/>
    </row>
    <row r="93" spans="1:8">
      <c r="A93" s="56"/>
      <c r="B93" s="33" t="s">
        <v>381</v>
      </c>
      <c r="C93" s="53"/>
      <c r="D93" s="53">
        <v>2</v>
      </c>
      <c r="E93" s="53"/>
      <c r="F93" s="53">
        <v>2</v>
      </c>
      <c r="G93" s="60"/>
      <c r="H93" s="60"/>
    </row>
    <row r="94" spans="1:8">
      <c r="A94" s="56"/>
      <c r="B94" s="33" t="s">
        <v>382</v>
      </c>
      <c r="C94" s="53"/>
      <c r="D94" s="53">
        <v>53</v>
      </c>
      <c r="E94" s="53"/>
      <c r="F94" s="53">
        <v>53</v>
      </c>
      <c r="G94" s="60"/>
      <c r="H94" s="60"/>
    </row>
    <row r="95" spans="1:8">
      <c r="A95" s="56"/>
      <c r="B95" s="33" t="s">
        <v>383</v>
      </c>
      <c r="C95" s="53"/>
      <c r="D95" s="53">
        <v>50</v>
      </c>
      <c r="E95" s="53"/>
      <c r="F95" s="53">
        <v>50</v>
      </c>
      <c r="G95" s="60"/>
      <c r="H95" s="60"/>
    </row>
    <row r="96" spans="1:8">
      <c r="A96" s="56"/>
      <c r="B96" s="33" t="s">
        <v>384</v>
      </c>
      <c r="C96" s="53"/>
      <c r="D96" s="53">
        <v>52</v>
      </c>
      <c r="E96" s="53"/>
      <c r="F96" s="53">
        <v>52</v>
      </c>
      <c r="G96" s="60"/>
      <c r="H96" s="60"/>
    </row>
    <row r="97" spans="1:8">
      <c r="A97" s="56"/>
      <c r="B97" s="33" t="s">
        <v>385</v>
      </c>
      <c r="C97" s="53"/>
      <c r="D97" s="53">
        <v>51</v>
      </c>
      <c r="E97" s="53"/>
      <c r="F97" s="53">
        <v>51</v>
      </c>
      <c r="G97" s="60"/>
      <c r="H97" s="60"/>
    </row>
    <row r="98" spans="1:8">
      <c r="A98" s="56"/>
      <c r="B98" s="33" t="s">
        <v>386</v>
      </c>
      <c r="C98" s="53"/>
      <c r="D98" s="53">
        <v>40</v>
      </c>
      <c r="E98" s="53"/>
      <c r="F98" s="53">
        <v>40</v>
      </c>
      <c r="G98" s="60"/>
      <c r="H98" s="60"/>
    </row>
    <row r="99" spans="1:8">
      <c r="A99" s="56"/>
      <c r="B99" s="33" t="s">
        <v>387</v>
      </c>
      <c r="C99" s="53">
        <v>9</v>
      </c>
      <c r="D99" s="53"/>
      <c r="E99" s="53">
        <v>16</v>
      </c>
      <c r="F99" s="53">
        <v>25</v>
      </c>
      <c r="G99" s="60"/>
      <c r="H99" s="60"/>
    </row>
    <row r="100" spans="1:8">
      <c r="A100" s="56"/>
      <c r="B100" s="33" t="s">
        <v>388</v>
      </c>
      <c r="C100" s="53">
        <v>5</v>
      </c>
      <c r="D100" s="53"/>
      <c r="E100" s="53">
        <v>2</v>
      </c>
      <c r="F100" s="53">
        <v>7</v>
      </c>
      <c r="G100" s="60"/>
      <c r="H100" s="60"/>
    </row>
    <row r="101" spans="1:8">
      <c r="A101" s="56"/>
      <c r="B101" s="33" t="s">
        <v>389</v>
      </c>
      <c r="C101" s="53">
        <v>4</v>
      </c>
      <c r="D101" s="53"/>
      <c r="E101" s="53">
        <v>4</v>
      </c>
      <c r="F101" s="53">
        <v>8</v>
      </c>
      <c r="G101" s="60"/>
      <c r="H101" s="60"/>
    </row>
    <row r="102" spans="1:8">
      <c r="A102" s="56"/>
      <c r="B102" s="33" t="s">
        <v>390</v>
      </c>
      <c r="C102" s="53"/>
      <c r="D102" s="53"/>
      <c r="E102" s="53">
        <v>1</v>
      </c>
      <c r="F102" s="53">
        <v>1</v>
      </c>
      <c r="G102" s="60"/>
      <c r="H102" s="60"/>
    </row>
    <row r="103" spans="1:8">
      <c r="A103" s="56"/>
      <c r="B103" s="33" t="s">
        <v>391</v>
      </c>
      <c r="C103" s="53"/>
      <c r="D103" s="53">
        <v>89</v>
      </c>
      <c r="E103" s="53"/>
      <c r="F103" s="53">
        <v>89</v>
      </c>
      <c r="G103" s="60"/>
      <c r="H103" s="60"/>
    </row>
    <row r="104" spans="1:8">
      <c r="A104" s="56"/>
      <c r="B104" s="33" t="s">
        <v>392</v>
      </c>
      <c r="C104" s="53"/>
      <c r="D104" s="53">
        <v>51</v>
      </c>
      <c r="E104" s="53"/>
      <c r="F104" s="53">
        <v>51</v>
      </c>
      <c r="G104" s="60"/>
      <c r="H104" s="60"/>
    </row>
    <row r="105" spans="1:8">
      <c r="A105" s="56"/>
      <c r="B105" s="33" t="s">
        <v>393</v>
      </c>
      <c r="C105" s="53"/>
      <c r="D105" s="53">
        <v>51</v>
      </c>
      <c r="E105" s="53"/>
      <c r="F105" s="53">
        <v>51</v>
      </c>
      <c r="G105" s="60"/>
      <c r="H105" s="60"/>
    </row>
    <row r="106" spans="1:8">
      <c r="A106" s="56"/>
      <c r="B106" s="33" t="s">
        <v>394</v>
      </c>
      <c r="C106" s="53"/>
      <c r="D106" s="53">
        <v>36</v>
      </c>
      <c r="E106" s="53"/>
      <c r="F106" s="53">
        <v>36</v>
      </c>
      <c r="G106" s="60"/>
      <c r="H106" s="60"/>
    </row>
    <row r="107" spans="1:8">
      <c r="A107" s="56"/>
      <c r="B107" s="33" t="s">
        <v>395</v>
      </c>
      <c r="C107" s="53">
        <v>4</v>
      </c>
      <c r="D107" s="53"/>
      <c r="E107" s="53">
        <v>7</v>
      </c>
      <c r="F107" s="53">
        <v>11</v>
      </c>
      <c r="G107" s="60"/>
      <c r="H107" s="60"/>
    </row>
    <row r="108" spans="1:8">
      <c r="A108" s="56"/>
      <c r="B108" s="33" t="s">
        <v>396</v>
      </c>
      <c r="C108" s="53">
        <v>7</v>
      </c>
      <c r="D108" s="53"/>
      <c r="E108" s="53">
        <v>3</v>
      </c>
      <c r="F108" s="53">
        <v>10</v>
      </c>
      <c r="G108" s="60"/>
      <c r="H108" s="60"/>
    </row>
    <row r="109" spans="1:8">
      <c r="A109" s="56"/>
      <c r="B109" s="33" t="s">
        <v>397</v>
      </c>
      <c r="C109" s="53">
        <v>54</v>
      </c>
      <c r="D109" s="53"/>
      <c r="E109" s="53">
        <v>49</v>
      </c>
      <c r="F109" s="53">
        <v>103</v>
      </c>
      <c r="G109" s="60"/>
      <c r="H109" s="60"/>
    </row>
    <row r="110" spans="1:8">
      <c r="A110" s="56"/>
      <c r="B110" s="33" t="s">
        <v>398</v>
      </c>
      <c r="C110" s="53">
        <v>106</v>
      </c>
      <c r="D110" s="53"/>
      <c r="E110" s="53">
        <v>28</v>
      </c>
      <c r="F110" s="53">
        <v>134</v>
      </c>
      <c r="G110" s="60"/>
      <c r="H110" s="60"/>
    </row>
    <row r="111" spans="1:8">
      <c r="A111" s="56"/>
      <c r="B111" s="33" t="s">
        <v>399</v>
      </c>
      <c r="C111" s="53">
        <v>4</v>
      </c>
      <c r="D111" s="53"/>
      <c r="E111" s="53">
        <v>2</v>
      </c>
      <c r="F111" s="53">
        <v>6</v>
      </c>
      <c r="G111" s="60"/>
      <c r="H111" s="60"/>
    </row>
    <row r="112" spans="1:8">
      <c r="A112" s="56"/>
      <c r="B112" s="33" t="s">
        <v>400</v>
      </c>
      <c r="C112" s="53">
        <v>15</v>
      </c>
      <c r="D112" s="53"/>
      <c r="E112" s="53">
        <v>5</v>
      </c>
      <c r="F112" s="53">
        <v>20</v>
      </c>
      <c r="G112" s="60"/>
      <c r="H112" s="60"/>
    </row>
    <row r="113" spans="1:8">
      <c r="A113" s="56"/>
      <c r="B113" s="33" t="s">
        <v>401</v>
      </c>
      <c r="C113" s="53">
        <v>22</v>
      </c>
      <c r="D113" s="53"/>
      <c r="E113" s="53">
        <v>6</v>
      </c>
      <c r="F113" s="53">
        <v>28</v>
      </c>
      <c r="G113" s="60"/>
      <c r="H113" s="60"/>
    </row>
    <row r="114" spans="1:8">
      <c r="A114" s="56"/>
      <c r="B114" s="33" t="s">
        <v>402</v>
      </c>
      <c r="C114" s="53"/>
      <c r="D114" s="53">
        <v>94</v>
      </c>
      <c r="E114" s="53"/>
      <c r="F114" s="53">
        <v>94</v>
      </c>
      <c r="G114" s="60"/>
      <c r="H114" s="60"/>
    </row>
    <row r="115" spans="1:8">
      <c r="A115" s="56"/>
      <c r="B115" s="33" t="s">
        <v>403</v>
      </c>
      <c r="C115" s="53"/>
      <c r="D115" s="53">
        <v>50</v>
      </c>
      <c r="E115" s="53"/>
      <c r="F115" s="53">
        <v>50</v>
      </c>
      <c r="G115" s="60"/>
      <c r="H115" s="60"/>
    </row>
    <row r="116" spans="1:8">
      <c r="A116" s="56"/>
      <c r="B116" s="33" t="s">
        <v>404</v>
      </c>
      <c r="C116" s="53"/>
      <c r="D116" s="53">
        <v>51</v>
      </c>
      <c r="E116" s="53"/>
      <c r="F116" s="53">
        <v>51</v>
      </c>
      <c r="G116" s="60"/>
      <c r="H116" s="60"/>
    </row>
    <row r="117" spans="1:8">
      <c r="A117" s="56"/>
      <c r="B117" s="33" t="s">
        <v>405</v>
      </c>
      <c r="C117" s="53"/>
      <c r="D117" s="53">
        <v>50</v>
      </c>
      <c r="E117" s="53"/>
      <c r="F117" s="53">
        <v>50</v>
      </c>
      <c r="G117" s="60"/>
      <c r="H117" s="60"/>
    </row>
    <row r="118" spans="1:8">
      <c r="A118" s="56"/>
      <c r="B118" s="33" t="s">
        <v>406</v>
      </c>
      <c r="C118" s="53"/>
      <c r="D118" s="53">
        <v>51</v>
      </c>
      <c r="E118" s="53"/>
      <c r="F118" s="53">
        <v>51</v>
      </c>
      <c r="G118" s="60"/>
      <c r="H118" s="60"/>
    </row>
    <row r="119" spans="1:8">
      <c r="A119" s="56"/>
      <c r="B119" s="33" t="s">
        <v>407</v>
      </c>
      <c r="C119" s="53"/>
      <c r="D119" s="53">
        <v>51</v>
      </c>
      <c r="E119" s="53"/>
      <c r="F119" s="53">
        <v>51</v>
      </c>
      <c r="G119" s="60"/>
      <c r="H119" s="60"/>
    </row>
    <row r="120" spans="1:8">
      <c r="A120" s="56"/>
      <c r="B120" s="33" t="s">
        <v>408</v>
      </c>
      <c r="C120" s="53"/>
      <c r="D120" s="53">
        <v>16</v>
      </c>
      <c r="E120" s="53"/>
      <c r="F120" s="53">
        <v>16</v>
      </c>
      <c r="G120" s="60"/>
      <c r="H120" s="6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470"/>
  <sheetViews>
    <sheetView view="pageBreakPreview" zoomScale="50" zoomScaleNormal="40" zoomScaleSheetLayoutView="50" workbookViewId="0"/>
  </sheetViews>
  <sheetFormatPr defaultRowHeight="15"/>
  <cols>
    <col min="1" max="1" width="90" customWidth="1"/>
  </cols>
  <sheetData>
    <row r="1" spans="1:1" ht="45" customHeight="1">
      <c r="A1" s="34"/>
    </row>
    <row r="2" spans="1:1" ht="45" customHeight="1">
      <c r="A2" s="35"/>
    </row>
    <row r="3" spans="1:1" ht="45" customHeight="1">
      <c r="A3" s="31"/>
    </row>
    <row r="4" spans="1:1" ht="45" customHeight="1">
      <c r="A4" s="31"/>
    </row>
    <row r="5" spans="1:1" ht="45" customHeight="1">
      <c r="A5" s="32"/>
    </row>
    <row r="6" spans="1:1" ht="45" customHeight="1">
      <c r="A6" s="31"/>
    </row>
    <row r="7" spans="1:1" ht="45" customHeight="1">
      <c r="A7" s="31"/>
    </row>
    <row r="8" spans="1:1" ht="45" customHeight="1">
      <c r="A8" s="34"/>
    </row>
    <row r="9" spans="1:1" ht="45" customHeight="1">
      <c r="A9" s="35"/>
    </row>
    <row r="10" spans="1:1" ht="45" customHeight="1">
      <c r="A10" s="32"/>
    </row>
    <row r="11" spans="1:1" ht="45" customHeight="1">
      <c r="A11" s="31"/>
    </row>
    <row r="12" spans="1:1" ht="45" customHeight="1">
      <c r="A12" s="31"/>
    </row>
    <row r="13" spans="1:1" ht="45" customHeight="1">
      <c r="A13" s="31"/>
    </row>
    <row r="14" spans="1:1" ht="45" customHeight="1">
      <c r="A14" s="31"/>
    </row>
    <row r="15" spans="1:1" ht="45" customHeight="1">
      <c r="A15" s="34"/>
    </row>
    <row r="16" spans="1:1" ht="45" customHeight="1">
      <c r="A16" s="35"/>
    </row>
    <row r="17" spans="1:1" ht="45" customHeight="1">
      <c r="A17" s="31"/>
    </row>
    <row r="18" spans="1:1" ht="45" customHeight="1">
      <c r="A18" s="31"/>
    </row>
    <row r="19" spans="1:1" ht="45" customHeight="1">
      <c r="A19" s="31"/>
    </row>
    <row r="20" spans="1:1" ht="45" customHeight="1">
      <c r="A20" s="31"/>
    </row>
    <row r="21" spans="1:1" ht="45" customHeight="1">
      <c r="A21" s="31"/>
    </row>
    <row r="22" spans="1:1" ht="78.75" customHeight="1">
      <c r="A22" s="3"/>
    </row>
    <row r="23" spans="1:1" ht="75" customHeight="1">
      <c r="A23" s="3"/>
    </row>
    <row r="24" spans="1:1" ht="75" customHeight="1">
      <c r="A24" s="3"/>
    </row>
    <row r="25" spans="1:1" ht="45" customHeight="1">
      <c r="A25" s="5"/>
    </row>
    <row r="26" spans="1:1" ht="43.5" customHeight="1">
      <c r="A26" s="2"/>
    </row>
    <row r="27" spans="1:1" ht="78.75" customHeight="1">
      <c r="A27" s="3"/>
    </row>
    <row r="28" spans="1:1" ht="75" customHeight="1">
      <c r="A28" s="3"/>
    </row>
    <row r="29" spans="1:1" ht="75" customHeight="1">
      <c r="A29" s="3"/>
    </row>
    <row r="30" spans="1:1" ht="45" customHeight="1">
      <c r="A30" s="5"/>
    </row>
    <row r="31" spans="1:1" ht="43.5" customHeight="1">
      <c r="A31" s="2"/>
    </row>
    <row r="32" spans="1:1" ht="78.75" customHeight="1">
      <c r="A32" s="3"/>
    </row>
    <row r="33" spans="1:1" ht="75" customHeight="1">
      <c r="A33" s="3"/>
    </row>
    <row r="34" spans="1:1" ht="75" customHeight="1">
      <c r="A34" s="3"/>
    </row>
    <row r="35" spans="1:1" ht="45" customHeight="1">
      <c r="A35" s="4"/>
    </row>
    <row r="36" spans="1:1" ht="43.5" customHeight="1">
      <c r="A36" s="2"/>
    </row>
    <row r="37" spans="1:1" ht="78.75" customHeight="1">
      <c r="A37" s="3"/>
    </row>
    <row r="38" spans="1:1" ht="75" customHeight="1">
      <c r="A38" s="3"/>
    </row>
    <row r="39" spans="1:1" ht="75" customHeight="1">
      <c r="A39" s="3"/>
    </row>
    <row r="40" spans="1:1" ht="45" customHeight="1">
      <c r="A40" s="5"/>
    </row>
    <row r="41" spans="1:1" ht="43.5" customHeight="1">
      <c r="A41" s="2"/>
    </row>
    <row r="42" spans="1:1" ht="78.75" customHeight="1">
      <c r="A42" s="3"/>
    </row>
    <row r="43" spans="1:1" ht="75" customHeight="1">
      <c r="A43" s="3"/>
    </row>
    <row r="44" spans="1:1" ht="75" customHeight="1">
      <c r="A44" s="3"/>
    </row>
    <row r="45" spans="1:1" ht="45" customHeight="1">
      <c r="A45" s="5"/>
    </row>
    <row r="46" spans="1:1" ht="43.5" customHeight="1">
      <c r="A46" s="2"/>
    </row>
    <row r="47" spans="1:1" ht="78.75" customHeight="1">
      <c r="A47" s="3"/>
    </row>
    <row r="48" spans="1:1" ht="75" customHeight="1">
      <c r="A48" s="3"/>
    </row>
    <row r="49" spans="1:1" ht="75" customHeight="1">
      <c r="A49" s="3"/>
    </row>
    <row r="50" spans="1:1" ht="45" customHeight="1">
      <c r="A50" s="5"/>
    </row>
    <row r="51" spans="1:1" ht="43.5" customHeight="1">
      <c r="A51" s="2"/>
    </row>
    <row r="52" spans="1:1" ht="78.75" customHeight="1">
      <c r="A52" s="3"/>
    </row>
    <row r="53" spans="1:1" ht="75" customHeight="1">
      <c r="A53" s="3"/>
    </row>
    <row r="54" spans="1:1" ht="75" customHeight="1">
      <c r="A54" s="3"/>
    </row>
    <row r="55" spans="1:1" ht="45" customHeight="1">
      <c r="A55" s="5"/>
    </row>
    <row r="56" spans="1:1" ht="43.5" customHeight="1">
      <c r="A56" s="2"/>
    </row>
    <row r="57" spans="1:1" ht="78.75" customHeight="1">
      <c r="A57" s="3"/>
    </row>
    <row r="58" spans="1:1" ht="75" customHeight="1">
      <c r="A58" s="3"/>
    </row>
    <row r="59" spans="1:1" ht="75" customHeight="1">
      <c r="A59" s="3"/>
    </row>
    <row r="60" spans="1:1" ht="45" customHeight="1">
      <c r="A60" s="5"/>
    </row>
    <row r="61" spans="1:1" ht="43.5" customHeight="1">
      <c r="A61" s="2"/>
    </row>
    <row r="62" spans="1:1" ht="78.75" customHeight="1">
      <c r="A62" s="3"/>
    </row>
    <row r="63" spans="1:1" ht="75" customHeight="1">
      <c r="A63" s="3"/>
    </row>
    <row r="64" spans="1:1" ht="75" customHeight="1">
      <c r="A64" s="3"/>
    </row>
    <row r="65" spans="1:1" ht="45" customHeight="1">
      <c r="A65" s="5"/>
    </row>
    <row r="66" spans="1:1" ht="43.5" customHeight="1">
      <c r="A66" s="2"/>
    </row>
    <row r="67" spans="1:1" ht="78.75" customHeight="1">
      <c r="A67" s="3"/>
    </row>
    <row r="68" spans="1:1" ht="75" customHeight="1">
      <c r="A68" s="3"/>
    </row>
    <row r="69" spans="1:1" ht="75" customHeight="1">
      <c r="A69" s="3"/>
    </row>
    <row r="70" spans="1:1" ht="45" customHeight="1">
      <c r="A70" s="5"/>
    </row>
    <row r="71" spans="1:1" ht="43.5" customHeight="1">
      <c r="A71" s="2"/>
    </row>
    <row r="72" spans="1:1" ht="78.75" customHeight="1">
      <c r="A72" s="3"/>
    </row>
    <row r="73" spans="1:1" ht="75" customHeight="1">
      <c r="A73" s="3"/>
    </row>
    <row r="74" spans="1:1" ht="75" customHeight="1">
      <c r="A74" s="3"/>
    </row>
    <row r="75" spans="1:1" ht="45" customHeight="1">
      <c r="A75" s="5"/>
    </row>
    <row r="76" spans="1:1" ht="43.5" customHeight="1">
      <c r="A76" s="2"/>
    </row>
    <row r="77" spans="1:1" ht="78.75" customHeight="1">
      <c r="A77" s="3"/>
    </row>
    <row r="78" spans="1:1" ht="75" customHeight="1">
      <c r="A78" s="3"/>
    </row>
    <row r="79" spans="1:1" ht="75" customHeight="1">
      <c r="A79" s="3"/>
    </row>
    <row r="80" spans="1:1" ht="45" customHeight="1">
      <c r="A80" s="5"/>
    </row>
    <row r="81" spans="1:1" ht="43.5" customHeight="1">
      <c r="A81" s="2"/>
    </row>
    <row r="82" spans="1:1" ht="78.75" customHeight="1">
      <c r="A82" s="3"/>
    </row>
    <row r="83" spans="1:1" ht="75" customHeight="1">
      <c r="A83" s="3"/>
    </row>
    <row r="84" spans="1:1" ht="75" customHeight="1">
      <c r="A84" s="3"/>
    </row>
    <row r="85" spans="1:1" ht="45" customHeight="1">
      <c r="A85" s="5"/>
    </row>
    <row r="86" spans="1:1" ht="43.5" customHeight="1">
      <c r="A86" s="2"/>
    </row>
    <row r="87" spans="1:1" ht="78.75" customHeight="1">
      <c r="A87" s="3"/>
    </row>
    <row r="88" spans="1:1" ht="75" customHeight="1">
      <c r="A88" s="3"/>
    </row>
    <row r="89" spans="1:1" ht="75" customHeight="1">
      <c r="A89" s="3"/>
    </row>
    <row r="90" spans="1:1" ht="45" customHeight="1">
      <c r="A90" s="5"/>
    </row>
    <row r="91" spans="1:1" ht="43.5" customHeight="1">
      <c r="A91" s="2"/>
    </row>
    <row r="92" spans="1:1" ht="78.75" customHeight="1">
      <c r="A92" s="3"/>
    </row>
    <row r="93" spans="1:1" ht="75" customHeight="1">
      <c r="A93" s="3"/>
    </row>
    <row r="94" spans="1:1" ht="75" customHeight="1">
      <c r="A94" s="3"/>
    </row>
    <row r="95" spans="1:1" ht="45" customHeight="1">
      <c r="A95" s="5"/>
    </row>
    <row r="96" spans="1:1" ht="43.5" customHeight="1">
      <c r="A96" s="2"/>
    </row>
    <row r="97" spans="1:1" ht="78.75" customHeight="1">
      <c r="A97" s="3"/>
    </row>
    <row r="98" spans="1:1" ht="75" customHeight="1">
      <c r="A98" s="3"/>
    </row>
    <row r="99" spans="1:1" ht="75" customHeight="1">
      <c r="A99" s="3"/>
    </row>
    <row r="100" spans="1:1" ht="45" customHeight="1">
      <c r="A100" s="5"/>
    </row>
    <row r="101" spans="1:1" ht="43.5" customHeight="1">
      <c r="A101" s="2"/>
    </row>
    <row r="102" spans="1:1" ht="78.75" customHeight="1">
      <c r="A102" s="3"/>
    </row>
    <row r="103" spans="1:1" ht="75" customHeight="1">
      <c r="A103" s="3"/>
    </row>
    <row r="104" spans="1:1" ht="75" customHeight="1">
      <c r="A104" s="3"/>
    </row>
    <row r="105" spans="1:1" ht="45" customHeight="1">
      <c r="A105" s="5"/>
    </row>
    <row r="106" spans="1:1" ht="43.5" customHeight="1">
      <c r="A106" s="2"/>
    </row>
    <row r="107" spans="1:1" ht="78.75" customHeight="1">
      <c r="A107" s="3"/>
    </row>
    <row r="108" spans="1:1" ht="75" customHeight="1">
      <c r="A108" s="3"/>
    </row>
    <row r="109" spans="1:1" ht="75" customHeight="1">
      <c r="A109" s="3"/>
    </row>
    <row r="110" spans="1:1" ht="45" customHeight="1">
      <c r="A110" s="5"/>
    </row>
    <row r="111" spans="1:1" ht="43.5" customHeight="1">
      <c r="A111" s="2"/>
    </row>
    <row r="112" spans="1:1" ht="78.75" customHeight="1">
      <c r="A112" s="3"/>
    </row>
    <row r="113" spans="1:1" ht="75" customHeight="1">
      <c r="A113" s="3"/>
    </row>
    <row r="114" spans="1:1" ht="75" customHeight="1">
      <c r="A114" s="3"/>
    </row>
    <row r="115" spans="1:1" ht="45" customHeight="1">
      <c r="A115" s="5"/>
    </row>
    <row r="116" spans="1:1" ht="43.5" customHeight="1">
      <c r="A116" s="2"/>
    </row>
    <row r="117" spans="1:1" ht="78.75" customHeight="1">
      <c r="A117" s="3"/>
    </row>
    <row r="118" spans="1:1" ht="75" customHeight="1">
      <c r="A118" s="3"/>
    </row>
    <row r="119" spans="1:1" ht="75" customHeight="1">
      <c r="A119" s="3"/>
    </row>
    <row r="120" spans="1:1" ht="45" customHeight="1">
      <c r="A120" s="4"/>
    </row>
    <row r="121" spans="1:1" ht="43.5" customHeight="1">
      <c r="A121" s="2"/>
    </row>
    <row r="122" spans="1:1" ht="78.75" customHeight="1">
      <c r="A122" s="3"/>
    </row>
    <row r="123" spans="1:1" ht="75" customHeight="1">
      <c r="A123" s="3"/>
    </row>
    <row r="124" spans="1:1" ht="75" customHeight="1">
      <c r="A124" s="3"/>
    </row>
    <row r="125" spans="1:1" ht="45" customHeight="1">
      <c r="A125" s="5"/>
    </row>
    <row r="126" spans="1:1" ht="43.5" customHeight="1">
      <c r="A126" s="2"/>
    </row>
    <row r="127" spans="1:1" ht="78.75" customHeight="1">
      <c r="A127" s="3"/>
    </row>
    <row r="128" spans="1:1" ht="75" customHeight="1">
      <c r="A128" s="3"/>
    </row>
    <row r="129" spans="1:1" ht="75" customHeight="1">
      <c r="A129" s="3"/>
    </row>
    <row r="130" spans="1:1" ht="45" customHeight="1">
      <c r="A130" s="5"/>
    </row>
    <row r="131" spans="1:1" ht="43.5" customHeight="1">
      <c r="A131" s="2"/>
    </row>
    <row r="132" spans="1:1" ht="78.75" customHeight="1">
      <c r="A132" s="3"/>
    </row>
    <row r="133" spans="1:1" ht="75" customHeight="1">
      <c r="A133" s="3"/>
    </row>
    <row r="134" spans="1:1" ht="75" customHeight="1">
      <c r="A134" s="3"/>
    </row>
    <row r="135" spans="1:1" ht="45" customHeight="1">
      <c r="A135" s="5"/>
    </row>
    <row r="136" spans="1:1" ht="43.5" customHeight="1">
      <c r="A136" s="2"/>
    </row>
    <row r="137" spans="1:1" ht="78.75" customHeight="1">
      <c r="A137" s="3"/>
    </row>
    <row r="138" spans="1:1" ht="75" customHeight="1">
      <c r="A138" s="3"/>
    </row>
    <row r="139" spans="1:1" ht="75" customHeight="1">
      <c r="A139" s="3"/>
    </row>
    <row r="140" spans="1:1" ht="45" customHeight="1">
      <c r="A140" s="5"/>
    </row>
    <row r="141" spans="1:1" ht="43.5" customHeight="1">
      <c r="A141" s="2"/>
    </row>
    <row r="142" spans="1:1" ht="78.75" customHeight="1">
      <c r="A142" s="3"/>
    </row>
    <row r="143" spans="1:1" ht="75" customHeight="1">
      <c r="A143" s="3"/>
    </row>
    <row r="144" spans="1:1" ht="75" customHeight="1">
      <c r="A144" s="3"/>
    </row>
    <row r="145" spans="1:1" ht="45" customHeight="1">
      <c r="A145" s="5"/>
    </row>
    <row r="146" spans="1:1" ht="43.5" customHeight="1">
      <c r="A146" s="2"/>
    </row>
    <row r="147" spans="1:1" ht="78.75" customHeight="1">
      <c r="A147" s="3"/>
    </row>
    <row r="148" spans="1:1" ht="75" customHeight="1">
      <c r="A148" s="3"/>
    </row>
    <row r="149" spans="1:1" ht="75" customHeight="1">
      <c r="A149" s="3"/>
    </row>
    <row r="150" spans="1:1" ht="45" customHeight="1">
      <c r="A150" s="5"/>
    </row>
    <row r="151" spans="1:1" ht="43.5" customHeight="1">
      <c r="A151" s="2"/>
    </row>
    <row r="152" spans="1:1" ht="78.75" customHeight="1">
      <c r="A152" s="3"/>
    </row>
    <row r="153" spans="1:1" ht="75" customHeight="1">
      <c r="A153" s="3"/>
    </row>
    <row r="154" spans="1:1" ht="75" customHeight="1">
      <c r="A154" s="3"/>
    </row>
    <row r="155" spans="1:1" ht="45" customHeight="1">
      <c r="A155" s="5"/>
    </row>
    <row r="156" spans="1:1" ht="43.5" customHeight="1">
      <c r="A156" s="2"/>
    </row>
    <row r="157" spans="1:1" ht="78.75" customHeight="1">
      <c r="A157" s="3"/>
    </row>
    <row r="158" spans="1:1" ht="75" customHeight="1">
      <c r="A158" s="3"/>
    </row>
    <row r="159" spans="1:1" ht="75" customHeight="1">
      <c r="A159" s="3"/>
    </row>
    <row r="160" spans="1:1" ht="45" customHeight="1">
      <c r="A160" s="5"/>
    </row>
    <row r="161" spans="1:1" ht="43.5" customHeight="1">
      <c r="A161" s="2"/>
    </row>
    <row r="162" spans="1:1" ht="78.75" customHeight="1">
      <c r="A162" s="3"/>
    </row>
    <row r="163" spans="1:1" ht="75" customHeight="1">
      <c r="A163" s="3"/>
    </row>
    <row r="164" spans="1:1" ht="75" customHeight="1">
      <c r="A164" s="3"/>
    </row>
    <row r="165" spans="1:1" ht="45" customHeight="1">
      <c r="A165" s="5"/>
    </row>
    <row r="166" spans="1:1" ht="43.5" customHeight="1">
      <c r="A166" s="2"/>
    </row>
    <row r="167" spans="1:1" ht="78.75" customHeight="1">
      <c r="A167" s="3"/>
    </row>
    <row r="168" spans="1:1" ht="75" customHeight="1">
      <c r="A168" s="3"/>
    </row>
    <row r="169" spans="1:1" ht="75" customHeight="1">
      <c r="A169" s="3"/>
    </row>
    <row r="170" spans="1:1" ht="45" customHeight="1">
      <c r="A170" s="5"/>
    </row>
    <row r="171" spans="1:1" ht="43.5" customHeight="1">
      <c r="A171" s="2"/>
    </row>
    <row r="172" spans="1:1" ht="78.75" customHeight="1">
      <c r="A172" s="3"/>
    </row>
    <row r="173" spans="1:1" ht="75" customHeight="1">
      <c r="A173" s="3"/>
    </row>
    <row r="174" spans="1:1" ht="75" customHeight="1">
      <c r="A174" s="3"/>
    </row>
    <row r="175" spans="1:1" ht="45" customHeight="1">
      <c r="A175" s="5"/>
    </row>
    <row r="176" spans="1:1" ht="43.5" customHeight="1">
      <c r="A176" s="2"/>
    </row>
    <row r="177" spans="1:1" ht="78.75" customHeight="1">
      <c r="A177" s="3"/>
    </row>
    <row r="178" spans="1:1" ht="75" customHeight="1">
      <c r="A178" s="3"/>
    </row>
    <row r="179" spans="1:1" ht="75" customHeight="1">
      <c r="A179" s="3"/>
    </row>
    <row r="180" spans="1:1" ht="45" customHeight="1">
      <c r="A180" s="5"/>
    </row>
    <row r="181" spans="1:1" ht="43.5" customHeight="1">
      <c r="A181" s="2"/>
    </row>
    <row r="182" spans="1:1" ht="78.75" customHeight="1">
      <c r="A182" s="3"/>
    </row>
    <row r="183" spans="1:1" ht="75" customHeight="1">
      <c r="A183" s="3"/>
    </row>
    <row r="184" spans="1:1" ht="75" customHeight="1">
      <c r="A184" s="3"/>
    </row>
    <row r="185" spans="1:1" ht="45" customHeight="1">
      <c r="A185" s="5"/>
    </row>
    <row r="186" spans="1:1" ht="43.5" customHeight="1">
      <c r="A186" s="2"/>
    </row>
    <row r="187" spans="1:1" ht="78.75" customHeight="1">
      <c r="A187" s="3"/>
    </row>
    <row r="188" spans="1:1" ht="75" customHeight="1">
      <c r="A188" s="3"/>
    </row>
    <row r="189" spans="1:1" ht="75" customHeight="1">
      <c r="A189" s="3"/>
    </row>
    <row r="190" spans="1:1" ht="45" customHeight="1">
      <c r="A190" s="5"/>
    </row>
    <row r="191" spans="1:1" ht="43.5" customHeight="1">
      <c r="A191" s="2"/>
    </row>
    <row r="192" spans="1:1" ht="78.75" customHeight="1">
      <c r="A192" s="3"/>
    </row>
    <row r="193" spans="1:1" ht="75" customHeight="1">
      <c r="A193" s="3"/>
    </row>
    <row r="194" spans="1:1" ht="75" customHeight="1">
      <c r="A194" s="3"/>
    </row>
    <row r="195" spans="1:1" ht="45" customHeight="1">
      <c r="A195" s="5"/>
    </row>
    <row r="196" spans="1:1" ht="43.5" customHeight="1">
      <c r="A196" s="2"/>
    </row>
    <row r="197" spans="1:1" ht="78.75" customHeight="1">
      <c r="A197" s="3"/>
    </row>
    <row r="198" spans="1:1" ht="75" customHeight="1">
      <c r="A198" s="3"/>
    </row>
    <row r="199" spans="1:1" ht="75" customHeight="1">
      <c r="A199" s="3"/>
    </row>
    <row r="200" spans="1:1" ht="45" customHeight="1">
      <c r="A200" s="5"/>
    </row>
    <row r="201" spans="1:1" ht="43.5" customHeight="1">
      <c r="A201" s="2"/>
    </row>
    <row r="202" spans="1:1" ht="78.75" customHeight="1">
      <c r="A202" s="3"/>
    </row>
    <row r="203" spans="1:1" ht="75" customHeight="1">
      <c r="A203" s="3"/>
    </row>
    <row r="204" spans="1:1" ht="75" customHeight="1">
      <c r="A204" s="3"/>
    </row>
    <row r="205" spans="1:1" ht="45" customHeight="1">
      <c r="A205" s="5"/>
    </row>
    <row r="206" spans="1:1" ht="43.5" customHeight="1">
      <c r="A206" s="2"/>
    </row>
    <row r="207" spans="1:1" ht="78.75" customHeight="1">
      <c r="A207" s="3"/>
    </row>
    <row r="208" spans="1:1" ht="75" customHeight="1">
      <c r="A208" s="3"/>
    </row>
    <row r="209" spans="1:1" ht="75" customHeight="1">
      <c r="A209" s="3"/>
    </row>
    <row r="210" spans="1:1" ht="45" customHeight="1">
      <c r="A210" s="5"/>
    </row>
    <row r="211" spans="1:1" ht="43.5" customHeight="1">
      <c r="A211" s="2"/>
    </row>
    <row r="212" spans="1:1" ht="78.75" customHeight="1">
      <c r="A212" s="3"/>
    </row>
    <row r="213" spans="1:1" ht="75" customHeight="1">
      <c r="A213" s="3"/>
    </row>
    <row r="214" spans="1:1" ht="75" customHeight="1">
      <c r="A214" s="3"/>
    </row>
    <row r="215" spans="1:1" ht="45" customHeight="1">
      <c r="A215" s="5"/>
    </row>
    <row r="216" spans="1:1" ht="43.5" customHeight="1">
      <c r="A216" s="2"/>
    </row>
    <row r="217" spans="1:1" ht="78.75" customHeight="1">
      <c r="A217" s="3"/>
    </row>
    <row r="218" spans="1:1" ht="75" customHeight="1">
      <c r="A218" s="3"/>
    </row>
    <row r="219" spans="1:1" ht="75" customHeight="1">
      <c r="A219" s="3"/>
    </row>
    <row r="220" spans="1:1" ht="45" customHeight="1">
      <c r="A220" s="5"/>
    </row>
    <row r="221" spans="1:1" ht="43.5" customHeight="1">
      <c r="A221" s="2"/>
    </row>
    <row r="222" spans="1:1" ht="78.75" customHeight="1">
      <c r="A222" s="3"/>
    </row>
    <row r="223" spans="1:1" ht="75" customHeight="1">
      <c r="A223" s="3"/>
    </row>
    <row r="224" spans="1:1" ht="75" customHeight="1">
      <c r="A224" s="3"/>
    </row>
    <row r="225" spans="1:1" ht="45" customHeight="1">
      <c r="A225" s="5"/>
    </row>
    <row r="226" spans="1:1" ht="43.5" customHeight="1">
      <c r="A226" s="2"/>
    </row>
    <row r="227" spans="1:1" ht="78.75" customHeight="1">
      <c r="A227" s="3"/>
    </row>
    <row r="228" spans="1:1" ht="75" customHeight="1">
      <c r="A228" s="3"/>
    </row>
    <row r="229" spans="1:1" ht="75" customHeight="1">
      <c r="A229" s="3"/>
    </row>
    <row r="230" spans="1:1" ht="45" customHeight="1">
      <c r="A230" s="5"/>
    </row>
    <row r="231" spans="1:1" ht="43.5" customHeight="1">
      <c r="A231" s="2"/>
    </row>
    <row r="232" spans="1:1" ht="78.75" customHeight="1">
      <c r="A232" s="3"/>
    </row>
    <row r="233" spans="1:1" ht="75" customHeight="1">
      <c r="A233" s="3"/>
    </row>
    <row r="234" spans="1:1" ht="75" customHeight="1">
      <c r="A234" s="3"/>
    </row>
    <row r="235" spans="1:1" ht="45" customHeight="1">
      <c r="A235" s="5"/>
    </row>
    <row r="236" spans="1:1" ht="43.5" customHeight="1">
      <c r="A236" s="2"/>
    </row>
    <row r="237" spans="1:1" ht="78.75" customHeight="1">
      <c r="A237" s="3"/>
    </row>
    <row r="238" spans="1:1" ht="75" customHeight="1">
      <c r="A238" s="3"/>
    </row>
    <row r="239" spans="1:1" ht="75" customHeight="1">
      <c r="A239" s="3"/>
    </row>
    <row r="240" spans="1:1" ht="45" customHeight="1">
      <c r="A240" s="5"/>
    </row>
    <row r="241" spans="1:1" ht="43.5" customHeight="1">
      <c r="A241" s="2"/>
    </row>
    <row r="242" spans="1:1" ht="78.75" customHeight="1">
      <c r="A242" s="3"/>
    </row>
    <row r="243" spans="1:1" ht="75" customHeight="1">
      <c r="A243" s="3"/>
    </row>
    <row r="244" spans="1:1" ht="75" customHeight="1">
      <c r="A244" s="3"/>
    </row>
    <row r="245" spans="1:1" ht="45" customHeight="1">
      <c r="A245" s="5"/>
    </row>
    <row r="246" spans="1:1" ht="43.5" customHeight="1">
      <c r="A246" s="2"/>
    </row>
    <row r="247" spans="1:1" ht="78.75" customHeight="1">
      <c r="A247" s="3"/>
    </row>
    <row r="248" spans="1:1" ht="75" customHeight="1">
      <c r="A248" s="3"/>
    </row>
    <row r="249" spans="1:1" ht="75" customHeight="1">
      <c r="A249" s="3"/>
    </row>
    <row r="250" spans="1:1" ht="45" customHeight="1">
      <c r="A250" s="5"/>
    </row>
    <row r="251" spans="1:1" ht="43.5" customHeight="1">
      <c r="A251" s="2"/>
    </row>
    <row r="252" spans="1:1" ht="78.75" customHeight="1">
      <c r="A252" s="3"/>
    </row>
    <row r="253" spans="1:1" ht="75" customHeight="1">
      <c r="A253" s="3"/>
    </row>
    <row r="254" spans="1:1" ht="75" customHeight="1">
      <c r="A254" s="3"/>
    </row>
    <row r="255" spans="1:1" ht="45" customHeight="1">
      <c r="A255" s="5"/>
    </row>
    <row r="256" spans="1:1" ht="43.5" customHeight="1">
      <c r="A256" s="2"/>
    </row>
    <row r="257" spans="1:1" ht="78.75" customHeight="1">
      <c r="A257" s="3"/>
    </row>
    <row r="258" spans="1:1" ht="75" customHeight="1">
      <c r="A258" s="3"/>
    </row>
    <row r="259" spans="1:1" ht="75" customHeight="1">
      <c r="A259" s="3"/>
    </row>
    <row r="260" spans="1:1" ht="45" customHeight="1">
      <c r="A260" s="5"/>
    </row>
    <row r="261" spans="1:1" ht="43.5" customHeight="1">
      <c r="A261" s="2"/>
    </row>
    <row r="262" spans="1:1" ht="78.75" customHeight="1">
      <c r="A262" s="3"/>
    </row>
    <row r="263" spans="1:1" ht="75" customHeight="1">
      <c r="A263" s="3"/>
    </row>
    <row r="264" spans="1:1" ht="75" customHeight="1">
      <c r="A264" s="3"/>
    </row>
    <row r="265" spans="1:1" ht="45" customHeight="1">
      <c r="A265" s="5"/>
    </row>
    <row r="266" spans="1:1" ht="43.5" customHeight="1">
      <c r="A266" s="2"/>
    </row>
    <row r="267" spans="1:1" ht="78.75" customHeight="1">
      <c r="A267" s="3"/>
    </row>
    <row r="268" spans="1:1" ht="75" customHeight="1">
      <c r="A268" s="3"/>
    </row>
    <row r="269" spans="1:1" ht="75" customHeight="1">
      <c r="A269" s="3"/>
    </row>
    <row r="270" spans="1:1" ht="45" customHeight="1">
      <c r="A270" s="5"/>
    </row>
    <row r="271" spans="1:1" ht="43.5" customHeight="1">
      <c r="A271" s="2"/>
    </row>
    <row r="272" spans="1:1" ht="78.75" customHeight="1">
      <c r="A272" s="3"/>
    </row>
    <row r="273" spans="1:1" ht="75" customHeight="1">
      <c r="A273" s="3"/>
    </row>
    <row r="274" spans="1:1" ht="75" customHeight="1">
      <c r="A274" s="3"/>
    </row>
    <row r="275" spans="1:1" ht="45" customHeight="1">
      <c r="A275" s="5"/>
    </row>
    <row r="276" spans="1:1" ht="43.5" customHeight="1">
      <c r="A276" s="2"/>
    </row>
    <row r="277" spans="1:1" ht="78.75" customHeight="1">
      <c r="A277" s="3"/>
    </row>
    <row r="278" spans="1:1" ht="75" customHeight="1">
      <c r="A278" s="3"/>
    </row>
    <row r="279" spans="1:1" ht="75" customHeight="1">
      <c r="A279" s="3"/>
    </row>
    <row r="280" spans="1:1" ht="45" customHeight="1">
      <c r="A280" s="5"/>
    </row>
    <row r="281" spans="1:1" ht="43.5" customHeight="1">
      <c r="A281" s="2"/>
    </row>
    <row r="282" spans="1:1" ht="78.75" customHeight="1">
      <c r="A282" s="3"/>
    </row>
    <row r="283" spans="1:1" ht="75" customHeight="1">
      <c r="A283" s="3"/>
    </row>
    <row r="284" spans="1:1" ht="75" customHeight="1">
      <c r="A284" s="3"/>
    </row>
    <row r="285" spans="1:1" ht="45" customHeight="1">
      <c r="A285" s="5"/>
    </row>
    <row r="286" spans="1:1" ht="43.5" customHeight="1">
      <c r="A286" s="2"/>
    </row>
    <row r="287" spans="1:1" ht="78.75" customHeight="1">
      <c r="A287" s="3"/>
    </row>
    <row r="288" spans="1:1" ht="75" customHeight="1">
      <c r="A288" s="3"/>
    </row>
    <row r="289" spans="1:1" ht="75" customHeight="1">
      <c r="A289" s="3"/>
    </row>
    <row r="290" spans="1:1" ht="45" customHeight="1">
      <c r="A290" s="5"/>
    </row>
    <row r="291" spans="1:1" ht="43.5" customHeight="1">
      <c r="A291" s="2"/>
    </row>
    <row r="292" spans="1:1" ht="78.75" customHeight="1">
      <c r="A292" s="3"/>
    </row>
    <row r="293" spans="1:1" ht="75" customHeight="1">
      <c r="A293" s="3"/>
    </row>
    <row r="294" spans="1:1" ht="75" customHeight="1">
      <c r="A294" s="3"/>
    </row>
    <row r="295" spans="1:1" ht="45" customHeight="1">
      <c r="A295" s="5"/>
    </row>
    <row r="296" spans="1:1" ht="43.5" customHeight="1">
      <c r="A296" s="2"/>
    </row>
    <row r="297" spans="1:1" ht="78.75" customHeight="1">
      <c r="A297" s="3"/>
    </row>
    <row r="298" spans="1:1" ht="75" customHeight="1">
      <c r="A298" s="3"/>
    </row>
    <row r="299" spans="1:1" ht="75" customHeight="1">
      <c r="A299" s="3"/>
    </row>
    <row r="300" spans="1:1" ht="45" customHeight="1">
      <c r="A300" s="5"/>
    </row>
    <row r="301" spans="1:1" ht="43.5" customHeight="1">
      <c r="A301" s="2"/>
    </row>
    <row r="302" spans="1:1" ht="78.75" customHeight="1">
      <c r="A302" s="3"/>
    </row>
    <row r="303" spans="1:1" ht="75" customHeight="1">
      <c r="A303" s="3"/>
    </row>
    <row r="304" spans="1:1" ht="75" customHeight="1">
      <c r="A304" s="3"/>
    </row>
    <row r="305" spans="1:1" ht="45" customHeight="1">
      <c r="A305" s="5"/>
    </row>
    <row r="306" spans="1:1" ht="43.5" customHeight="1">
      <c r="A306" s="2"/>
    </row>
    <row r="307" spans="1:1" ht="78.75" customHeight="1">
      <c r="A307" s="3"/>
    </row>
    <row r="308" spans="1:1" ht="75" customHeight="1">
      <c r="A308" s="3"/>
    </row>
    <row r="309" spans="1:1" ht="75" customHeight="1">
      <c r="A309" s="3"/>
    </row>
    <row r="310" spans="1:1" ht="45" customHeight="1">
      <c r="A310" s="5"/>
    </row>
    <row r="311" spans="1:1" ht="43.5" customHeight="1">
      <c r="A311" s="2"/>
    </row>
    <row r="312" spans="1:1" ht="78.75" customHeight="1">
      <c r="A312" s="3"/>
    </row>
    <row r="313" spans="1:1" ht="75" customHeight="1">
      <c r="A313" s="3"/>
    </row>
    <row r="314" spans="1:1" ht="75" customHeight="1">
      <c r="A314" s="3"/>
    </row>
    <row r="315" spans="1:1" ht="45" customHeight="1">
      <c r="A315" s="5"/>
    </row>
    <row r="316" spans="1:1" ht="43.5" customHeight="1">
      <c r="A316" s="2"/>
    </row>
    <row r="317" spans="1:1" ht="78.75" customHeight="1">
      <c r="A317" s="3"/>
    </row>
    <row r="318" spans="1:1" ht="75" customHeight="1">
      <c r="A318" s="3"/>
    </row>
    <row r="319" spans="1:1" ht="75" customHeight="1">
      <c r="A319" s="3"/>
    </row>
    <row r="320" spans="1:1" ht="45" customHeight="1">
      <c r="A320" s="5"/>
    </row>
    <row r="321" spans="1:1" ht="43.5" customHeight="1">
      <c r="A321" s="2"/>
    </row>
    <row r="322" spans="1:1" ht="78.75" customHeight="1">
      <c r="A322" s="3"/>
    </row>
    <row r="323" spans="1:1" ht="75" customHeight="1">
      <c r="A323" s="3"/>
    </row>
    <row r="324" spans="1:1" ht="75" customHeight="1">
      <c r="A324" s="3"/>
    </row>
    <row r="325" spans="1:1" ht="45" customHeight="1">
      <c r="A325" s="5"/>
    </row>
    <row r="326" spans="1:1" ht="43.5" customHeight="1">
      <c r="A326" s="2"/>
    </row>
    <row r="327" spans="1:1" ht="78.75" customHeight="1">
      <c r="A327" s="3"/>
    </row>
    <row r="328" spans="1:1" ht="75" customHeight="1">
      <c r="A328" s="3"/>
    </row>
    <row r="329" spans="1:1" ht="75" customHeight="1">
      <c r="A329" s="3"/>
    </row>
    <row r="330" spans="1:1" ht="45" customHeight="1">
      <c r="A330" s="5"/>
    </row>
    <row r="331" spans="1:1" ht="43.5" customHeight="1">
      <c r="A331" s="2"/>
    </row>
    <row r="332" spans="1:1" ht="78.75" customHeight="1">
      <c r="A332" s="3"/>
    </row>
    <row r="333" spans="1:1" ht="75" customHeight="1">
      <c r="A333" s="3"/>
    </row>
    <row r="334" spans="1:1" ht="75" customHeight="1">
      <c r="A334" s="3"/>
    </row>
    <row r="335" spans="1:1" ht="45" customHeight="1">
      <c r="A335" s="5"/>
    </row>
    <row r="336" spans="1:1" ht="43.5" customHeight="1">
      <c r="A336" s="2"/>
    </row>
    <row r="337" spans="1:1" ht="78.75" customHeight="1">
      <c r="A337" s="3"/>
    </row>
    <row r="338" spans="1:1" ht="75" customHeight="1">
      <c r="A338" s="3"/>
    </row>
    <row r="339" spans="1:1" ht="75" customHeight="1">
      <c r="A339" s="3"/>
    </row>
    <row r="340" spans="1:1" ht="45" customHeight="1">
      <c r="A340" s="5"/>
    </row>
    <row r="341" spans="1:1" ht="43.5" customHeight="1">
      <c r="A341" s="2"/>
    </row>
    <row r="342" spans="1:1" ht="78.75" customHeight="1">
      <c r="A342" s="3"/>
    </row>
    <row r="343" spans="1:1" ht="75" customHeight="1">
      <c r="A343" s="3"/>
    </row>
    <row r="344" spans="1:1" ht="75" customHeight="1">
      <c r="A344" s="3"/>
    </row>
    <row r="345" spans="1:1" ht="45" customHeight="1">
      <c r="A345" s="5"/>
    </row>
    <row r="346" spans="1:1" ht="43.5" customHeight="1">
      <c r="A346" s="2"/>
    </row>
    <row r="347" spans="1:1" ht="78.75" customHeight="1">
      <c r="A347" s="3"/>
    </row>
    <row r="348" spans="1:1" ht="75" customHeight="1">
      <c r="A348" s="3"/>
    </row>
    <row r="349" spans="1:1" ht="75" customHeight="1">
      <c r="A349" s="3"/>
    </row>
    <row r="350" spans="1:1" ht="45" customHeight="1">
      <c r="A350" s="5"/>
    </row>
    <row r="351" spans="1:1" ht="43.5" customHeight="1">
      <c r="A351" s="2"/>
    </row>
    <row r="352" spans="1:1" ht="78.75" customHeight="1">
      <c r="A352" s="3"/>
    </row>
    <row r="353" spans="1:1" ht="75" customHeight="1">
      <c r="A353" s="3"/>
    </row>
    <row r="354" spans="1:1" ht="75" customHeight="1">
      <c r="A354" s="3"/>
    </row>
    <row r="355" spans="1:1" ht="45" customHeight="1">
      <c r="A355" s="5"/>
    </row>
    <row r="356" spans="1:1" ht="43.5" customHeight="1">
      <c r="A356" s="2"/>
    </row>
    <row r="357" spans="1:1" ht="78.75" customHeight="1">
      <c r="A357" s="3"/>
    </row>
    <row r="358" spans="1:1" ht="75" customHeight="1">
      <c r="A358" s="3"/>
    </row>
    <row r="359" spans="1:1" ht="75" customHeight="1">
      <c r="A359" s="3"/>
    </row>
    <row r="360" spans="1:1" ht="45" customHeight="1">
      <c r="A360" s="5"/>
    </row>
    <row r="361" spans="1:1" ht="43.5" customHeight="1">
      <c r="A361" s="2"/>
    </row>
    <row r="362" spans="1:1" ht="78.75" customHeight="1">
      <c r="A362" s="3"/>
    </row>
    <row r="363" spans="1:1" ht="75" customHeight="1">
      <c r="A363" s="3"/>
    </row>
    <row r="364" spans="1:1" ht="75" customHeight="1">
      <c r="A364" s="3"/>
    </row>
    <row r="365" spans="1:1" ht="45" customHeight="1">
      <c r="A365" s="5"/>
    </row>
    <row r="366" spans="1:1" ht="43.5" customHeight="1">
      <c r="A366" s="2"/>
    </row>
    <row r="367" spans="1:1" ht="78.75" customHeight="1">
      <c r="A367" s="3"/>
    </row>
    <row r="368" spans="1:1" ht="75" customHeight="1">
      <c r="A368" s="3"/>
    </row>
    <row r="369" spans="1:1" ht="75" customHeight="1">
      <c r="A369" s="3"/>
    </row>
    <row r="370" spans="1:1" ht="45" customHeight="1">
      <c r="A370" s="5"/>
    </row>
    <row r="371" spans="1:1" ht="43.5" customHeight="1">
      <c r="A371" s="2"/>
    </row>
    <row r="372" spans="1:1" ht="78.75" customHeight="1">
      <c r="A372" s="3"/>
    </row>
    <row r="373" spans="1:1" ht="75" customHeight="1">
      <c r="A373" s="3"/>
    </row>
    <row r="374" spans="1:1" ht="75" customHeight="1">
      <c r="A374" s="3"/>
    </row>
    <row r="375" spans="1:1" ht="45" customHeight="1">
      <c r="A375" s="5"/>
    </row>
    <row r="376" spans="1:1" ht="43.5" customHeight="1">
      <c r="A376" s="2"/>
    </row>
    <row r="377" spans="1:1" ht="78.75" customHeight="1">
      <c r="A377" s="3"/>
    </row>
    <row r="378" spans="1:1" ht="75" customHeight="1">
      <c r="A378" s="3"/>
    </row>
    <row r="379" spans="1:1" ht="75" customHeight="1">
      <c r="A379" s="3"/>
    </row>
    <row r="380" spans="1:1" ht="45" customHeight="1">
      <c r="A380" s="5"/>
    </row>
    <row r="381" spans="1:1" ht="43.5" customHeight="1">
      <c r="A381" s="2"/>
    </row>
    <row r="382" spans="1:1" ht="78.75" customHeight="1">
      <c r="A382" s="3"/>
    </row>
    <row r="383" spans="1:1" ht="75" customHeight="1">
      <c r="A383" s="3"/>
    </row>
    <row r="384" spans="1:1" ht="75" customHeight="1">
      <c r="A384" s="3"/>
    </row>
    <row r="385" spans="1:1" ht="45" customHeight="1">
      <c r="A385" s="5"/>
    </row>
    <row r="386" spans="1:1" ht="43.5" customHeight="1">
      <c r="A386" s="2"/>
    </row>
    <row r="387" spans="1:1" ht="78.75" customHeight="1">
      <c r="A387" s="3"/>
    </row>
    <row r="388" spans="1:1" ht="75" customHeight="1">
      <c r="A388" s="3"/>
    </row>
    <row r="389" spans="1:1" ht="75" customHeight="1">
      <c r="A389" s="3"/>
    </row>
    <row r="390" spans="1:1" ht="45" customHeight="1">
      <c r="A390" s="5"/>
    </row>
    <row r="391" spans="1:1" ht="43.5" customHeight="1">
      <c r="A391" s="2"/>
    </row>
    <row r="392" spans="1:1" ht="78.75" customHeight="1">
      <c r="A392" s="3"/>
    </row>
    <row r="393" spans="1:1" ht="75" customHeight="1">
      <c r="A393" s="3"/>
    </row>
    <row r="394" spans="1:1" ht="75" customHeight="1">
      <c r="A394" s="3"/>
    </row>
    <row r="395" spans="1:1" ht="45" customHeight="1">
      <c r="A395" s="5"/>
    </row>
    <row r="396" spans="1:1" ht="43.5" customHeight="1">
      <c r="A396" s="2"/>
    </row>
    <row r="397" spans="1:1" ht="78.75" customHeight="1">
      <c r="A397" s="3"/>
    </row>
    <row r="398" spans="1:1" ht="75" customHeight="1">
      <c r="A398" s="3"/>
    </row>
    <row r="399" spans="1:1" ht="75" customHeight="1">
      <c r="A399" s="3"/>
    </row>
    <row r="400" spans="1:1" ht="45" customHeight="1">
      <c r="A400" s="5"/>
    </row>
    <row r="401" spans="1:1" ht="43.5" customHeight="1">
      <c r="A401" s="2"/>
    </row>
    <row r="402" spans="1:1" ht="78.75" customHeight="1">
      <c r="A402" s="3"/>
    </row>
    <row r="403" spans="1:1" ht="75" customHeight="1">
      <c r="A403" s="3"/>
    </row>
    <row r="404" spans="1:1" ht="75" customHeight="1">
      <c r="A404" s="3"/>
    </row>
    <row r="405" spans="1:1" ht="45" customHeight="1">
      <c r="A405" s="5"/>
    </row>
    <row r="406" spans="1:1" ht="43.5" customHeight="1">
      <c r="A406" s="2"/>
    </row>
    <row r="407" spans="1:1" ht="78.75" customHeight="1">
      <c r="A407" s="3"/>
    </row>
    <row r="408" spans="1:1" ht="75" customHeight="1">
      <c r="A408" s="3"/>
    </row>
    <row r="409" spans="1:1" ht="75" customHeight="1">
      <c r="A409" s="3"/>
    </row>
    <row r="410" spans="1:1" ht="45" customHeight="1">
      <c r="A410" s="5"/>
    </row>
    <row r="411" spans="1:1" ht="43.5" customHeight="1">
      <c r="A411" s="2"/>
    </row>
    <row r="412" spans="1:1" ht="78.75" customHeight="1">
      <c r="A412" s="3"/>
    </row>
    <row r="413" spans="1:1" ht="75" customHeight="1">
      <c r="A413" s="3"/>
    </row>
    <row r="414" spans="1:1" ht="75" customHeight="1">
      <c r="A414" s="3"/>
    </row>
    <row r="415" spans="1:1" ht="45" customHeight="1">
      <c r="A415" s="5"/>
    </row>
    <row r="416" spans="1:1" ht="43.5" customHeight="1">
      <c r="A416" s="2"/>
    </row>
    <row r="417" spans="1:1" ht="78.75" customHeight="1">
      <c r="A417" s="3"/>
    </row>
    <row r="418" spans="1:1" ht="75" customHeight="1">
      <c r="A418" s="3"/>
    </row>
    <row r="419" spans="1:1" ht="75" customHeight="1">
      <c r="A419" s="3"/>
    </row>
    <row r="420" spans="1:1" ht="45" customHeight="1">
      <c r="A420" s="5"/>
    </row>
    <row r="421" spans="1:1" ht="43.5" customHeight="1">
      <c r="A421" s="2"/>
    </row>
    <row r="422" spans="1:1" ht="78.75" customHeight="1">
      <c r="A422" s="3"/>
    </row>
    <row r="423" spans="1:1" ht="75" customHeight="1">
      <c r="A423" s="3"/>
    </row>
    <row r="424" spans="1:1" ht="75" customHeight="1">
      <c r="A424" s="3"/>
    </row>
    <row r="425" spans="1:1" ht="45" customHeight="1">
      <c r="A425" s="5"/>
    </row>
    <row r="426" spans="1:1" ht="43.5" customHeight="1">
      <c r="A426" s="2"/>
    </row>
    <row r="427" spans="1:1" ht="78.75" customHeight="1">
      <c r="A427" s="3"/>
    </row>
    <row r="428" spans="1:1" ht="75" customHeight="1">
      <c r="A428" s="3"/>
    </row>
    <row r="429" spans="1:1" ht="75" customHeight="1">
      <c r="A429" s="3"/>
    </row>
    <row r="430" spans="1:1" ht="45" customHeight="1">
      <c r="A430" s="5"/>
    </row>
    <row r="431" spans="1:1" ht="43.5" customHeight="1">
      <c r="A431" s="2"/>
    </row>
    <row r="432" spans="1:1" ht="78.75" customHeight="1">
      <c r="A432" s="3"/>
    </row>
    <row r="433" spans="1:1" ht="75" customHeight="1">
      <c r="A433" s="3"/>
    </row>
    <row r="434" spans="1:1" ht="75" customHeight="1">
      <c r="A434" s="3"/>
    </row>
    <row r="435" spans="1:1" ht="45" customHeight="1">
      <c r="A435" s="5"/>
    </row>
    <row r="436" spans="1:1" ht="43.5" customHeight="1">
      <c r="A436" s="2"/>
    </row>
    <row r="437" spans="1:1" ht="78.75" customHeight="1">
      <c r="A437" s="3"/>
    </row>
    <row r="438" spans="1:1" ht="75" customHeight="1">
      <c r="A438" s="3"/>
    </row>
    <row r="439" spans="1:1" ht="75" customHeight="1">
      <c r="A439" s="3"/>
    </row>
    <row r="440" spans="1:1" ht="45" customHeight="1">
      <c r="A440" s="5"/>
    </row>
    <row r="441" spans="1:1" ht="43.5" customHeight="1">
      <c r="A441" s="2"/>
    </row>
    <row r="442" spans="1:1" ht="78.75" customHeight="1">
      <c r="A442" s="3"/>
    </row>
    <row r="443" spans="1:1" ht="75" customHeight="1">
      <c r="A443" s="3"/>
    </row>
    <row r="444" spans="1:1" ht="75" customHeight="1">
      <c r="A444" s="3"/>
    </row>
    <row r="445" spans="1:1" ht="45" customHeight="1">
      <c r="A445" s="5"/>
    </row>
    <row r="446" spans="1:1" ht="43.5" customHeight="1">
      <c r="A446" s="2"/>
    </row>
    <row r="447" spans="1:1" ht="78.75" customHeight="1">
      <c r="A447" s="3"/>
    </row>
    <row r="448" spans="1:1" ht="75" customHeight="1">
      <c r="A448" s="3"/>
    </row>
    <row r="449" spans="1:1" ht="75" customHeight="1">
      <c r="A449" s="3"/>
    </row>
    <row r="450" spans="1:1" ht="45" customHeight="1">
      <c r="A450" s="5"/>
    </row>
    <row r="451" spans="1:1" ht="43.5" customHeight="1">
      <c r="A451" s="2"/>
    </row>
    <row r="452" spans="1:1" ht="78.75" customHeight="1">
      <c r="A452" s="3"/>
    </row>
    <row r="453" spans="1:1" ht="75" customHeight="1">
      <c r="A453" s="3"/>
    </row>
    <row r="454" spans="1:1" ht="75" customHeight="1">
      <c r="A454" s="3"/>
    </row>
    <row r="455" spans="1:1" ht="45" customHeight="1">
      <c r="A455" s="5"/>
    </row>
    <row r="456" spans="1:1" ht="43.5" customHeight="1">
      <c r="A456" s="2"/>
    </row>
    <row r="457" spans="1:1" ht="78.75" customHeight="1">
      <c r="A457" s="3"/>
    </row>
    <row r="458" spans="1:1" ht="75" customHeight="1">
      <c r="A458" s="3"/>
    </row>
    <row r="459" spans="1:1" ht="75" customHeight="1">
      <c r="A459" s="3"/>
    </row>
    <row r="460" spans="1:1" ht="45" customHeight="1">
      <c r="A460" s="5"/>
    </row>
    <row r="461" spans="1:1" ht="43.5" customHeight="1">
      <c r="A461" s="2"/>
    </row>
    <row r="462" spans="1:1" ht="78.75" customHeight="1">
      <c r="A462" s="3"/>
    </row>
    <row r="463" spans="1:1" ht="75" customHeight="1">
      <c r="A463" s="3"/>
    </row>
    <row r="464" spans="1:1" ht="75" customHeight="1">
      <c r="A464" s="3"/>
    </row>
    <row r="465" spans="1:1" ht="45" customHeight="1">
      <c r="A465" s="5"/>
    </row>
    <row r="466" spans="1:1" ht="43.5" customHeight="1">
      <c r="A466" s="2"/>
    </row>
    <row r="467" spans="1:1" ht="78.75" customHeight="1">
      <c r="A467" s="3"/>
    </row>
    <row r="468" spans="1:1" ht="75" customHeight="1">
      <c r="A468" s="3"/>
    </row>
    <row r="469" spans="1:1" ht="75" customHeight="1">
      <c r="A469" s="3"/>
    </row>
    <row r="470" spans="1:1" ht="45" customHeight="1">
      <c r="A470" s="5"/>
    </row>
  </sheetData>
  <phoneticPr fontId="1" type="noConversion"/>
  <printOptions horizontalCentered="1" verticalCentered="1"/>
  <pageMargins left="0.17" right="0" top="0.6692913385826772" bottom="0.74803149606299213" header="0.15748031496062992" footer="0.15748031496062992"/>
  <pageSetup paperSize="11" orientation="landscape" r:id="rId1"/>
  <rowBreaks count="1" manualBreakCount="1">
    <brk id="7" max="1638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 Record</vt:lpstr>
      <vt:lpstr>Productivity Report</vt:lpstr>
      <vt:lpstr>Pivot</vt:lpstr>
      <vt:lpstr>LOADKEY</vt:lpstr>
      <vt:lpstr>Print 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Wu Wen Tao</dc:creator>
  <cp:lastModifiedBy>LFL INDHMPS45</cp:lastModifiedBy>
  <cp:lastPrinted>2019-05-14T09:07:45Z</cp:lastPrinted>
  <dcterms:created xsi:type="dcterms:W3CDTF">2018-12-02T05:30:58Z</dcterms:created>
  <dcterms:modified xsi:type="dcterms:W3CDTF">2020-08-26T15:18:55Z</dcterms:modified>
</cp:coreProperties>
</file>